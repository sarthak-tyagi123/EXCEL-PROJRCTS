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arth\Downloads\"/>
    </mc:Choice>
  </mc:AlternateContent>
  <xr:revisionPtr revIDLastSave="0" documentId="8_{BDA1A89A-4D97-4035-A04C-F9FE38AEA897}" xr6:coauthVersionLast="47" xr6:coauthVersionMax="47" xr10:uidLastSave="{00000000-0000-0000-0000-000000000000}"/>
  <bookViews>
    <workbookView xWindow="-108" yWindow="-108" windowWidth="23256" windowHeight="13176" tabRatio="972" xr2:uid="{00000000-000D-0000-FFFF-FFFF00000000}"/>
  </bookViews>
  <sheets>
    <sheet name="dashboard" sheetId="6" r:id="rId1"/>
    <sheet name="product-quantity-sold" sheetId="14" r:id="rId2"/>
    <sheet name="payment-distribution" sheetId="15" r:id="rId3"/>
    <sheet name="Electronics_Sales" sheetId="1" r:id="rId4"/>
    <sheet name="top-5-cities" sheetId="12" r:id="rId5"/>
    <sheet name="category-sales" sheetId="5" r:id="rId6"/>
    <sheet name="region-max-sales" sheetId="8" r:id="rId7"/>
    <sheet name="city-avg-sale" sheetId="9" r:id="rId8"/>
  </sheets>
  <definedNames>
    <definedName name="Slicer_City">#N/A</definedName>
    <definedName name="Slicer_MONTHS">#N/A</definedName>
    <definedName name="Slicer_Region">#N/A</definedName>
  </definedNames>
  <calcPr calcId="191029"/>
  <pivotCaches>
    <pivotCache cacheId="44"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 i="1"/>
</calcChain>
</file>

<file path=xl/sharedStrings.xml><?xml version="1.0" encoding="utf-8"?>
<sst xmlns="http://schemas.openxmlformats.org/spreadsheetml/2006/main" count="22570" uniqueCount="2579">
  <si>
    <t>Order_ID</t>
  </si>
  <si>
    <t>Order_Date</t>
  </si>
  <si>
    <t>Region</t>
  </si>
  <si>
    <t>City</t>
  </si>
  <si>
    <t>Category</t>
  </si>
  <si>
    <t>Product</t>
  </si>
  <si>
    <t>Customer_Segment</t>
  </si>
  <si>
    <t>Sales_Channel</t>
  </si>
  <si>
    <t>Payment_Method</t>
  </si>
  <si>
    <t>Quantity</t>
  </si>
  <si>
    <t>Unit_Price</t>
  </si>
  <si>
    <t>Discount_%</t>
  </si>
  <si>
    <t>Sales</t>
  </si>
  <si>
    <t>Order_Status</t>
  </si>
  <si>
    <t>ORD11176</t>
  </si>
  <si>
    <t>West</t>
  </si>
  <si>
    <t>Kolkata</t>
  </si>
  <si>
    <t>Laptops</t>
  </si>
  <si>
    <t>ASUS VivoBook</t>
  </si>
  <si>
    <t>Home Office</t>
  </si>
  <si>
    <t>Distributor</t>
  </si>
  <si>
    <t>Cash</t>
  </si>
  <si>
    <t>Cancelled</t>
  </si>
  <si>
    <t>ORD11939</t>
  </si>
  <si>
    <t>Jaipur</t>
  </si>
  <si>
    <t>Accessories</t>
  </si>
  <si>
    <t>Mechanical Keyboard</t>
  </si>
  <si>
    <t>Corporate</t>
  </si>
  <si>
    <t>Credit Card</t>
  </si>
  <si>
    <t>Returned</t>
  </si>
  <si>
    <t>ORD10423</t>
  </si>
  <si>
    <t>North</t>
  </si>
  <si>
    <t>Delhi</t>
  </si>
  <si>
    <t>Small Business</t>
  </si>
  <si>
    <t>Online</t>
  </si>
  <si>
    <t>Net Banking</t>
  </si>
  <si>
    <t>Shipped</t>
  </si>
  <si>
    <t>ORD11193</t>
  </si>
  <si>
    <t>East</t>
  </si>
  <si>
    <t>Hyderabad</t>
  </si>
  <si>
    <t>Headphones</t>
  </si>
  <si>
    <t>Boat Rockerz</t>
  </si>
  <si>
    <t>Retail Store</t>
  </si>
  <si>
    <t>Debit Card</t>
  </si>
  <si>
    <t>ORD12147</t>
  </si>
  <si>
    <t>Consumer</t>
  </si>
  <si>
    <t>UPI</t>
  </si>
  <si>
    <t>Delivered</t>
  </si>
  <si>
    <t>ORD10738</t>
  </si>
  <si>
    <t>South</t>
  </si>
  <si>
    <t>Pune</t>
  </si>
  <si>
    <t>ORD10063</t>
  </si>
  <si>
    <t>Lucknow</t>
  </si>
  <si>
    <t>Smartphones</t>
  </si>
  <si>
    <t>OnePlus 12R</t>
  </si>
  <si>
    <t>ORD10245</t>
  </si>
  <si>
    <t>USB-C Hub</t>
  </si>
  <si>
    <t>ORD11325</t>
  </si>
  <si>
    <t>Central</t>
  </si>
  <si>
    <t>ORD11814</t>
  </si>
  <si>
    <t>Smart TVs</t>
  </si>
  <si>
    <t>Sony Bravia 55</t>
  </si>
  <si>
    <t>ORD10113</t>
  </si>
  <si>
    <t>Lenovo IdeaPad</t>
  </si>
  <si>
    <t>ORD12022</t>
  </si>
  <si>
    <t>Galaxy A55</t>
  </si>
  <si>
    <t>ORD12228</t>
  </si>
  <si>
    <t>Dell Inspiron</t>
  </si>
  <si>
    <t>ORD12238</t>
  </si>
  <si>
    <t>Ahmedabad</t>
  </si>
  <si>
    <t>Samsung 55 4K</t>
  </si>
  <si>
    <t>ORD11188</t>
  </si>
  <si>
    <t>Mumbai</t>
  </si>
  <si>
    <t>TCL 55 4K</t>
  </si>
  <si>
    <t>ORD12129</t>
  </si>
  <si>
    <t>JBL Tune 770NC</t>
  </si>
  <si>
    <t>ORD11300</t>
  </si>
  <si>
    <t>Chennai</t>
  </si>
  <si>
    <t>LG 50 4K</t>
  </si>
  <si>
    <t>ORD11846</t>
  </si>
  <si>
    <t>ORD10179</t>
  </si>
  <si>
    <t>Wireless Mouse</t>
  </si>
  <si>
    <t>ORD10174</t>
  </si>
  <si>
    <t>ORD10908</t>
  </si>
  <si>
    <t>ORD11580</t>
  </si>
  <si>
    <t>ORD11782</t>
  </si>
  <si>
    <t>ORD11400</t>
  </si>
  <si>
    <t>ORD11705</t>
  </si>
  <si>
    <t>ORD11553</t>
  </si>
  <si>
    <t>ORD11310</t>
  </si>
  <si>
    <t>ORD10456</t>
  </si>
  <si>
    <t>ORD12026</t>
  </si>
  <si>
    <t>Power Bank</t>
  </si>
  <si>
    <t>ORD10913</t>
  </si>
  <si>
    <t>ORD10434</t>
  </si>
  <si>
    <t>ORD11226</t>
  </si>
  <si>
    <t>ORD11044</t>
  </si>
  <si>
    <t>ORD11397</t>
  </si>
  <si>
    <t>ORD11569</t>
  </si>
  <si>
    <t>ORD10980</t>
  </si>
  <si>
    <t>Bengaluru</t>
  </si>
  <si>
    <t>ORD10575</t>
  </si>
  <si>
    <t>ORD10442</t>
  </si>
  <si>
    <t>ORD10093</t>
  </si>
  <si>
    <t>ORD10910</t>
  </si>
  <si>
    <t>iPhone 15</t>
  </si>
  <si>
    <t>ORD12214</t>
  </si>
  <si>
    <t>ORD10563</t>
  </si>
  <si>
    <t>ORD10092</t>
  </si>
  <si>
    <t>ORD12145</t>
  </si>
  <si>
    <t>ORD10986</t>
  </si>
  <si>
    <t>ORD12019</t>
  </si>
  <si>
    <t>ORD10037</t>
  </si>
  <si>
    <t>ORD11273</t>
  </si>
  <si>
    <t>ORD12497</t>
  </si>
  <si>
    <t>Sennheiser HD 450BT</t>
  </si>
  <si>
    <t>ORD11362</t>
  </si>
  <si>
    <t>ORD10785</t>
  </si>
  <si>
    <t>Sony WH-CH720N</t>
  </si>
  <si>
    <t>ORD11757</t>
  </si>
  <si>
    <t>ORD11243</t>
  </si>
  <si>
    <t>ORD10086</t>
  </si>
  <si>
    <t>ORD12245</t>
  </si>
  <si>
    <t>HP Pavilion</t>
  </si>
  <si>
    <t>ORD12374</t>
  </si>
  <si>
    <t>ORD11390</t>
  </si>
  <si>
    <t>ORD10824</t>
  </si>
  <si>
    <t>ORD12261</t>
  </si>
  <si>
    <t>ORD12049</t>
  </si>
  <si>
    <t>Pixel 8a</t>
  </si>
  <si>
    <t>ORD10866</t>
  </si>
  <si>
    <t>ORD11751</t>
  </si>
  <si>
    <t>ORD11819</t>
  </si>
  <si>
    <t>ORD12395</t>
  </si>
  <si>
    <t>ORD10762</t>
  </si>
  <si>
    <t>ORD11046</t>
  </si>
  <si>
    <t>ORD11770</t>
  </si>
  <si>
    <t>ORD11221</t>
  </si>
  <si>
    <t>ORD10185</t>
  </si>
  <si>
    <t>ORD10095</t>
  </si>
  <si>
    <t>ORD10734</t>
  </si>
  <si>
    <t>ORD10817</t>
  </si>
  <si>
    <t>ORD11953</t>
  </si>
  <si>
    <t>ORD10732</t>
  </si>
  <si>
    <t>ORD11456</t>
  </si>
  <si>
    <t>ORD12004</t>
  </si>
  <si>
    <t>ORD11653</t>
  </si>
  <si>
    <t>ORD11464</t>
  </si>
  <si>
    <t>ORD11349</t>
  </si>
  <si>
    <t>ORD11158</t>
  </si>
  <si>
    <t>ORD10758</t>
  </si>
  <si>
    <t>ORD10912</t>
  </si>
  <si>
    <t>ORD10532</t>
  </si>
  <si>
    <t>ORD11503</t>
  </si>
  <si>
    <t>ORD11370</t>
  </si>
  <si>
    <t>ORD12250</t>
  </si>
  <si>
    <t>ORD10505</t>
  </si>
  <si>
    <t>ORD10735</t>
  </si>
  <si>
    <t>ORD11877</t>
  </si>
  <si>
    <t>ORD12029</t>
  </si>
  <si>
    <t>ORD10704</t>
  </si>
  <si>
    <t>ORD10433</t>
  </si>
  <si>
    <t>ORD11817</t>
  </si>
  <si>
    <t>ORD12445</t>
  </si>
  <si>
    <t>ORD10576</t>
  </si>
  <si>
    <t>ORD11149</t>
  </si>
  <si>
    <t>ORD12133</t>
  </si>
  <si>
    <t>ORD10223</t>
  </si>
  <si>
    <t>ORD11071</t>
  </si>
  <si>
    <t>ORD11687</t>
  </si>
  <si>
    <t>ORD11555</t>
  </si>
  <si>
    <t>ORD10481</t>
  </si>
  <si>
    <t>ORD12447</t>
  </si>
  <si>
    <t>ORD12248</t>
  </si>
  <si>
    <t>ORD10816</t>
  </si>
  <si>
    <t>ORD11106</t>
  </si>
  <si>
    <t>ORD10426</t>
  </si>
  <si>
    <t>ORD10186</t>
  </si>
  <si>
    <t>ORD10711</t>
  </si>
  <si>
    <t>ORD12116</t>
  </si>
  <si>
    <t>ORD10204</t>
  </si>
  <si>
    <t>ORD11495</t>
  </si>
  <si>
    <t>ORD10554</t>
  </si>
  <si>
    <t>ORD12367</t>
  </si>
  <si>
    <t>ORD11997</t>
  </si>
  <si>
    <t>ORD11771</t>
  </si>
  <si>
    <t>ORD10464</t>
  </si>
  <si>
    <t>ORD10751</t>
  </si>
  <si>
    <t>ORD10604</t>
  </si>
  <si>
    <t>ORD11061</t>
  </si>
  <si>
    <t>ORD10045</t>
  </si>
  <si>
    <t>ORD11369</t>
  </si>
  <si>
    <t>ORD11690</t>
  </si>
  <si>
    <t>ORD10836</t>
  </si>
  <si>
    <t>ORD11031</t>
  </si>
  <si>
    <t>ORD10452</t>
  </si>
  <si>
    <t>ORD10919</t>
  </si>
  <si>
    <t>ORD11521</t>
  </si>
  <si>
    <t>ORD11669</t>
  </si>
  <si>
    <t>ORD11346</t>
  </si>
  <si>
    <t>ORD11965</t>
  </si>
  <si>
    <t>ORD11738</t>
  </si>
  <si>
    <t>ORD12275</t>
  </si>
  <si>
    <t>ORD12268</t>
  </si>
  <si>
    <t>ORD11292</t>
  </si>
  <si>
    <t>ORD11258</t>
  </si>
  <si>
    <t>ORD10516</t>
  </si>
  <si>
    <t>ORD10803</t>
  </si>
  <si>
    <t>ORD10585</t>
  </si>
  <si>
    <t>ORD10375</t>
  </si>
  <si>
    <t>ORD11089</t>
  </si>
  <si>
    <t>ORD11210</t>
  </si>
  <si>
    <t>ORD11217</t>
  </si>
  <si>
    <t>ORD10287</t>
  </si>
  <si>
    <t>ORD10162</t>
  </si>
  <si>
    <t>ORD10386</t>
  </si>
  <si>
    <t>ORD12140</t>
  </si>
  <si>
    <t>ORD11051</t>
  </si>
  <si>
    <t>ORD11155</t>
  </si>
  <si>
    <t>ORD11067</t>
  </si>
  <si>
    <t>ORD11832</t>
  </si>
  <si>
    <t>ORD12168</t>
  </si>
  <si>
    <t>ORD11697</t>
  </si>
  <si>
    <t>ORD11887</t>
  </si>
  <si>
    <t>ORD10273</t>
  </si>
  <si>
    <t>ORD10316</t>
  </si>
  <si>
    <t>ORD11337</t>
  </si>
  <si>
    <t>ORD11297</t>
  </si>
  <si>
    <t>ORD11082</t>
  </si>
  <si>
    <t>ORD11598</t>
  </si>
  <si>
    <t>ORD11772</t>
  </si>
  <si>
    <t>ORD12274</t>
  </si>
  <si>
    <t>ORD11745</t>
  </si>
  <si>
    <t>ORD11229</t>
  </si>
  <si>
    <t>ORD11585</t>
  </si>
  <si>
    <t>ORD10880</t>
  </si>
  <si>
    <t>ORD11836</t>
  </si>
  <si>
    <t>ORD11235</t>
  </si>
  <si>
    <t>ORD10666</t>
  </si>
  <si>
    <t>ORD12311</t>
  </si>
  <si>
    <t>ORD10971</t>
  </si>
  <si>
    <t>ORD10007</t>
  </si>
  <si>
    <t>ORD11984</t>
  </si>
  <si>
    <t>ORD11525</t>
  </si>
  <si>
    <t>ORD10219</t>
  </si>
  <si>
    <t>ORD11954</t>
  </si>
  <si>
    <t>ORD12058</t>
  </si>
  <si>
    <t>ORD12452</t>
  </si>
  <si>
    <t>ORD10291</t>
  </si>
  <si>
    <t>ORD12397</t>
  </si>
  <si>
    <t>ORD10583</t>
  </si>
  <si>
    <t>ORD10577</t>
  </si>
  <si>
    <t>ORD10838</t>
  </si>
  <si>
    <t>ORD12283</t>
  </si>
  <si>
    <t>ORD10275</t>
  </si>
  <si>
    <t>ORD10082</t>
  </si>
  <si>
    <t>ORD12282</t>
  </si>
  <si>
    <t>ORD11551</t>
  </si>
  <si>
    <t>ORD12085</t>
  </si>
  <si>
    <t>ORD10854</t>
  </si>
  <si>
    <t>ORD11712</t>
  </si>
  <si>
    <t>ORD10642</t>
  </si>
  <si>
    <t>ORD11652</t>
  </si>
  <si>
    <t>ORD11175</t>
  </si>
  <si>
    <t>ORD11682</t>
  </si>
  <si>
    <t>ORD11264</t>
  </si>
  <si>
    <t>ORD10723</t>
  </si>
  <si>
    <t>ORD10005</t>
  </si>
  <si>
    <t>ORD12153</t>
  </si>
  <si>
    <t>ORD12465</t>
  </si>
  <si>
    <t>ORD11824</t>
  </si>
  <si>
    <t>ORD10110</t>
  </si>
  <si>
    <t>ORD10495</t>
  </si>
  <si>
    <t>ORD11576</t>
  </si>
  <si>
    <t>ORD11493</t>
  </si>
  <si>
    <t>ORD11393</t>
  </si>
  <si>
    <t>ORD10939</t>
  </si>
  <si>
    <t>ORD11034</t>
  </si>
  <si>
    <t>ORD12203</t>
  </si>
  <si>
    <t>ORD10498</t>
  </si>
  <si>
    <t>ORD11494</t>
  </si>
  <si>
    <t>ORD10387</t>
  </si>
  <si>
    <t>ORD11378</t>
  </si>
  <si>
    <t>ORD10180</t>
  </si>
  <si>
    <t>ORD11994</t>
  </si>
  <si>
    <t>ORD11227</t>
  </si>
  <si>
    <t>ORD12196</t>
  </si>
  <si>
    <t>ORD11863</t>
  </si>
  <si>
    <t>ORD10696</t>
  </si>
  <si>
    <t>ORD10572</t>
  </si>
  <si>
    <t>ORD10382</t>
  </si>
  <si>
    <t>ORD10274</t>
  </si>
  <si>
    <t>ORD11637</t>
  </si>
  <si>
    <t>ORD10564</t>
  </si>
  <si>
    <t>ORD11753</t>
  </si>
  <si>
    <t>ORD10304</t>
  </si>
  <si>
    <t>ORD12433</t>
  </si>
  <si>
    <t>ORD11260</t>
  </si>
  <si>
    <t>ORD10549</t>
  </si>
  <si>
    <t>ORD12240</t>
  </si>
  <si>
    <t>ORD10370</t>
  </si>
  <si>
    <t>ORD12048</t>
  </si>
  <si>
    <t>ORD11166</t>
  </si>
  <si>
    <t>ORD11174</t>
  </si>
  <si>
    <t>ORD11356</t>
  </si>
  <si>
    <t>ORD10924</t>
  </si>
  <si>
    <t>ORD10931</t>
  </si>
  <si>
    <t>ORD10571</t>
  </si>
  <si>
    <t>ORD11203</t>
  </si>
  <si>
    <t>ORD12011</t>
  </si>
  <si>
    <t>ORD11630</t>
  </si>
  <si>
    <t>ORD11596</t>
  </si>
  <si>
    <t>ORD11332</t>
  </si>
  <si>
    <t>ORD11650</t>
  </si>
  <si>
    <t>ORD10127</t>
  </si>
  <si>
    <t>ORD12204</t>
  </si>
  <si>
    <t>ORD11942</t>
  </si>
  <si>
    <t>ORD11548</t>
  </si>
  <si>
    <t>ORD12325</t>
  </si>
  <si>
    <t>ORD12430</t>
  </si>
  <si>
    <t>ORD11204</t>
  </si>
  <si>
    <t>ORD11950</t>
  </si>
  <si>
    <t>ORD10710</t>
  </si>
  <si>
    <t>ORD10109</t>
  </si>
  <si>
    <t>ORD11164</t>
  </si>
  <si>
    <t>ORD11752</t>
  </si>
  <si>
    <t>ORD11500</t>
  </si>
  <si>
    <t>ORD10611</t>
  </si>
  <si>
    <t>ORD12236</t>
  </si>
  <si>
    <t>ORD10284</t>
  </si>
  <si>
    <t>ORD10780</t>
  </si>
  <si>
    <t>ORD12164</t>
  </si>
  <si>
    <t>ORD11990</t>
  </si>
  <si>
    <t>ORD10368</t>
  </si>
  <si>
    <t>ORD11036</t>
  </si>
  <si>
    <t>ORD10537</t>
  </si>
  <si>
    <t>ORD11579</t>
  </si>
  <si>
    <t>ORD12381</t>
  </si>
  <si>
    <t>ORD11375</t>
  </si>
  <si>
    <t>ORD11342</t>
  </si>
  <si>
    <t>ORD11835</t>
  </si>
  <si>
    <t>ORD10544</t>
  </si>
  <si>
    <t>ORD11756</t>
  </si>
  <si>
    <t>ORD12141</t>
  </si>
  <si>
    <t>ORD11539</t>
  </si>
  <si>
    <t>ORD10783</t>
  </si>
  <si>
    <t>ORD10966</t>
  </si>
  <si>
    <t>ORD10941</t>
  </si>
  <si>
    <t>ORD10766</t>
  </si>
  <si>
    <t>ORD11105</t>
  </si>
  <si>
    <t>ORD10428</t>
  </si>
  <si>
    <t>ORD11003</t>
  </si>
  <si>
    <t>ORD10411</t>
  </si>
  <si>
    <t>ORD10593</t>
  </si>
  <si>
    <t>ORD11661</t>
  </si>
  <si>
    <t>ORD10976</t>
  </si>
  <si>
    <t>ORD10914</t>
  </si>
  <si>
    <t>ORD11076</t>
  </si>
  <si>
    <t>ORD10376</t>
  </si>
  <si>
    <t>ORD11643</t>
  </si>
  <si>
    <t>ORD11611</t>
  </si>
  <si>
    <t>ORD10763</t>
  </si>
  <si>
    <t>ORD11926</t>
  </si>
  <si>
    <t>ORD10354</t>
  </si>
  <si>
    <t>ORD10120</t>
  </si>
  <si>
    <t>ORD11968</t>
  </si>
  <si>
    <t>ORD12377</t>
  </si>
  <si>
    <t>ORD11202</t>
  </si>
  <si>
    <t>ORD12461</t>
  </si>
  <si>
    <t>ORD12366</t>
  </si>
  <si>
    <t>ORD10001</t>
  </si>
  <si>
    <t>ORD10267</t>
  </si>
  <si>
    <t>ORD11432</t>
  </si>
  <si>
    <t>ORD10597</t>
  </si>
  <si>
    <t>ORD11079</t>
  </si>
  <si>
    <t>ORD11988</t>
  </si>
  <si>
    <t>ORD12265</t>
  </si>
  <si>
    <t>ORD10951</t>
  </si>
  <si>
    <t>ORD10646</t>
  </si>
  <si>
    <t>ORD11438</t>
  </si>
  <si>
    <t>ORD11097</t>
  </si>
  <si>
    <t>ORD10475</t>
  </si>
  <si>
    <t>ORD10169</t>
  </si>
  <si>
    <t>ORD11787</t>
  </si>
  <si>
    <t>ORD12063</t>
  </si>
  <si>
    <t>ORD12154</t>
  </si>
  <si>
    <t>ORD10153</t>
  </si>
  <si>
    <t>ORD11414</t>
  </si>
  <si>
    <t>ORD11289</t>
  </si>
  <si>
    <t>ORD11236</t>
  </si>
  <si>
    <t>ORD11395</t>
  </si>
  <si>
    <t>ORD12185</t>
  </si>
  <si>
    <t>ORD10714</t>
  </si>
  <si>
    <t>ORD10220</t>
  </si>
  <si>
    <t>ORD11405</t>
  </si>
  <si>
    <t>ORD11107</t>
  </si>
  <si>
    <t>ORD10881</t>
  </si>
  <si>
    <t>ORD10882</t>
  </si>
  <si>
    <t>ORD10612</t>
  </si>
  <si>
    <t>ORD11980</t>
  </si>
  <si>
    <t>ORD11277</t>
  </si>
  <si>
    <t>ORD11895</t>
  </si>
  <si>
    <t>ORD12351</t>
  </si>
  <si>
    <t>ORD11150</t>
  </si>
  <si>
    <t>ORD10765</t>
  </si>
  <si>
    <t>ORD10792</t>
  </si>
  <si>
    <t>ORD10096</t>
  </si>
  <si>
    <t>ORD11083</t>
  </si>
  <si>
    <t>ORD10476</t>
  </si>
  <si>
    <t>ORD11030</t>
  </si>
  <si>
    <t>ORD11713</t>
  </si>
  <si>
    <t>ORD10372</t>
  </si>
  <si>
    <t>ORD10872</t>
  </si>
  <si>
    <t>ORD10573</t>
  </si>
  <si>
    <t>ORD10787</t>
  </si>
  <si>
    <t>ORD10444</t>
  </si>
  <si>
    <t>ORD11948</t>
  </si>
  <si>
    <t>ORD11465</t>
  </si>
  <si>
    <t>ORD11668</t>
  </si>
  <si>
    <t>ORD11524</t>
  </si>
  <si>
    <t>ORD12478</t>
  </si>
  <si>
    <t>ORD10298</t>
  </si>
  <si>
    <t>ORD10582</t>
  </si>
  <si>
    <t>ORD11635</t>
  </si>
  <si>
    <t>ORD10703</t>
  </si>
  <si>
    <t>ORD10659</t>
  </si>
  <si>
    <t>ORD11470</t>
  </si>
  <si>
    <t>ORD10613</t>
  </si>
  <si>
    <t>ORD10102</t>
  </si>
  <si>
    <t>ORD12018</t>
  </si>
  <si>
    <t>ORD12421</t>
  </si>
  <si>
    <t>ORD12175</t>
  </si>
  <si>
    <t>ORD11398</t>
  </si>
  <si>
    <t>ORD11885</t>
  </si>
  <si>
    <t>ORD10999</t>
  </si>
  <si>
    <t>ORD11784</t>
  </si>
  <si>
    <t>ORD11562</t>
  </si>
  <si>
    <t>ORD11742</t>
  </si>
  <si>
    <t>ORD11646</t>
  </si>
  <si>
    <t>ORD11660</t>
  </si>
  <si>
    <t>ORD10487</t>
  </si>
  <si>
    <t>ORD12476</t>
  </si>
  <si>
    <t>ORD10740</t>
  </si>
  <si>
    <t>ORD10749</t>
  </si>
  <si>
    <t>ORD11896</t>
  </si>
  <si>
    <t>ORD12072</t>
  </si>
  <si>
    <t>ORD11417</t>
  </si>
  <si>
    <t>ORD12246</t>
  </si>
  <si>
    <t>ORD11512</t>
  </si>
  <si>
    <t>ORD10068</t>
  </si>
  <si>
    <t>ORD12479</t>
  </si>
  <si>
    <t>ORD10680</t>
  </si>
  <si>
    <t>ORD10925</t>
  </si>
  <si>
    <t>ORD11496</t>
  </si>
  <si>
    <t>ORD12500</t>
  </si>
  <si>
    <t>ORD10147</t>
  </si>
  <si>
    <t>ORD10733</t>
  </si>
  <si>
    <t>ORD10258</t>
  </si>
  <si>
    <t>ORD11507</t>
  </si>
  <si>
    <t>ORD12136</t>
  </si>
  <si>
    <t>ORD10724</t>
  </si>
  <si>
    <t>ORD12301</t>
  </si>
  <si>
    <t>ORD11987</t>
  </si>
  <si>
    <t>ORD12345</t>
  </si>
  <si>
    <t>ORD12163</t>
  </si>
  <si>
    <t>ORD10728</t>
  </si>
  <si>
    <t>ORD11670</t>
  </si>
  <si>
    <t>ORD10282</t>
  </si>
  <si>
    <t>ORD10953</t>
  </si>
  <si>
    <t>ORD11740</t>
  </si>
  <si>
    <t>ORD10328</t>
  </si>
  <si>
    <t>ORD11460</t>
  </si>
  <si>
    <t>ORD11353</t>
  </si>
  <si>
    <t>ORD12462</t>
  </si>
  <si>
    <t>ORD11060</t>
  </si>
  <si>
    <t>ORD11924</t>
  </si>
  <si>
    <t>ORD11704</t>
  </si>
  <si>
    <t>ORD11014</t>
  </si>
  <si>
    <t>ORD12495</t>
  </si>
  <si>
    <t>ORD11453</t>
  </si>
  <si>
    <t>ORD10236</t>
  </si>
  <si>
    <t>ORD11913</t>
  </si>
  <si>
    <t>ORD11928</t>
  </si>
  <si>
    <t>ORD11181</t>
  </si>
  <si>
    <t>ORD11561</t>
  </si>
  <si>
    <t>ORD10469</t>
  </si>
  <si>
    <t>ORD11272</t>
  </si>
  <si>
    <t>ORD11848</t>
  </si>
  <si>
    <t>ORD10594</t>
  </si>
  <si>
    <t>ORD12001</t>
  </si>
  <si>
    <t>ORD10709</t>
  </si>
  <si>
    <t>ORD11069</t>
  </si>
  <si>
    <t>ORD12419</t>
  </si>
  <si>
    <t>ORD10422</t>
  </si>
  <si>
    <t>ORD10975</t>
  </si>
  <si>
    <t>ORD12308</t>
  </si>
  <si>
    <t>ORD12202</t>
  </si>
  <si>
    <t>ORD11045</t>
  </si>
  <si>
    <t>ORD10917</t>
  </si>
  <si>
    <t>ORD10066</t>
  </si>
  <si>
    <t>ORD11724</t>
  </si>
  <si>
    <t>ORD11891</t>
  </si>
  <si>
    <t>ORD11944</t>
  </si>
  <si>
    <t>ORD12079</t>
  </si>
  <si>
    <t>ORD10451</t>
  </si>
  <si>
    <t>ORD11850</t>
  </si>
  <si>
    <t>ORD11334</t>
  </si>
  <si>
    <t>ORD11625</t>
  </si>
  <si>
    <t>ORD11212</t>
  </si>
  <si>
    <t>ORD11837</t>
  </si>
  <si>
    <t>ORD12194</t>
  </si>
  <si>
    <t>ORD12362</t>
  </si>
  <si>
    <t>ORD11172</t>
  </si>
  <si>
    <t>ORD10130</t>
  </si>
  <si>
    <t>ORD10009</t>
  </si>
  <si>
    <t>ORD10634</t>
  </si>
  <si>
    <t>ORD10224</t>
  </si>
  <si>
    <t>ORD12370</t>
  </si>
  <si>
    <t>ORD11870</t>
  </si>
  <si>
    <t>ORD10531</t>
  </si>
  <si>
    <t>ORD10457</t>
  </si>
  <si>
    <t>ORD10474</t>
  </si>
  <si>
    <t>ORD12454</t>
  </si>
  <si>
    <t>ORD11407</t>
  </si>
  <si>
    <t>ORD12259</t>
  </si>
  <si>
    <t>ORD10789</t>
  </si>
  <si>
    <t>ORD11118</t>
  </si>
  <si>
    <t>ORD11314</t>
  </si>
  <si>
    <t>ORD11644</t>
  </si>
  <si>
    <t>ORD10205</t>
  </si>
  <si>
    <t>ORD10698</t>
  </si>
  <si>
    <t>ORD12131</t>
  </si>
  <si>
    <t>ORD11457</t>
  </si>
  <si>
    <t>ORD10993</t>
  </si>
  <si>
    <t>ORD11191</t>
  </si>
  <si>
    <t>ORD10307</t>
  </si>
  <si>
    <t>ORD11256</t>
  </si>
  <si>
    <t>ORD11261</t>
  </si>
  <si>
    <t>ORD11171</t>
  </si>
  <si>
    <t>ORD11068</t>
  </si>
  <si>
    <t>ORD10877</t>
  </si>
  <si>
    <t>ORD11416</t>
  </si>
  <si>
    <t>ORD10569</t>
  </si>
  <si>
    <t>ORD12412</t>
  </si>
  <si>
    <t>ORD11018</t>
  </si>
  <si>
    <t>ORD11651</t>
  </si>
  <si>
    <t>ORD12087</t>
  </si>
  <si>
    <t>ORD10268</t>
  </si>
  <si>
    <t>ORD10059</t>
  </si>
  <si>
    <t>ORD10091</t>
  </si>
  <si>
    <t>ORD10349</t>
  </si>
  <si>
    <t>ORD10310</t>
  </si>
  <si>
    <t>ORD12098</t>
  </si>
  <si>
    <t>ORD10821</t>
  </si>
  <si>
    <t>ORD12420</t>
  </si>
  <si>
    <t>ORD10790</t>
  </si>
  <si>
    <t>ORD11629</t>
  </si>
  <si>
    <t>ORD11739</t>
  </si>
  <si>
    <t>ORD12105</t>
  </si>
  <si>
    <t>ORD11312</t>
  </si>
  <si>
    <t>ORD11290</t>
  </si>
  <si>
    <t>ORD11967</t>
  </si>
  <si>
    <t>ORD10161</t>
  </si>
  <si>
    <t>ORD10131</t>
  </si>
  <si>
    <t>ORD10201</t>
  </si>
  <si>
    <t>ORD12205</t>
  </si>
  <si>
    <t>ORD10887</t>
  </si>
  <si>
    <t>ORD10565</t>
  </si>
  <si>
    <t>ORD10853</t>
  </si>
  <si>
    <t>ORD12482</t>
  </si>
  <si>
    <t>ORD10308</t>
  </si>
  <si>
    <t>ORD12149</t>
  </si>
  <si>
    <t>ORD11708</t>
  </si>
  <si>
    <t>ORD11666</t>
  </si>
  <si>
    <t>ORD11296</t>
  </si>
  <si>
    <t>ORD12411</t>
  </si>
  <si>
    <t>ORD12473</t>
  </si>
  <si>
    <t>ORD10178</t>
  </si>
  <si>
    <t>ORD11511</t>
  </si>
  <si>
    <t>ORD11547</t>
  </si>
  <si>
    <t>ORD12471</t>
  </si>
  <si>
    <t>ORD11168</t>
  </si>
  <si>
    <t>ORD10125</t>
  </si>
  <si>
    <t>ORD12220</t>
  </si>
  <si>
    <t>ORD10103</t>
  </si>
  <si>
    <t>ORD10782</t>
  </si>
  <si>
    <t>ORD11733</t>
  </si>
  <si>
    <t>ORD10797</t>
  </si>
  <si>
    <t>ORD11901</t>
  </si>
  <si>
    <t>ORD11475</t>
  </si>
  <si>
    <t>ORD12015</t>
  </si>
  <si>
    <t>ORD10697</t>
  </si>
  <si>
    <t>ORD10256</t>
  </si>
  <si>
    <t>ORD10079</t>
  </si>
  <si>
    <t>ORD10737</t>
  </si>
  <si>
    <t>ORD10851</t>
  </si>
  <si>
    <t>ORD11283</t>
  </si>
  <si>
    <t>ORD10623</t>
  </si>
  <si>
    <t>ORD10117</t>
  </si>
  <si>
    <t>ORD10631</t>
  </si>
  <si>
    <t>ORD10497</t>
  </si>
  <si>
    <t>ORD12255</t>
  </si>
  <si>
    <t>ORD11001</t>
  </si>
  <si>
    <t>ORD11017</t>
  </si>
  <si>
    <t>ORD10388</t>
  </si>
  <si>
    <t>ORD10192</t>
  </si>
  <si>
    <t>ORD10595</t>
  </si>
  <si>
    <t>ORD10827</t>
  </si>
  <si>
    <t>ORD11177</t>
  </si>
  <si>
    <t>ORD10617</t>
  </si>
  <si>
    <t>ORD10137</t>
  </si>
  <si>
    <t>ORD11352</t>
  </si>
  <si>
    <t>ORD12296</t>
  </si>
  <si>
    <t>ORD11328</t>
  </si>
  <si>
    <t>ORD10848</t>
  </si>
  <si>
    <t>ORD10043</t>
  </si>
  <si>
    <t>ORD11087</t>
  </si>
  <si>
    <t>ORD10356</t>
  </si>
  <si>
    <t>ORD12427</t>
  </si>
  <si>
    <t>ORD10801</t>
  </si>
  <si>
    <t>ORD10199</t>
  </si>
  <si>
    <t>ORD12014</t>
  </si>
  <si>
    <t>ORD12037</t>
  </si>
  <si>
    <t>ORD12314</t>
  </si>
  <si>
    <t>ORD11074</t>
  </si>
  <si>
    <t>ORD11324</t>
  </si>
  <si>
    <t>ORD11409</t>
  </si>
  <si>
    <t>ORD10222</t>
  </si>
  <si>
    <t>ORD11265</t>
  </si>
  <si>
    <t>ORD11321</t>
  </si>
  <si>
    <t>ORD11433</t>
  </si>
  <si>
    <t>ORD10977</t>
  </si>
  <si>
    <t>ORD10371</t>
  </si>
  <si>
    <t>ORD11612</t>
  </si>
  <si>
    <t>ORD11545</t>
  </si>
  <si>
    <t>ORD10947</t>
  </si>
  <si>
    <t>ORD11122</t>
  </si>
  <si>
    <t>ORD12179</t>
  </si>
  <si>
    <t>ORD11974</t>
  </si>
  <si>
    <t>ORD10506</t>
  </si>
  <si>
    <t>ORD11649</t>
  </si>
  <si>
    <t>ORD10289</t>
  </si>
  <si>
    <t>ORD11701</t>
  </si>
  <si>
    <t>ORD12221</t>
  </si>
  <si>
    <t>ORD10150</t>
  </si>
  <si>
    <t>ORD10608</t>
  </si>
  <si>
    <t>ORD12493</t>
  </si>
  <si>
    <t>ORD11129</t>
  </si>
  <si>
    <t>ORD12080</t>
  </si>
  <si>
    <t>ORD12107</t>
  </si>
  <si>
    <t>ORD11935</t>
  </si>
  <si>
    <t>ORD11385</t>
  </si>
  <si>
    <t>ORD12443</t>
  </si>
  <si>
    <t>ORD11326</t>
  </si>
  <si>
    <t>ORD11898</t>
  </si>
  <si>
    <t>ORD11754</t>
  </si>
  <si>
    <t>ORD12297</t>
  </si>
  <si>
    <t>ORD11805</t>
  </si>
  <si>
    <t>ORD11746</t>
  </si>
  <si>
    <t>ORD11187</t>
  </si>
  <si>
    <t>ORD11078</t>
  </si>
  <si>
    <t>ORD12101</t>
  </si>
  <si>
    <t>ORD11594</t>
  </si>
  <si>
    <t>ORD10369</t>
  </si>
  <si>
    <t>ORD11270</t>
  </si>
  <si>
    <t>ORD10635</t>
  </si>
  <si>
    <t>ORD10439</t>
  </si>
  <si>
    <t>ORD11583</t>
  </si>
  <si>
    <t>ORD11527</t>
  </si>
  <si>
    <t>ORD10263</t>
  </si>
  <si>
    <t>ORD12171</t>
  </si>
  <si>
    <t>ORD12084</t>
  </si>
  <si>
    <t>ORD11962</t>
  </si>
  <si>
    <t>ORD12363</t>
  </si>
  <si>
    <t>ORD12426</t>
  </si>
  <si>
    <t>ORD10598</t>
  </si>
  <si>
    <t>ORD11986</t>
  </si>
  <si>
    <t>ORD12278</t>
  </si>
  <si>
    <t>ORD10720</t>
  </si>
  <si>
    <t>ORD10630</t>
  </si>
  <si>
    <t>ORD11806</t>
  </si>
  <si>
    <t>ORD10973</t>
  </si>
  <si>
    <t>ORD10188</t>
  </si>
  <si>
    <t>ORD10944</t>
  </si>
  <si>
    <t>ORD10438</t>
  </si>
  <si>
    <t>ORD12406</t>
  </si>
  <si>
    <t>ORD12181</t>
  </si>
  <si>
    <t>ORD10159</t>
  </si>
  <si>
    <t>ORD11638</t>
  </si>
  <si>
    <t>ORD11993</t>
  </si>
  <si>
    <t>ORD10713</t>
  </si>
  <si>
    <t>ORD10313</t>
  </si>
  <si>
    <t>ORD11783</t>
  </si>
  <si>
    <t>ORD11876</t>
  </si>
  <si>
    <t>ORD11716</t>
  </si>
  <si>
    <t>ORD11420</t>
  </si>
  <si>
    <t>ORD10454</t>
  </si>
  <si>
    <t>ORD11963</t>
  </si>
  <si>
    <t>ORD10878</t>
  </si>
  <si>
    <t>ORD10080</t>
  </si>
  <si>
    <t>ORD11597</t>
  </si>
  <si>
    <t>ORD11614</t>
  </si>
  <si>
    <t>ORD10833</t>
  </si>
  <si>
    <t>ORD11363</t>
  </si>
  <si>
    <t>ORD11642</t>
  </si>
  <si>
    <t>ORD11774</t>
  </si>
  <si>
    <t>ORD10731</t>
  </si>
  <si>
    <t>ORD10524</t>
  </si>
  <si>
    <t>ORD12331</t>
  </si>
  <si>
    <t>ORD10333</t>
  </si>
  <si>
    <t>ORD10241</t>
  </si>
  <si>
    <t>ORD10067</t>
  </si>
  <si>
    <t>ORD11200</t>
  </si>
  <si>
    <t>ORD11015</t>
  </si>
  <si>
    <t>ORD12431</t>
  </si>
  <si>
    <t>ORD10904</t>
  </si>
  <si>
    <t>ORD10868</t>
  </si>
  <si>
    <t>ORD10807</t>
  </si>
  <si>
    <t>ORD10587</t>
  </si>
  <si>
    <t>ORD10638</t>
  </si>
  <si>
    <t>ORD10519</t>
  </si>
  <si>
    <t>ORD11219</t>
  </si>
  <si>
    <t>ORD10956</t>
  </si>
  <si>
    <t>ORD10832</t>
  </si>
  <si>
    <t>ORD11444</t>
  </si>
  <si>
    <t>ORD11691</t>
  </si>
  <si>
    <t>ORD11275</t>
  </si>
  <si>
    <t>ORD10839</t>
  </si>
  <si>
    <t>ORD12453</t>
  </si>
  <si>
    <t>ORD10075</t>
  </si>
  <si>
    <t>ORD10412</t>
  </si>
  <si>
    <t>ORD10606</t>
  </si>
  <si>
    <t>ORD12388</t>
  </si>
  <si>
    <t>ORD12488</t>
  </si>
  <si>
    <t>ORD11307</t>
  </si>
  <si>
    <t>ORD12042</t>
  </si>
  <si>
    <t>ORD11593</t>
  </si>
  <si>
    <t>ORD11104</t>
  </si>
  <si>
    <t>ORD11201</t>
  </si>
  <si>
    <t>ORD10435</t>
  </si>
  <si>
    <t>ORD11700</t>
  </si>
  <si>
    <t>ORD12499</t>
  </si>
  <si>
    <t>ORD11190</t>
  </si>
  <si>
    <t>ORD10014</t>
  </si>
  <si>
    <t>ORD11865</t>
  </si>
  <si>
    <t>ORD11581</t>
  </si>
  <si>
    <t>ORD10926</t>
  </si>
  <si>
    <t>ORD10058</t>
  </si>
  <si>
    <t>ORD10743</t>
  </si>
  <si>
    <t>ORD10006</t>
  </si>
  <si>
    <t>ORD10657</t>
  </si>
  <si>
    <t>ORD10332</t>
  </si>
  <si>
    <t>ORD12408</t>
  </si>
  <si>
    <t>ORD10322</t>
  </si>
  <si>
    <t>ORD11797</t>
  </si>
  <si>
    <t>ORD11750</t>
  </si>
  <si>
    <t>ORD10190</t>
  </si>
  <si>
    <t>ORD11528</t>
  </si>
  <si>
    <t>ORD11426</t>
  </si>
  <si>
    <t>ORD10196</t>
  </si>
  <si>
    <t>ORD11833</t>
  </si>
  <si>
    <t>ORD12361</t>
  </si>
  <si>
    <t>ORD12333</t>
  </si>
  <si>
    <t>ORD11834</t>
  </si>
  <si>
    <t>ORD12040</t>
  </si>
  <si>
    <t>ORD10607</t>
  </si>
  <si>
    <t>ORD11613</t>
  </si>
  <si>
    <t>ORD11169</t>
  </si>
  <si>
    <t>ORD10027</t>
  </si>
  <si>
    <t>ORD10543</t>
  </si>
  <si>
    <t>ORD10736</t>
  </si>
  <si>
    <t>ORD11064</t>
  </si>
  <si>
    <t>ORD12269</t>
  </si>
  <si>
    <t>ORD11347</t>
  </si>
  <si>
    <t>ORD11461</t>
  </si>
  <si>
    <t>ORD11220</t>
  </si>
  <si>
    <t>ORD10998</t>
  </si>
  <si>
    <t>ORD10769</t>
  </si>
  <si>
    <t>ORD10139</t>
  </si>
  <si>
    <t>ORD10626</t>
  </si>
  <si>
    <t>ORD10449</t>
  </si>
  <si>
    <t>ORD12407</t>
  </si>
  <si>
    <t>ORD11563</t>
  </si>
  <si>
    <t>ORD11674</t>
  </si>
  <si>
    <t>ORD12387</t>
  </si>
  <si>
    <t>ORD11379</t>
  </si>
  <si>
    <t>ORD11009</t>
  </si>
  <si>
    <t>ORD11165</t>
  </si>
  <si>
    <t>ORD10629</t>
  </si>
  <si>
    <t>ORD10860</t>
  </si>
  <si>
    <t>ORD11282</t>
  </si>
  <si>
    <t>ORD11718</t>
  </si>
  <si>
    <t>ORD11143</t>
  </si>
  <si>
    <t>ORD11621</t>
  </si>
  <si>
    <t>ORD10115</t>
  </si>
  <si>
    <t>ORD11578</t>
  </si>
  <si>
    <t>ORD12340</t>
  </si>
  <si>
    <t>ORD11878</t>
  </si>
  <si>
    <t>ORD10244</t>
  </si>
  <si>
    <t>ORD12267</t>
  </si>
  <si>
    <t>ORD11760</t>
  </si>
  <si>
    <t>ORD10603</t>
  </si>
  <si>
    <t>ORD12355</t>
  </si>
  <si>
    <t>ORD11736</t>
  </si>
  <si>
    <t>ORD12320</t>
  </si>
  <si>
    <t>ORD11252</t>
  </si>
  <si>
    <t>ORD11299</t>
  </si>
  <si>
    <t>ORD11096</t>
  </si>
  <si>
    <t>ORD11013</t>
  </si>
  <si>
    <t>ORD10164</t>
  </si>
  <si>
    <t>ORD11904</t>
  </si>
  <si>
    <t>ORD11861</t>
  </si>
  <si>
    <t>ORD12338</t>
  </si>
  <si>
    <t>ORD10865</t>
  </si>
  <si>
    <t>ORD12330</t>
  </si>
  <si>
    <t>ORD10345</t>
  </si>
  <si>
    <t>ORD10812</t>
  </si>
  <si>
    <t>ORD11401</t>
  </si>
  <si>
    <t>ORD10538</t>
  </si>
  <si>
    <t>ORD11571</t>
  </si>
  <si>
    <t>ORD12197</t>
  </si>
  <si>
    <t>ORD12287</t>
  </si>
  <si>
    <t>ORD12324</t>
  </si>
  <si>
    <t>ORD11559</t>
  </si>
  <si>
    <t>ORD11381</t>
  </si>
  <si>
    <t>ORD11719</t>
  </si>
  <si>
    <t>ORD11430</t>
  </si>
  <si>
    <t>ORD11623</t>
  </si>
  <si>
    <t>ORD12082</t>
  </si>
  <si>
    <t>ORD10246</t>
  </si>
  <si>
    <t>ORD11728</t>
  </si>
  <si>
    <t>ORD10407</t>
  </si>
  <si>
    <t>ORD12223</t>
  </si>
  <si>
    <t>ORD11847</t>
  </si>
  <si>
    <t>ORD11004</t>
  </si>
  <si>
    <t>ORD11316</t>
  </si>
  <si>
    <t>ORD10011</t>
  </si>
  <si>
    <t>ORD10962</t>
  </si>
  <si>
    <t>ORD11459</t>
  </si>
  <si>
    <t>ORD11857</t>
  </si>
  <si>
    <t>ORD10347</t>
  </si>
  <si>
    <t>ORD11305</t>
  </si>
  <si>
    <t>ORD12386</t>
  </si>
  <si>
    <t>ORD10418</t>
  </si>
  <si>
    <t>ORD10870</t>
  </si>
  <si>
    <t>ORD11320</t>
  </si>
  <si>
    <t>ORD10954</t>
  </si>
  <si>
    <t>ORD11918</t>
  </si>
  <si>
    <t>ORD11007</t>
  </si>
  <si>
    <t>ORD10673</t>
  </si>
  <si>
    <t>ORD10320</t>
  </si>
  <si>
    <t>ORD10177</t>
  </si>
  <si>
    <t>ORD11178</t>
  </si>
  <si>
    <t>ORD10937</t>
  </si>
  <si>
    <t>ORD12489</t>
  </si>
  <si>
    <t>ORD11469</t>
  </si>
  <si>
    <t>ORD12110</t>
  </si>
  <si>
    <t>ORD11231</t>
  </si>
  <si>
    <t>ORD10798</t>
  </si>
  <si>
    <t>ORD11557</t>
  </si>
  <si>
    <t>ORD11801</t>
  </si>
  <si>
    <t>ORD10309</t>
  </si>
  <si>
    <t>ORD11454</t>
  </si>
  <si>
    <t>ORD11516</t>
  </si>
  <si>
    <t>ORD11667</t>
  </si>
  <si>
    <t>ORD11284</t>
  </si>
  <si>
    <t>ORD12323</t>
  </si>
  <si>
    <t>ORD11140</t>
  </si>
  <si>
    <t>ORD10348</t>
  </si>
  <si>
    <t>ORD12117</t>
  </si>
  <si>
    <t>ORD10440</t>
  </si>
  <si>
    <t>ORD10197</t>
  </si>
  <si>
    <t>ORD10665</t>
  </si>
  <si>
    <t>ORD11053</t>
  </si>
  <si>
    <t>ORD11860</t>
  </si>
  <si>
    <t>ORD10019</t>
  </si>
  <si>
    <t>ORD10018</t>
  </si>
  <si>
    <t>ORD10305</t>
  </si>
  <si>
    <t>ORD11146</t>
  </si>
  <si>
    <t>ORD11266</t>
  </si>
  <si>
    <t>ORD11021</t>
  </si>
  <si>
    <t>ORD10933</t>
  </si>
  <si>
    <t>ORD10049</t>
  </si>
  <si>
    <t>ORD12035</t>
  </si>
  <si>
    <t>ORD12428</t>
  </si>
  <si>
    <t>ORD10397</t>
  </si>
  <si>
    <t>ORD10768</t>
  </si>
  <si>
    <t>ORD10791</t>
  </si>
  <si>
    <t>ORD10677</t>
  </si>
  <si>
    <t>ORD11095</t>
  </si>
  <si>
    <t>ORD10668</t>
  </si>
  <si>
    <t>ORD10446</t>
  </si>
  <si>
    <t>ORD10558</t>
  </si>
  <si>
    <t>ORD11098</t>
  </si>
  <si>
    <t>ORD12353</t>
  </si>
  <si>
    <t>ORD10969</t>
  </si>
  <si>
    <t>ORD10350</t>
  </si>
  <si>
    <t>ORD10062</t>
  </si>
  <si>
    <t>ORD11026</t>
  </si>
  <si>
    <t>ORD10262</t>
  </si>
  <si>
    <t>ORD10837</t>
  </si>
  <si>
    <t>ORD11223</t>
  </si>
  <si>
    <t>ORD12148</t>
  </si>
  <si>
    <t>ORD11886</t>
  </si>
  <si>
    <t>ORD10695</t>
  </si>
  <si>
    <t>ORD10559</t>
  </si>
  <si>
    <t>ORD11821</t>
  </si>
  <si>
    <t>ORD11138</t>
  </si>
  <si>
    <t>ORD12271</t>
  </si>
  <si>
    <t>ORD12294</t>
  </si>
  <si>
    <t>ORD11127</t>
  </si>
  <si>
    <t>ORD11123</t>
  </si>
  <si>
    <t>ORD11515</t>
  </si>
  <si>
    <t>ORD11340</t>
  </si>
  <si>
    <t>ORD11858</t>
  </si>
  <si>
    <t>ORD11884</t>
  </si>
  <si>
    <t>ORD10420</t>
  </si>
  <si>
    <t>ORD10392</t>
  </si>
  <si>
    <t>ORD10478</t>
  </si>
  <si>
    <t>ORD10229</t>
  </si>
  <si>
    <t>ORD11788</t>
  </si>
  <si>
    <t>ORD10997</t>
  </si>
  <si>
    <t>ORD10455</t>
  </si>
  <si>
    <t>ORD12119</t>
  </si>
  <si>
    <t>ORD11192</t>
  </si>
  <si>
    <t>ORD12317</t>
  </si>
  <si>
    <t>ORD12423</t>
  </si>
  <si>
    <t>ORD11599</t>
  </si>
  <si>
    <t>ORD10890</t>
  </si>
  <si>
    <t>ORD10834</t>
  </si>
  <si>
    <t>ORD10965</t>
  </si>
  <si>
    <t>ORD11656</t>
  </si>
  <si>
    <t>ORD10157</t>
  </si>
  <si>
    <t>ORD10069</t>
  </si>
  <si>
    <t>ORD11602</t>
  </si>
  <si>
    <t>ORD11041</t>
  </si>
  <si>
    <t>ORD10511</t>
  </si>
  <si>
    <t>ORD11497</t>
  </si>
  <si>
    <t>ORD11664</t>
  </si>
  <si>
    <t>ORD11843</t>
  </si>
  <si>
    <t>ORD10687</t>
  </si>
  <si>
    <t>ORD10920</t>
  </si>
  <si>
    <t>ORD10260</t>
  </si>
  <si>
    <t>ORD12299</t>
  </si>
  <si>
    <t>ORD10207</t>
  </si>
  <si>
    <t>ORD11605</t>
  </si>
  <si>
    <t>ORD11157</t>
  </si>
  <si>
    <t>ORD11657</t>
  </si>
  <si>
    <t>ORD10441</t>
  </si>
  <si>
    <t>ORD10974</t>
  </si>
  <si>
    <t>ORD10767</t>
  </si>
  <si>
    <t>ORD11509</t>
  </si>
  <si>
    <t>ORD11249</t>
  </si>
  <si>
    <t>ORD10651</t>
  </si>
  <si>
    <t>ORD11951</t>
  </si>
  <si>
    <t>ORD11384</t>
  </si>
  <si>
    <t>ORD11242</t>
  </si>
  <si>
    <t>ORD10272</t>
  </si>
  <si>
    <t>ORD10290</t>
  </si>
  <si>
    <t>ORD11152</t>
  </si>
  <si>
    <t>ORD10842</t>
  </si>
  <si>
    <t>ORD12438</t>
  </si>
  <si>
    <t>ORD11473</t>
  </si>
  <si>
    <t>ORD12375</t>
  </si>
  <si>
    <t>ORD12332</t>
  </si>
  <si>
    <t>ORD12096</t>
  </si>
  <si>
    <t>ORD12441</t>
  </si>
  <si>
    <t>ORD12385</t>
  </si>
  <si>
    <t>ORD12487</t>
  </si>
  <si>
    <t>ORD12016</t>
  </si>
  <si>
    <t>ORD10929</t>
  </si>
  <si>
    <t>ORD12272</t>
  </si>
  <si>
    <t>ORD12288</t>
  </si>
  <si>
    <t>ORD10484</t>
  </si>
  <si>
    <t>ORD11027</t>
  </si>
  <si>
    <t>ORD11194</t>
  </si>
  <si>
    <t>ORD10508</t>
  </si>
  <si>
    <t>ORD11167</t>
  </si>
  <si>
    <t>ORD11141</t>
  </si>
  <si>
    <t>ORD11803</t>
  </si>
  <si>
    <t>ORD10158</t>
  </si>
  <si>
    <t>ORD12372</t>
  </si>
  <si>
    <t>ORD10779</t>
  </si>
  <si>
    <t>ORD11311</t>
  </si>
  <si>
    <t>ORD10257</t>
  </si>
  <si>
    <t>ORD11443</t>
  </si>
  <si>
    <t>ORD12187</t>
  </si>
  <si>
    <t>ORD11062</t>
  </si>
  <si>
    <t>ORD10722</t>
  </si>
  <si>
    <t>ORD10414</t>
  </si>
  <si>
    <t>ORD10605</t>
  </si>
  <si>
    <t>ORD11112</t>
  </si>
  <si>
    <t>ORD12165</t>
  </si>
  <si>
    <t>ORD10299</t>
  </si>
  <si>
    <t>ORD10661</t>
  </si>
  <si>
    <t>ORD12182</t>
  </si>
  <si>
    <t>ORD11758</t>
  </si>
  <si>
    <t>ORD10277</t>
  </si>
  <si>
    <t>ORD12151</t>
  </si>
  <si>
    <t>ORD10318</t>
  </si>
  <si>
    <t>ORD11435</t>
  </si>
  <si>
    <t>ORD11077</t>
  </si>
  <si>
    <t>ORD11868</t>
  </si>
  <si>
    <t>ORD12057</t>
  </si>
  <si>
    <t>ORD10830</t>
  </si>
  <si>
    <t>ORD10413</t>
  </si>
  <si>
    <t>ORD10264</t>
  </si>
  <si>
    <t>ORD11916</t>
  </si>
  <si>
    <t>ORD10952</t>
  </si>
  <si>
    <t>ORD11856</t>
  </si>
  <si>
    <t>ORD11679</t>
  </si>
  <si>
    <t>ORD11615</t>
  </si>
  <si>
    <t>ORD11501</t>
  </si>
  <si>
    <t>ORD11421</t>
  </si>
  <si>
    <t>ORD10906</t>
  </si>
  <si>
    <t>ORD10781</t>
  </si>
  <si>
    <t>ORD10462</t>
  </si>
  <si>
    <t>ORD10692</t>
  </si>
  <si>
    <t>ORD10566</t>
  </si>
  <si>
    <t>ORD11162</t>
  </si>
  <si>
    <t>ORD11120</t>
  </si>
  <si>
    <t>ORD10085</t>
  </si>
  <si>
    <t>ORD11763</t>
  </si>
  <si>
    <t>ORD11809</t>
  </si>
  <si>
    <t>ORD10367</t>
  </si>
  <si>
    <t>ORD10717</t>
  </si>
  <si>
    <t>ORD12470</t>
  </si>
  <si>
    <t>ORD10547</t>
  </si>
  <si>
    <t>ORD11744</t>
  </si>
  <si>
    <t>ORD11366</t>
  </si>
  <si>
    <t>ORD10927</t>
  </si>
  <si>
    <t>ORD12235</t>
  </si>
  <si>
    <t>ORD12307</t>
  </si>
  <si>
    <t>ORD10118</t>
  </si>
  <si>
    <t>ORD10856</t>
  </si>
  <si>
    <t>ORD11233</t>
  </si>
  <si>
    <t>ORD10237</t>
  </si>
  <si>
    <t>ORD12135</t>
  </si>
  <si>
    <t>ORD10295</t>
  </si>
  <si>
    <t>ORD10231</t>
  </si>
  <si>
    <t>ORD10729</t>
  </si>
  <si>
    <t>ORD10883</t>
  </si>
  <si>
    <t>ORD11907</t>
  </si>
  <si>
    <t>ORD10721</t>
  </si>
  <si>
    <t>ORD10955</t>
  </si>
  <si>
    <t>ORD12285</t>
  </si>
  <si>
    <t>ORD11842</t>
  </si>
  <si>
    <t>ORD10493</t>
  </si>
  <si>
    <t>ORD10820</t>
  </si>
  <si>
    <t>ORD11871</t>
  </si>
  <si>
    <t>ORD11431</t>
  </si>
  <si>
    <t>ORD11483</t>
  </si>
  <si>
    <t>ORD11153</t>
  </si>
  <si>
    <t>ORD11683</t>
  </si>
  <si>
    <t>ORD10534</t>
  </si>
  <si>
    <t>ORD12213</t>
  </si>
  <si>
    <t>ORD11671</t>
  </si>
  <si>
    <t>ORD12167</t>
  </si>
  <si>
    <t>ORD10643</t>
  </si>
  <si>
    <t>ORD10213</t>
  </si>
  <si>
    <t>ORD11707</t>
  </si>
  <si>
    <t>ORD10098</t>
  </si>
  <si>
    <t>ORD10504</t>
  </si>
  <si>
    <t>ORD10989</t>
  </si>
  <si>
    <t>ORD10145</t>
  </si>
  <si>
    <t>ORD11383</t>
  </si>
  <si>
    <t>ORD11692</t>
  </si>
  <si>
    <t>ORD10144</t>
  </si>
  <si>
    <t>ORD11392</t>
  </si>
  <si>
    <t>ORD10243</t>
  </si>
  <si>
    <t>ORD11647</t>
  </si>
  <si>
    <t>ORD11182</t>
  </si>
  <si>
    <t>ORD12405</t>
  </si>
  <si>
    <t>ORD11298</t>
  </si>
  <si>
    <t>ORD10923</t>
  </si>
  <si>
    <t>ORD10639</t>
  </si>
  <si>
    <t>ORD10034</t>
  </si>
  <si>
    <t>ORD10618</t>
  </si>
  <si>
    <t>ORD11022</t>
  </si>
  <si>
    <t>ORD10121</t>
  </si>
  <si>
    <t>ORD10189</t>
  </si>
  <si>
    <t>ORD11330</t>
  </si>
  <si>
    <t>ORD12316</t>
  </si>
  <si>
    <t>ORD10627</t>
  </si>
  <si>
    <t>ORD10940</t>
  </si>
  <si>
    <t>ORD12177</t>
  </si>
  <si>
    <t>ORD10892</t>
  </si>
  <si>
    <t>ORD10996</t>
  </si>
  <si>
    <t>ORD10015</t>
  </si>
  <si>
    <t>ORD11345</t>
  </si>
  <si>
    <t>ORD11582</t>
  </si>
  <si>
    <t>ORD12142</t>
  </si>
  <si>
    <t>ORD10649</t>
  </si>
  <si>
    <t>ORD10393</t>
  </si>
  <si>
    <t>ORD10281</t>
  </si>
  <si>
    <t>ORD10087</t>
  </si>
  <si>
    <t>ORD10778</t>
  </si>
  <si>
    <t>ORD12090</t>
  </si>
  <si>
    <t>ORD10363</t>
  </si>
  <si>
    <t>ORD11816</t>
  </si>
  <si>
    <t>ORD10663</t>
  </si>
  <si>
    <t>ORD11038</t>
  </si>
  <si>
    <t>ORD11853</t>
  </si>
  <si>
    <t>ORD12273</t>
  </si>
  <si>
    <t>ORD10706</t>
  </si>
  <si>
    <t>ORD10845</t>
  </si>
  <si>
    <t>ORD10994</t>
  </si>
  <si>
    <t>ORD10053</t>
  </si>
  <si>
    <t>ORD12076</t>
  </si>
  <si>
    <t>ORD12062</t>
  </si>
  <si>
    <t>ORD11729</t>
  </si>
  <si>
    <t>ORD10135</t>
  </si>
  <si>
    <t>ORD10507</t>
  </si>
  <si>
    <t>ORD10211</t>
  </si>
  <si>
    <t>ORD12399</t>
  </si>
  <si>
    <t>ORD11767</t>
  </si>
  <si>
    <t>ORD10930</t>
  </si>
  <si>
    <t>ORD11626</t>
  </si>
  <si>
    <t>ORD12074</t>
  </si>
  <si>
    <t>ORD10390</t>
  </si>
  <si>
    <t>ORD11446</t>
  </si>
  <si>
    <t>ORD10610</t>
  </si>
  <si>
    <t>ORD10561</t>
  </si>
  <si>
    <t>ORD10061</t>
  </si>
  <si>
    <t>ORD12292</t>
  </si>
  <si>
    <t>ORD11247</t>
  </si>
  <si>
    <t>ORD11011</t>
  </si>
  <si>
    <t>ORD11899</t>
  </si>
  <si>
    <t>ORD11873</t>
  </si>
  <si>
    <t>ORD10609</t>
  </si>
  <si>
    <t>ORD10424</t>
  </si>
  <si>
    <t>ORD10072</t>
  </si>
  <si>
    <t>ORD11355</t>
  </si>
  <si>
    <t>ORD11419</t>
  </si>
  <si>
    <t>ORD10527</t>
  </si>
  <si>
    <t>ORD11781</t>
  </si>
  <si>
    <t>ORD10809</t>
  </si>
  <si>
    <t>ORD11791</t>
  </si>
  <si>
    <t>ORD10248</t>
  </si>
  <si>
    <t>ORD10653</t>
  </si>
  <si>
    <t>ORD11410</t>
  </si>
  <si>
    <t>ORD10670</t>
  </si>
  <si>
    <t>ORD10002</t>
  </si>
  <si>
    <t>ORD11720</t>
  </si>
  <si>
    <t>ORD10122</t>
  </si>
  <si>
    <t>ORD11777</t>
  </si>
  <si>
    <t>ORD10134</t>
  </si>
  <si>
    <t>ORD10443</t>
  </si>
  <si>
    <t>ORD11685</t>
  </si>
  <si>
    <t>ORD10039</t>
  </si>
  <si>
    <t>ORD12442</t>
  </si>
  <si>
    <t>ORD12354</t>
  </si>
  <si>
    <t>ORD11894</t>
  </si>
  <si>
    <t>ORD10521</t>
  </si>
  <si>
    <t>ORD11099</t>
  </si>
  <si>
    <t>ORD10916</t>
  </si>
  <si>
    <t>ORD12436</t>
  </si>
  <si>
    <t>ORD10831</t>
  </si>
  <si>
    <t>ORD10116</t>
  </si>
  <si>
    <t>ORD11759</t>
  </si>
  <si>
    <t>ORD10319</t>
  </si>
  <si>
    <t>ORD12310</t>
  </si>
  <si>
    <t>ORD10761</t>
  </si>
  <si>
    <t>ORD10528</t>
  </si>
  <si>
    <t>ORD10016</t>
  </si>
  <si>
    <t>ORD12293</t>
  </si>
  <si>
    <t>ORD10352</t>
  </si>
  <si>
    <t>ORD10471</t>
  </si>
  <si>
    <t>ORD11883</t>
  </si>
  <si>
    <t>ORD10215</t>
  </si>
  <si>
    <t>ORD10427</t>
  </si>
  <si>
    <t>ORD11844</t>
  </si>
  <si>
    <t>ORD11513</t>
  </si>
  <si>
    <t>ORD10741</t>
  </si>
  <si>
    <t>ORD12477</t>
  </si>
  <si>
    <t>ORD10168</t>
  </si>
  <si>
    <t>ORD11955</t>
  </si>
  <si>
    <t>ORD12077</t>
  </si>
  <si>
    <t>ORD11301</t>
  </si>
  <si>
    <t>ORD11996</t>
  </si>
  <si>
    <t>ORD10403</t>
  </si>
  <si>
    <t>ORD11063</t>
  </si>
  <si>
    <t>ORD10750</t>
  </si>
  <si>
    <t>ORD12071</t>
  </si>
  <si>
    <t>ORD11938</t>
  </si>
  <si>
    <t>ORD10212</t>
  </si>
  <si>
    <t>ORD11761</t>
  </si>
  <si>
    <t>ORD10829</t>
  </si>
  <si>
    <t>ORD12392</t>
  </si>
  <si>
    <t>ORD10044</t>
  </si>
  <si>
    <t>ORD10895</t>
  </si>
  <si>
    <t>ORD11016</t>
  </si>
  <si>
    <t>ORD12357</t>
  </si>
  <si>
    <t>ORD10170</t>
  </si>
  <si>
    <t>ORD10133</t>
  </si>
  <si>
    <t>ORD11183</t>
  </si>
  <si>
    <t>ORD11197</t>
  </si>
  <si>
    <t>ORD10488</t>
  </si>
  <si>
    <t>ORD12032</t>
  </si>
  <si>
    <t>ORD12403</t>
  </si>
  <si>
    <t>ORD10490</t>
  </si>
  <si>
    <t>ORD11458</t>
  </si>
  <si>
    <t>ORD10863</t>
  </si>
  <si>
    <t>ORD10432</t>
  </si>
  <si>
    <t>ORD12216</t>
  </si>
  <si>
    <t>ORD11135</t>
  </si>
  <si>
    <t>ORD10719</t>
  </si>
  <si>
    <t>ORD12391</t>
  </si>
  <si>
    <t>ORD11102</t>
  </si>
  <si>
    <t>ORD10614</t>
  </si>
  <si>
    <t>ORD10466</t>
  </si>
  <si>
    <t>ORD11659</t>
  </si>
  <si>
    <t>ORD10759</t>
  </si>
  <si>
    <t>ORD10214</t>
  </si>
  <si>
    <t>ORD10083</t>
  </si>
  <si>
    <t>ORD11059</t>
  </si>
  <si>
    <t>ORD12060</t>
  </si>
  <si>
    <t>ORD11008</t>
  </si>
  <si>
    <t>ORD12498</t>
  </si>
  <si>
    <t>ORD12210</t>
  </si>
  <si>
    <t>ORD11365</t>
  </si>
  <si>
    <t>ORD12383</t>
  </si>
  <si>
    <t>ORD10052</t>
  </si>
  <si>
    <t>ORD12469</t>
  </si>
  <si>
    <t>ORD10968</t>
  </si>
  <si>
    <t>ORD10238</t>
  </si>
  <si>
    <t>ORD11711</t>
  </si>
  <si>
    <t>ORD11232</t>
  </si>
  <si>
    <t>ORD10076</t>
  </si>
  <si>
    <t>ORD10515</t>
  </si>
  <si>
    <t>ORD11681</t>
  </si>
  <si>
    <t>ORD11727</t>
  </si>
  <si>
    <t>ORD10321</t>
  </si>
  <si>
    <t>ORD11677</t>
  </si>
  <si>
    <t>ORD11588</t>
  </si>
  <si>
    <t>ORD10637</t>
  </si>
  <si>
    <t>ORD11323</t>
  </si>
  <si>
    <t>ORD10992</t>
  </si>
  <si>
    <t>ORD11412</t>
  </si>
  <si>
    <t>ORD11715</t>
  </si>
  <si>
    <t>ORD11189</t>
  </si>
  <si>
    <t>ORD11731</t>
  </si>
  <si>
    <t>ORD11672</t>
  </si>
  <si>
    <t>ORD10777</t>
  </si>
  <si>
    <t>ORD11973</t>
  </si>
  <si>
    <t>ORD11911</t>
  </si>
  <si>
    <t>ORD11075</t>
  </si>
  <si>
    <t>ORD11694</t>
  </si>
  <si>
    <t>ORD11520</t>
  </si>
  <si>
    <t>ORD10788</t>
  </si>
  <si>
    <t>ORD10202</t>
  </si>
  <si>
    <t>ORD11808</t>
  </si>
  <si>
    <t>ORD11251</t>
  </si>
  <si>
    <t>ORD10773</t>
  </si>
  <si>
    <t>ORD11828</t>
  </si>
  <si>
    <t>ORD11196</t>
  </si>
  <si>
    <t>ORD10988</t>
  </si>
  <si>
    <t>ORD10539</t>
  </si>
  <si>
    <t>ORD12138</t>
  </si>
  <si>
    <t>ORD12109</t>
  </si>
  <si>
    <t>ORD10756</t>
  </si>
  <si>
    <t>ORD10557</t>
  </si>
  <si>
    <t>ORD11992</t>
  </si>
  <si>
    <t>ORD11434</t>
  </si>
  <si>
    <t>ORD11452</t>
  </si>
  <si>
    <t>ORD10172</t>
  </si>
  <si>
    <t>ORD11225</t>
  </si>
  <si>
    <t>ORD10867</t>
  </si>
  <si>
    <t>ORD12418</t>
  </si>
  <si>
    <t>ORD10874</t>
  </si>
  <si>
    <t>ORD10271</t>
  </si>
  <si>
    <t>ORD12359</t>
  </si>
  <si>
    <t>ORD11538</t>
  </si>
  <si>
    <t>ORD10945</t>
  </si>
  <si>
    <t>ORD10285</t>
  </si>
  <si>
    <t>ORD11057</t>
  </si>
  <si>
    <t>ORD11888</t>
  </si>
  <si>
    <t>ORD12013</t>
  </si>
  <si>
    <t>ORD11952</t>
  </si>
  <si>
    <t>ORD12404</t>
  </si>
  <si>
    <t>ORD10943</t>
  </si>
  <si>
    <t>ORD10104</t>
  </si>
  <si>
    <t>ORD10648</t>
  </si>
  <si>
    <t>ORD11110</t>
  </si>
  <si>
    <t>ORD11978</t>
  </si>
  <si>
    <t>ORD10459</t>
  </si>
  <si>
    <t>ORD11859</t>
  </si>
  <si>
    <t>ORD11248</t>
  </si>
  <si>
    <t>ORD11359</t>
  </si>
  <si>
    <t>ORD12146</t>
  </si>
  <si>
    <t>ORD11468</t>
  </si>
  <si>
    <t>ORD12460</t>
  </si>
  <si>
    <t>ORD10755</t>
  </si>
  <si>
    <t>ORD10849</t>
  </si>
  <si>
    <t>ORD10518</t>
  </si>
  <si>
    <t>ORD10300</t>
  </si>
  <si>
    <t>ORD12468</t>
  </si>
  <si>
    <t>ORD10447</t>
  </si>
  <si>
    <t>ORD10013</t>
  </si>
  <si>
    <t>ORD10195</t>
  </si>
  <si>
    <t>ORD11476</t>
  </si>
  <si>
    <t>ORD12158</t>
  </si>
  <si>
    <t>ORD11114</t>
  </si>
  <si>
    <t>ORD11094</t>
  </si>
  <si>
    <t>ORD11543</t>
  </si>
  <si>
    <t>ORD11574</t>
  </si>
  <si>
    <t>ORD10960</t>
  </si>
  <si>
    <t>ORD12068</t>
  </si>
  <si>
    <t>ORD10716</t>
  </si>
  <si>
    <t>ORD12069</t>
  </si>
  <si>
    <t>ORD10460</t>
  </si>
  <si>
    <t>ORD12343</t>
  </si>
  <si>
    <t>ORD11969</t>
  </si>
  <si>
    <t>ORD12281</t>
  </si>
  <si>
    <t>ORD10961</t>
  </si>
  <si>
    <t>ORD11841</t>
  </si>
  <si>
    <t>ORD10315</t>
  </si>
  <si>
    <t>ORD10802</t>
  </si>
  <si>
    <t>ORD11423</t>
  </si>
  <si>
    <t>ORD10331</t>
  </si>
  <si>
    <t>ORD11961</t>
  </si>
  <si>
    <t>ORD10800</t>
  </si>
  <si>
    <t>ORD10108</t>
  </si>
  <si>
    <t>ORD10982</t>
  </si>
  <si>
    <t>ORD10167</t>
  </si>
  <si>
    <t>ORD11213</t>
  </si>
  <si>
    <t>ORD11676</t>
  </si>
  <si>
    <t>ORD10405</t>
  </si>
  <si>
    <t>ORD10676</t>
  </si>
  <si>
    <t>ORD10641</t>
  </si>
  <si>
    <t>ORD11949</t>
  </si>
  <si>
    <t>ORD10325</t>
  </si>
  <si>
    <t>ORD12256</t>
  </si>
  <si>
    <t>ORD11541</t>
  </si>
  <si>
    <t>ORD10879</t>
  </si>
  <si>
    <t>ORD11804</t>
  </si>
  <si>
    <t>ORD10194</t>
  </si>
  <si>
    <t>ORD10149</t>
  </si>
  <si>
    <t>ORD11144</t>
  </si>
  <si>
    <t>ORD12300</t>
  </si>
  <si>
    <t>ORD12209</t>
  </si>
  <si>
    <t>ORD12247</t>
  </si>
  <si>
    <t>ORD12409</t>
  </si>
  <si>
    <t>ORD11560</t>
  </si>
  <si>
    <t>ORD10708</t>
  </si>
  <si>
    <t>ORD12394</t>
  </si>
  <si>
    <t>ORD11577</t>
  </si>
  <si>
    <t>ORD12232</t>
  </si>
  <si>
    <t>ORD11592</t>
  </si>
  <si>
    <t>ORD12180</t>
  </si>
  <si>
    <t>ORD12128</t>
  </si>
  <si>
    <t>ORD11544</t>
  </si>
  <si>
    <t>ORD11360</t>
  </si>
  <si>
    <t>ORD11709</t>
  </si>
  <si>
    <t>ORD11619</t>
  </si>
  <si>
    <t>ORD12380</t>
  </si>
  <si>
    <t>ORD10408</t>
  </si>
  <si>
    <t>ORD11411</t>
  </si>
  <si>
    <t>ORD10112</t>
  </si>
  <si>
    <t>ORD11080</t>
  </si>
  <si>
    <t>ORD11610</t>
  </si>
  <si>
    <t>ORD11587</t>
  </si>
  <si>
    <t>ORD10662</t>
  </si>
  <si>
    <t>ORD12393</t>
  </si>
  <si>
    <t>ORD10467</t>
  </si>
  <si>
    <t>ORD12174</t>
  </si>
  <si>
    <t>ORD10250</t>
  </si>
  <si>
    <t>ORD12050</t>
  </si>
  <si>
    <t>ORD10339</t>
  </si>
  <si>
    <t>ORD10181</t>
  </si>
  <si>
    <t>ORD10399</t>
  </si>
  <si>
    <t>ORD11085</t>
  </si>
  <si>
    <t>ORD11607</t>
  </si>
  <si>
    <t>ORD11998</t>
  </si>
  <si>
    <t>ORD11408</t>
  </si>
  <si>
    <t>ORD12358</t>
  </si>
  <si>
    <t>ORD10550</t>
  </si>
  <si>
    <t>ORD10175</t>
  </si>
  <si>
    <t>ORD10297</t>
  </si>
  <si>
    <t>ORD10991</t>
  </si>
  <si>
    <t>ORD12075</t>
  </si>
  <si>
    <t>ORD10060</t>
  </si>
  <si>
    <t>ORD11741</t>
  </si>
  <si>
    <t>ORD11778</t>
  </si>
  <si>
    <t>ORD10311</t>
  </si>
  <si>
    <t>ORD11502</t>
  </si>
  <si>
    <t>ORD10326</t>
  </si>
  <si>
    <t>ORD11655</t>
  </si>
  <si>
    <t>ORD12464</t>
  </si>
  <si>
    <t>ORD11293</t>
  </si>
  <si>
    <t>ORD11869</t>
  </si>
  <si>
    <t>ORD10535</t>
  </si>
  <si>
    <t>ORD10858</t>
  </si>
  <si>
    <t>ORD11148</t>
  </si>
  <si>
    <t>ORD11451</t>
  </si>
  <si>
    <t>ORD12289</t>
  </si>
  <si>
    <t>ORD11413</t>
  </si>
  <si>
    <t>ORD10024</t>
  </si>
  <si>
    <t>ORD12481</t>
  </si>
  <si>
    <t>ORD11241</t>
  </si>
  <si>
    <t>ORD10562</t>
  </si>
  <si>
    <t>ORD10682</t>
  </si>
  <si>
    <t>ORD10200</t>
  </si>
  <si>
    <t>ORD10314</t>
  </si>
  <si>
    <t>ORD10902</t>
  </si>
  <si>
    <t>ORD12041</t>
  </si>
  <si>
    <t>ORD10533</t>
  </si>
  <si>
    <t>ORD12491</t>
  </si>
  <si>
    <t>ORD10249</t>
  </si>
  <si>
    <t>ORD12007</t>
  </si>
  <si>
    <t>ORD11308</t>
  </si>
  <si>
    <t>ORD12384</t>
  </si>
  <si>
    <t>ORD11058</t>
  </si>
  <si>
    <t>ORD10094</t>
  </si>
  <si>
    <t>ORD12389</t>
  </si>
  <si>
    <t>ORD11482</t>
  </si>
  <si>
    <t>ORD10871</t>
  </si>
  <si>
    <t>ORD11710</t>
  </si>
  <si>
    <t>ORD11616</t>
  </si>
  <si>
    <t>ORD10472</t>
  </si>
  <si>
    <t>ORD10671</t>
  </si>
  <si>
    <t>ORD10935</t>
  </si>
  <si>
    <t>ORD12100</t>
  </si>
  <si>
    <t>ORD12266</t>
  </si>
  <si>
    <t>ORD12089</t>
  </si>
  <si>
    <t>ORD10208</t>
  </si>
  <si>
    <t>ORD10500</t>
  </si>
  <si>
    <t>ORD10796</t>
  </si>
  <si>
    <t>ORD10936</t>
  </si>
  <si>
    <t>ORD12276</t>
  </si>
  <si>
    <t>ORD11358</t>
  </si>
  <si>
    <t>ORD10470</t>
  </si>
  <si>
    <t>ORD11072</t>
  </si>
  <si>
    <t>ORD10337</t>
  </si>
  <si>
    <t>ORD11035</t>
  </si>
  <si>
    <t>ORD10784</t>
  </si>
  <si>
    <t>ORD10970</t>
  </si>
  <si>
    <t>ORD10551</t>
  </si>
  <si>
    <t>ORD10514</t>
  </si>
  <si>
    <t>ORD10106</t>
  </si>
  <si>
    <t>ORD10814</t>
  </si>
  <si>
    <t>ORD11866</t>
  </si>
  <si>
    <t>ORD10742</t>
  </si>
  <si>
    <t>ORD11566</t>
  </si>
  <si>
    <t>ORD12424</t>
  </si>
  <si>
    <t>ORD11418</t>
  </si>
  <si>
    <t>ORD10903</t>
  </si>
  <si>
    <t>ORD11214</t>
  </si>
  <si>
    <t>ORD10251</t>
  </si>
  <si>
    <t>ORD11050</t>
  </si>
  <si>
    <t>ORD11073</t>
  </si>
  <si>
    <t>ORD11867</t>
  </si>
  <si>
    <t>ORD11280</t>
  </si>
  <si>
    <t>ORD10483</t>
  </si>
  <si>
    <t>ORD11608</t>
  </si>
  <si>
    <t>ORD11854</t>
  </si>
  <si>
    <t>ORD10686</t>
  </si>
  <si>
    <t>ORD10644</t>
  </si>
  <si>
    <t>ORD10163</t>
  </si>
  <si>
    <t>ORD10040</t>
  </si>
  <si>
    <t>ORD11811</t>
  </si>
  <si>
    <t>ORD11532</t>
  </si>
  <si>
    <t>ORD11826</t>
  </si>
  <si>
    <t>ORD11798</t>
  </si>
  <si>
    <t>ORD10294</t>
  </si>
  <si>
    <t>ORD11769</t>
  </si>
  <si>
    <t>ORD11404</t>
  </si>
  <si>
    <t>ORD11447</t>
  </si>
  <si>
    <t>ORD11100</t>
  </si>
  <si>
    <t>ORD12342</t>
  </si>
  <si>
    <t>ORD12414</t>
  </si>
  <si>
    <t>ORD10795</t>
  </si>
  <si>
    <t>ORD11941</t>
  </si>
  <si>
    <t>ORD11240</t>
  </si>
  <si>
    <t>ORD11006</t>
  </si>
  <si>
    <t>ORD11796</t>
  </si>
  <si>
    <t>ORD10334</t>
  </si>
  <si>
    <t>ORD12052</t>
  </si>
  <si>
    <t>ORD10754</t>
  </si>
  <si>
    <t>ORD10983</t>
  </si>
  <si>
    <t>ORD11389</t>
  </si>
  <si>
    <t>ORD11930</t>
  </si>
  <si>
    <t>ORD10100</t>
  </si>
  <si>
    <t>ORD10036</t>
  </si>
  <si>
    <t>ORD10530</t>
  </si>
  <si>
    <t>ORD10398</t>
  </si>
  <si>
    <t>ORD11723</t>
  </si>
  <si>
    <t>ORD12027</t>
  </si>
  <si>
    <t>ORD10972</t>
  </si>
  <si>
    <t>ORD10712</t>
  </si>
  <si>
    <t>ORD12280</t>
  </si>
  <si>
    <t>ORD11604</t>
  </si>
  <si>
    <t>ORD11732</t>
  </si>
  <si>
    <t>ORD10182</t>
  </si>
  <si>
    <t>ORD11139</t>
  </si>
  <si>
    <t>ORD11820</t>
  </si>
  <si>
    <t>ORD12162</t>
  </si>
  <si>
    <t>ORD12335</t>
  </si>
  <si>
    <t>ORD11317</t>
  </si>
  <si>
    <t>ORD10889</t>
  </si>
  <si>
    <t>ORD12396</t>
  </si>
  <si>
    <t>ORD11406</t>
  </si>
  <si>
    <t>ORD11636</t>
  </si>
  <si>
    <t>ORD11747</t>
  </si>
  <si>
    <t>ORD11601</t>
  </si>
  <si>
    <t>ORD10336</t>
  </si>
  <si>
    <t>ORD12434</t>
  </si>
  <si>
    <t>ORD11875</t>
  </si>
  <si>
    <t>ORD11142</t>
  </si>
  <si>
    <t>ORD10041</t>
  </si>
  <si>
    <t>ORD10270</t>
  </si>
  <si>
    <t>ORD12241</t>
  </si>
  <si>
    <t>ORD11442</t>
  </si>
  <si>
    <t>ORD12425</t>
  </si>
  <si>
    <t>ORD10846</t>
  </si>
  <si>
    <t>ORD10950</t>
  </si>
  <si>
    <t>ORD12161</t>
  </si>
  <si>
    <t>ORD11159</t>
  </si>
  <si>
    <t>ORD11921</t>
  </si>
  <si>
    <t>ORD12215</t>
  </si>
  <si>
    <t>ORD12070</t>
  </si>
  <si>
    <t>ORD11371</t>
  </si>
  <si>
    <t>ORD11109</t>
  </si>
  <si>
    <t>ORD12456</t>
  </si>
  <si>
    <t>ORD10688</t>
  </si>
  <si>
    <t>ORD11309</t>
  </si>
  <si>
    <t>ORD12347</t>
  </si>
  <si>
    <t>ORD12305</t>
  </si>
  <si>
    <t>ORD11285</t>
  </si>
  <si>
    <t>ORD12061</t>
  </si>
  <si>
    <t>ORD12065</t>
  </si>
  <si>
    <t>ORD11498</t>
  </si>
  <si>
    <t>ORD11101</t>
  </si>
  <si>
    <t>ORD10601</t>
  </si>
  <si>
    <t>ORD12440</t>
  </si>
  <si>
    <t>ORD12195</t>
  </si>
  <si>
    <t>ORD10198</t>
  </si>
  <si>
    <t>ORD12326</t>
  </si>
  <si>
    <t>ORD11250</t>
  </si>
  <si>
    <t>ORD10918</t>
  </si>
  <si>
    <t>ORD10632</t>
  </si>
  <si>
    <t>ORD10621</t>
  </si>
  <si>
    <t>ORD10900</t>
  </si>
  <si>
    <t>ORD10126</t>
  </si>
  <si>
    <t>ORD12286</t>
  </si>
  <si>
    <t>ORD11333</t>
  </si>
  <si>
    <t>ORD12000</t>
  </si>
  <si>
    <t>ORD12376</t>
  </si>
  <si>
    <t>ORD11999</t>
  </si>
  <si>
    <t>ORD10057</t>
  </si>
  <si>
    <t>ORD12008</t>
  </si>
  <si>
    <t>ORD11714</t>
  </si>
  <si>
    <t>ORD12483</t>
  </si>
  <si>
    <t>ORD11485</t>
  </si>
  <si>
    <t>ORD11982</t>
  </si>
  <si>
    <t>ORD11081</t>
  </si>
  <si>
    <t>ORD12371</t>
  </si>
  <si>
    <t>ORD10230</t>
  </si>
  <si>
    <t>ORD11262</t>
  </si>
  <si>
    <t>ORD11245</t>
  </si>
  <si>
    <t>ORD10254</t>
  </si>
  <si>
    <t>ORD10218</t>
  </si>
  <si>
    <t>ORD10090</t>
  </si>
  <si>
    <t>ORD10875</t>
  </si>
  <si>
    <t>ORD11927</t>
  </si>
  <si>
    <t>ORD10702</t>
  </si>
  <si>
    <t>ORD10327</t>
  </si>
  <si>
    <t>ORD12186</t>
  </si>
  <si>
    <t>ORD10540</t>
  </si>
  <si>
    <t>ORD10227</t>
  </si>
  <si>
    <t>ORD11449</t>
  </si>
  <si>
    <t>ORD10592</t>
  </si>
  <si>
    <t>ORD10450</t>
  </si>
  <si>
    <t>ORD12201</t>
  </si>
  <si>
    <t>ORD10209</t>
  </si>
  <si>
    <t>ORD10221</t>
  </si>
  <si>
    <t>ORD10394</t>
  </si>
  <si>
    <t>ORD10463</t>
  </si>
  <si>
    <t>ORD12095</t>
  </si>
  <si>
    <t>ORD11946</t>
  </si>
  <si>
    <t>ORD11698</t>
  </si>
  <si>
    <t>ORD10938</t>
  </si>
  <si>
    <t>ORD12152</t>
  </si>
  <si>
    <t>ORD10580</t>
  </si>
  <si>
    <t>ORD12051</t>
  </si>
  <si>
    <t>ORD12123</t>
  </si>
  <si>
    <t>ORD12312</t>
  </si>
  <si>
    <t>ORD11812</t>
  </si>
  <si>
    <t>ORD10004</t>
  </si>
  <si>
    <t>ORD12322</t>
  </si>
  <si>
    <t>ORD11945</t>
  </si>
  <si>
    <t>ORD11749</t>
  </si>
  <si>
    <t>ORD11173</t>
  </si>
  <si>
    <t>ORD11163</t>
  </si>
  <si>
    <t>ORD10242</t>
  </si>
  <si>
    <t>ORD11600</t>
  </si>
  <si>
    <t>ORD11925</t>
  </si>
  <si>
    <t>ORD10269</t>
  </si>
  <si>
    <t>ORD12212</t>
  </si>
  <si>
    <t>ORD11313</t>
  </si>
  <si>
    <t>ORD10338</t>
  </si>
  <si>
    <t>ORD11487</t>
  </si>
  <si>
    <t>ORD10529</t>
  </si>
  <si>
    <t>ORD10383</t>
  </si>
  <si>
    <t>ORD12078</t>
  </si>
  <si>
    <t>ORD10022</t>
  </si>
  <si>
    <t>ORD10499</t>
  </si>
  <si>
    <t>ORD11133</t>
  </si>
  <si>
    <t>ORD12189</t>
  </si>
  <si>
    <t>ORD11565</t>
  </si>
  <si>
    <t>ORD11463</t>
  </si>
  <si>
    <t>ORD10590</t>
  </si>
  <si>
    <t>ORD11403</t>
  </si>
  <si>
    <t>ORD11477</t>
  </si>
  <si>
    <t>ORD10056</t>
  </si>
  <si>
    <t>ORD12229</t>
  </si>
  <si>
    <t>ORD12390</t>
  </si>
  <si>
    <t>ORD11855</t>
  </si>
  <si>
    <t>ORD10760</t>
  </si>
  <si>
    <t>ORD11792</t>
  </si>
  <si>
    <t>ORD11776</t>
  </si>
  <si>
    <t>ORD12486</t>
  </si>
  <si>
    <t>ORD12156</t>
  </si>
  <si>
    <t>ORD12132</t>
  </si>
  <si>
    <t>ORD10261</t>
  </si>
  <si>
    <t>ORD11121</t>
  </si>
  <si>
    <t>ORD10030</t>
  </si>
  <si>
    <t>ORD12002</t>
  </si>
  <si>
    <t>ORD10156</t>
  </si>
  <si>
    <t>ORD11864</t>
  </si>
  <si>
    <t>ORD10329</t>
  </si>
  <si>
    <t>ORD11906</t>
  </si>
  <si>
    <t>ORD11882</t>
  </si>
  <si>
    <t>ORD11995</t>
  </si>
  <si>
    <t>ORD10035</t>
  </si>
  <si>
    <t>ORD10389</t>
  </si>
  <si>
    <t>ORD11549</t>
  </si>
  <si>
    <t>ORD10357</t>
  </si>
  <si>
    <t>ORD11531</t>
  </si>
  <si>
    <t>ORD11818</t>
  </si>
  <si>
    <t>ORD11450</t>
  </si>
  <si>
    <t>ORD11207</t>
  </si>
  <si>
    <t>ORD10581</t>
  </si>
  <si>
    <t>ORD10707</t>
  </si>
  <si>
    <t>ORD11186</t>
  </si>
  <si>
    <t>ORD11920</t>
  </si>
  <si>
    <t>ORD11880</t>
  </si>
  <si>
    <t>ORD10691</t>
  </si>
  <si>
    <t>ORD10377</t>
  </si>
  <si>
    <t>ORD10894</t>
  </si>
  <si>
    <t>ORD12257</t>
  </si>
  <si>
    <t>ORD10715</t>
  </si>
  <si>
    <t>ORD11680</t>
  </si>
  <si>
    <t>ORD12459</t>
  </si>
  <si>
    <t>ORD12349</t>
  </si>
  <si>
    <t>ORD10517</t>
  </si>
  <si>
    <t>ORD11391</t>
  </si>
  <si>
    <t>ORD10278</t>
  </si>
  <si>
    <t>ORD12432</t>
  </si>
  <si>
    <t>ORD11230</t>
  </si>
  <si>
    <t>ORD11382</t>
  </si>
  <si>
    <t>ORD10340</t>
  </si>
  <si>
    <t>ORD12439</t>
  </si>
  <si>
    <t>ORD10548</t>
  </si>
  <si>
    <t>ORD11488</t>
  </si>
  <si>
    <t>ORD10430</t>
  </si>
  <si>
    <t>ORD11093</t>
  </si>
  <si>
    <t>ORD10681</t>
  </si>
  <si>
    <t>ORD11119</t>
  </si>
  <si>
    <t>ORD10911</t>
  </si>
  <si>
    <t>ORD11170</t>
  </si>
  <si>
    <t>ORD11957</t>
  </si>
  <si>
    <t>ORD11530</t>
  </si>
  <si>
    <t>ORD11556</t>
  </si>
  <si>
    <t>ORD11054</t>
  </si>
  <si>
    <t>ORD10615</t>
  </si>
  <si>
    <t>ORD11534</t>
  </si>
  <si>
    <t>ORD11303</t>
  </si>
  <si>
    <t>ORD10793</t>
  </si>
  <si>
    <t>ORD11813</t>
  </si>
  <si>
    <t>ORD12291</t>
  </si>
  <si>
    <t>ORD12115</t>
  </si>
  <si>
    <t>ORD10946</t>
  </si>
  <si>
    <t>ORD11131</t>
  </si>
  <si>
    <t>ORD11335</t>
  </si>
  <si>
    <t>ORD12028</t>
  </si>
  <si>
    <t>ORD10509</t>
  </si>
  <si>
    <t>ORD12144</t>
  </si>
  <si>
    <t>ORD10496</t>
  </si>
  <si>
    <t>ORD10051</t>
  </si>
  <si>
    <t>ORD12064</t>
  </si>
  <si>
    <t>ORD11522</t>
  </si>
  <si>
    <t>ORD12150</t>
  </si>
  <si>
    <t>ORD11889</t>
  </si>
  <si>
    <t>ORD10279</t>
  </si>
  <si>
    <t>ORD11472</t>
  </si>
  <si>
    <t>ORD10141</t>
  </si>
  <si>
    <t>ORD12190</t>
  </si>
  <si>
    <t>ORD11584</t>
  </si>
  <si>
    <t>ORD10343</t>
  </si>
  <si>
    <t>ORD11445</t>
  </si>
  <si>
    <t>ORD11917</t>
  </si>
  <si>
    <t>ORD11033</t>
  </si>
  <si>
    <t>ORD11972</t>
  </si>
  <si>
    <t>ORD11151</t>
  </si>
  <si>
    <t>ORD10395</t>
  </si>
  <si>
    <t>ORD11467</t>
  </si>
  <si>
    <t>ORD12284</t>
  </si>
  <si>
    <t>ORD10317</t>
  </si>
  <si>
    <t>ORD12244</t>
  </si>
  <si>
    <t>ORD10107</t>
  </si>
  <si>
    <t>ORD10979</t>
  </si>
  <si>
    <t>ORD11985</t>
  </si>
  <si>
    <t>ORD11364</t>
  </si>
  <si>
    <t>ORD10359</t>
  </si>
  <si>
    <t>ORD11471</t>
  </si>
  <si>
    <t>ORD10963</t>
  </si>
  <si>
    <t>ORD10479</t>
  </si>
  <si>
    <t>ORD12218</t>
  </si>
  <si>
    <t>ORD11351</t>
  </si>
  <si>
    <t>ORD10942</t>
  </si>
  <si>
    <t>ORD12134</t>
  </si>
  <si>
    <t>ORD10844</t>
  </si>
  <si>
    <t>ORD10901</t>
  </si>
  <si>
    <t>ORD11090</t>
  </si>
  <si>
    <t>ORD11315</t>
  </si>
  <si>
    <t>ORD11092</t>
  </si>
  <si>
    <t>ORD12056</t>
  </si>
  <si>
    <t>ORD11533</t>
  </si>
  <si>
    <t>ORD11440</t>
  </si>
  <si>
    <t>ORD12458</t>
  </si>
  <si>
    <t>ORD12017</t>
  </si>
  <si>
    <t>ORD12055</t>
  </si>
  <si>
    <t>ORD11427</t>
  </si>
  <si>
    <t>ORD10898</t>
  </si>
  <si>
    <t>ORD10365</t>
  </si>
  <si>
    <t>ORD11902</t>
  </si>
  <si>
    <t>ORD12304</t>
  </si>
  <si>
    <t>ORD10183</t>
  </si>
  <si>
    <t>ORD11802</t>
  </si>
  <si>
    <t>ORD11892</t>
  </si>
  <si>
    <t>ORD12484</t>
  </si>
  <si>
    <t>ORD12253</t>
  </si>
  <si>
    <t>ORD11631</t>
  </si>
  <si>
    <t>ORD11591</t>
  </si>
  <si>
    <t>ORD12192</t>
  </si>
  <si>
    <t>ORD12313</t>
  </si>
  <si>
    <t>ORD12104</t>
  </si>
  <si>
    <t>ORD11211</t>
  </si>
  <si>
    <t>ORD12474</t>
  </si>
  <si>
    <t>ORD11372</t>
  </si>
  <si>
    <t>ORD10358</t>
  </si>
  <si>
    <t>ORD12044</t>
  </si>
  <si>
    <t>ORD11908</t>
  </si>
  <si>
    <t>ORD10070</t>
  </si>
  <si>
    <t>ORD11572</t>
  </si>
  <si>
    <t>ORD10811</t>
  </si>
  <si>
    <t>ORD11931</t>
  </si>
  <si>
    <t>ORD10048</t>
  </si>
  <si>
    <t>ORD12401</t>
  </si>
  <si>
    <t>ORD10234</t>
  </si>
  <si>
    <t>ORD11645</t>
  </si>
  <si>
    <t>ORD11958</t>
  </si>
  <si>
    <t>ORD10718</t>
  </si>
  <si>
    <t>ORD12159</t>
  </si>
  <si>
    <t>ORD10391</t>
  </si>
  <si>
    <t>ORD12126</t>
  </si>
  <si>
    <t>ORD12413</t>
  </si>
  <si>
    <t>ORD11111</t>
  </si>
  <si>
    <t>ORD11943</t>
  </si>
  <si>
    <t>ORD10477</t>
  </si>
  <si>
    <t>ORD10379</t>
  </si>
  <si>
    <t>ORD12378</t>
  </si>
  <si>
    <t>ORD11065</t>
  </si>
  <si>
    <t>ORD11983</t>
  </si>
  <si>
    <t>ORD10553</t>
  </si>
  <si>
    <t>ORD11137</t>
  </si>
  <si>
    <t>ORD11066</t>
  </si>
  <si>
    <t>ORD11550</t>
  </si>
  <si>
    <t>ORD11056</t>
  </si>
  <si>
    <t>ORD12298</t>
  </si>
  <si>
    <t>ORD11662</t>
  </si>
  <si>
    <t>ORD11025</t>
  </si>
  <si>
    <t>ORD11822</t>
  </si>
  <si>
    <t>ORD10747</t>
  </si>
  <si>
    <t>ORD12368</t>
  </si>
  <si>
    <t>ORD11570</t>
  </si>
  <si>
    <t>ORD10995</t>
  </si>
  <si>
    <t>ORD11554</t>
  </si>
  <si>
    <t>ORD12254</t>
  </si>
  <si>
    <t>ORD12198</t>
  </si>
  <si>
    <t>ORD12472</t>
  </si>
  <si>
    <t>ORD11115</t>
  </si>
  <si>
    <t>ORD12118</t>
  </si>
  <si>
    <t>ORD11042</t>
  </si>
  <si>
    <t>ORD11879</t>
  </si>
  <si>
    <t>ORD12328</t>
  </si>
  <si>
    <t>ORD10775</t>
  </si>
  <si>
    <t>ORD10826</t>
  </si>
  <si>
    <t>ORD11919</t>
  </si>
  <si>
    <t>ORD11663</t>
  </si>
  <si>
    <t>ORD10124</t>
  </si>
  <si>
    <t>ORD11665</t>
  </si>
  <si>
    <t>ORD10957</t>
  </si>
  <si>
    <t>ORD10064</t>
  </si>
  <si>
    <t>ORD11815</t>
  </si>
  <si>
    <t>ORD10885</t>
  </si>
  <si>
    <t>ORD11755</t>
  </si>
  <si>
    <t>ORD11831</t>
  </si>
  <si>
    <t>ORD10026</t>
  </si>
  <si>
    <t>ORD12262</t>
  </si>
  <si>
    <t>ORD10828</t>
  </si>
  <si>
    <t>ORD12251</t>
  </si>
  <si>
    <t>ORD10730</t>
  </si>
  <si>
    <t>ORD10934</t>
  </si>
  <si>
    <t>ORD10176</t>
  </si>
  <si>
    <t>ORD11575</t>
  </si>
  <si>
    <t>ORD10050</t>
  </si>
  <si>
    <t>ORD10656</t>
  </si>
  <si>
    <t>ORD11029</t>
  </si>
  <si>
    <t>ORD11361</t>
  </si>
  <si>
    <t>ORD10025</t>
  </si>
  <si>
    <t>ORD10419</t>
  </si>
  <si>
    <t>ORD12108</t>
  </si>
  <si>
    <t>ORD10701</t>
  </si>
  <si>
    <t>ORD10330</t>
  </si>
  <si>
    <t>ORD11267</t>
  </si>
  <si>
    <t>ORD12038</t>
  </si>
  <si>
    <t>ORD10217</t>
  </si>
  <si>
    <t>ORD11215</t>
  </si>
  <si>
    <t>ORD11617</t>
  </si>
  <si>
    <t>ORD10286</t>
  </si>
  <si>
    <t>ORD12199</t>
  </si>
  <si>
    <t>ORD10283</t>
  </si>
  <si>
    <t>ORD11505</t>
  </si>
  <si>
    <t>ORD11032</t>
  </si>
  <si>
    <t>ORD12033</t>
  </si>
  <si>
    <t>ORD10362</t>
  </si>
  <si>
    <t>ORD10556</t>
  </si>
  <si>
    <t>ORD11287</t>
  </si>
  <si>
    <t>ORD11253</t>
  </si>
  <si>
    <t>ORD10705</t>
  </si>
  <si>
    <t>ORD10542</t>
  </si>
  <si>
    <t>ORD11195</t>
  </si>
  <si>
    <t>ORD10658</t>
  </si>
  <si>
    <t>ORD11304</t>
  </si>
  <si>
    <t>ORD11484</t>
  </si>
  <si>
    <t>ORD10852</t>
  </si>
  <si>
    <t>ORD10436</t>
  </si>
  <si>
    <t>ORD11799</t>
  </si>
  <si>
    <t>ORD10292</t>
  </si>
  <si>
    <t>ORD10536</t>
  </si>
  <si>
    <t>ORD12166</t>
  </si>
  <si>
    <t>ORD10252</t>
  </si>
  <si>
    <t>ORD11872</t>
  </si>
  <si>
    <t>ORD10932</t>
  </si>
  <si>
    <t>ORD12258</t>
  </si>
  <si>
    <t>ORD12031</t>
  </si>
  <si>
    <t>ORD10486</t>
  </si>
  <si>
    <t>ORD11800</t>
  </si>
  <si>
    <t>ORD11388</t>
  </si>
  <si>
    <t>ORD10146</t>
  </si>
  <si>
    <t>ORD12200</t>
  </si>
  <si>
    <t>ORD12466</t>
  </si>
  <si>
    <t>ORD11490</t>
  </si>
  <si>
    <t>ORD12450</t>
  </si>
  <si>
    <t>ORD10065</t>
  </si>
  <si>
    <t>ORD11318</t>
  </si>
  <si>
    <t>ORD10669</t>
  </si>
  <si>
    <t>ORD10280</t>
  </si>
  <si>
    <t>ORD11145</t>
  </si>
  <si>
    <t>ORD10654</t>
  </si>
  <si>
    <t>ORD10489</t>
  </si>
  <si>
    <t>ORD12173</t>
  </si>
  <si>
    <t>ORD10907</t>
  </si>
  <si>
    <t>ORD10409</t>
  </si>
  <si>
    <t>ORD12233</t>
  </si>
  <si>
    <t>ORD11269</t>
  </si>
  <si>
    <t>ORD11329</t>
  </si>
  <si>
    <t>ORD10862</t>
  </si>
  <si>
    <t>ORD11319</t>
  </si>
  <si>
    <t>ORD11024</t>
  </si>
  <si>
    <t>ORD10165</t>
  </si>
  <si>
    <t>ORD12277</t>
  </si>
  <si>
    <t>ORD10143</t>
  </si>
  <si>
    <t>ORD11959</t>
  </si>
  <si>
    <t>ORD11830</t>
  </si>
  <si>
    <t>ORD12429</t>
  </si>
  <si>
    <t>ORD11789</t>
  </si>
  <si>
    <t>ORD10745</t>
  </si>
  <si>
    <t>ORD11271</t>
  </si>
  <si>
    <t>ORD12496</t>
  </si>
  <si>
    <t>ORD11632</t>
  </si>
  <si>
    <t>ORD10861</t>
  </si>
  <si>
    <t>ORD10265</t>
  </si>
  <si>
    <t>ORD10458</t>
  </si>
  <si>
    <t>ORD10355</t>
  </si>
  <si>
    <t>ORD11518</t>
  </si>
  <si>
    <t>ORD12435</t>
  </si>
  <si>
    <t>ORD11620</t>
  </si>
  <si>
    <t>ORD11603</t>
  </si>
  <si>
    <t>ORD10228</t>
  </si>
  <si>
    <t>ORD12103</t>
  </si>
  <si>
    <t>ORD10619</t>
  </si>
  <si>
    <t>ORD12059</t>
  </si>
  <si>
    <t>ORD10453</t>
  </si>
  <si>
    <t>ORD10574</t>
  </si>
  <si>
    <t>ORD11084</t>
  </si>
  <si>
    <t>ORD11956</t>
  </si>
  <si>
    <t>ORD11933</t>
  </si>
  <si>
    <t>ORD11124</t>
  </si>
  <si>
    <t>ORD11829</t>
  </si>
  <si>
    <t>ORD10415</t>
  </si>
  <si>
    <t>ORD11793</t>
  </si>
  <si>
    <t>ORD11688</t>
  </si>
  <si>
    <t>ORD10501</t>
  </si>
  <si>
    <t>ORD10520</t>
  </si>
  <si>
    <t>ORD10512</t>
  </si>
  <si>
    <t>ORD10235</t>
  </si>
  <si>
    <t>ORD10047</t>
  </si>
  <si>
    <t>ORD11049</t>
  </si>
  <si>
    <t>ORD10660</t>
  </si>
  <si>
    <t>ORD11526</t>
  </si>
  <si>
    <t>ORD11766</t>
  </si>
  <si>
    <t>ORD10555</t>
  </si>
  <si>
    <t>ORD10448</t>
  </si>
  <si>
    <t>ORD12339</t>
  </si>
  <si>
    <t>ORD11849</t>
  </si>
  <si>
    <t>ORD10928</t>
  </si>
  <si>
    <t>ORD10699</t>
  </si>
  <si>
    <t>ORD11686</t>
  </si>
  <si>
    <t>ORD10206</t>
  </si>
  <si>
    <t>ORD11991</t>
  </si>
  <si>
    <t>ORD12122</t>
  </si>
  <si>
    <t>ORD12193</t>
  </si>
  <si>
    <t>ORD11239</t>
  </si>
  <si>
    <t>ORD12222</t>
  </si>
  <si>
    <t>ORD11338</t>
  </si>
  <si>
    <t>ORD10312</t>
  </si>
  <si>
    <t>ORD12073</t>
  </si>
  <si>
    <t>ORD11132</t>
  </si>
  <si>
    <t>ORD11573</t>
  </si>
  <si>
    <t>ORD10097</t>
  </si>
  <si>
    <t>ORD12364</t>
  </si>
  <si>
    <t>ORD11658</t>
  </si>
  <si>
    <t>ORD10266</t>
  </si>
  <si>
    <t>ORD11696</t>
  </si>
  <si>
    <t>ORD11206</t>
  </si>
  <si>
    <t>ORD12309</t>
  </si>
  <si>
    <t>ORD11108</t>
  </si>
  <si>
    <t>ORD10818</t>
  </si>
  <si>
    <t>ORD11489</t>
  </si>
  <si>
    <t>ORD12225</t>
  </si>
  <si>
    <t>ORD10173</t>
  </si>
  <si>
    <t>ORD11622</t>
  </si>
  <si>
    <t>ORD11462</t>
  </si>
  <si>
    <t>ORD11048</t>
  </si>
  <si>
    <t>ORD11893</t>
  </si>
  <si>
    <t>ORD10461</t>
  </si>
  <si>
    <t>ORD12127</t>
  </si>
  <si>
    <t>ORD10073</t>
  </si>
  <si>
    <t>ORD11376</t>
  </si>
  <si>
    <t>ORD11486</t>
  </si>
  <si>
    <t>ORD12352</t>
  </si>
  <si>
    <t>ORD12217</t>
  </si>
  <si>
    <t>ORD12211</t>
  </si>
  <si>
    <t>ORD10526</t>
  </si>
  <si>
    <t>ORD12490</t>
  </si>
  <si>
    <t>ORD10099</t>
  </si>
  <si>
    <t>ORD11912</t>
  </si>
  <si>
    <t>ORD10364</t>
  </si>
  <si>
    <t>ORD11480</t>
  </si>
  <si>
    <t>ORD10625</t>
  </si>
  <si>
    <t>ORD10247</t>
  </si>
  <si>
    <t>ORD11047</t>
  </si>
  <si>
    <t>ORD10771</t>
  </si>
  <si>
    <t>ORD11785</t>
  </si>
  <si>
    <t>ORD11624</t>
  </si>
  <si>
    <t>ORD11244</t>
  </si>
  <si>
    <t>ORD10366</t>
  </si>
  <si>
    <t>ORD12350</t>
  </si>
  <si>
    <t>ORD11117</t>
  </si>
  <si>
    <t>ORD12400</t>
  </si>
  <si>
    <t>ORD10255</t>
  </si>
  <si>
    <t>ORD11348</t>
  </si>
  <si>
    <t>ORD12382</t>
  </si>
  <si>
    <t>ORD12125</t>
  </si>
  <si>
    <t>ORD10700</t>
  </si>
  <si>
    <t>ORD11699</t>
  </si>
  <si>
    <t>ORD10010</t>
  </si>
  <si>
    <t>ORD12230</t>
  </si>
  <si>
    <t>ORD10101</t>
  </si>
  <si>
    <t>ORD12005</t>
  </si>
  <si>
    <t>ORD10233</t>
  </si>
  <si>
    <t>ORD10591</t>
  </si>
  <si>
    <t>ORD10132</t>
  </si>
  <si>
    <t>ORD11862</t>
  </si>
  <si>
    <t>ORD11540</t>
  </si>
  <si>
    <t>ORD10859</t>
  </si>
  <si>
    <t>ORD10374</t>
  </si>
  <si>
    <t>ORD11508</t>
  </si>
  <si>
    <t>ORD12457</t>
  </si>
  <si>
    <t>ORD11429</t>
  </si>
  <si>
    <t>ORD12369</t>
  </si>
  <si>
    <t>ORD10725</t>
  </si>
  <si>
    <t>ORD12121</t>
  </si>
  <si>
    <t>ORD10985</t>
  </si>
  <si>
    <t>ORD12344</t>
  </si>
  <si>
    <t>ORD10425</t>
  </si>
  <si>
    <t>ORD10381</t>
  </si>
  <si>
    <t>ORD10323</t>
  </si>
  <si>
    <t>ORD11428</t>
  </si>
  <si>
    <t>ORD11775</t>
  </si>
  <si>
    <t>ORD10128</t>
  </si>
  <si>
    <t>ORD12176</t>
  </si>
  <si>
    <t>ORD10746</t>
  </si>
  <si>
    <t>ORD12097</t>
  </si>
  <si>
    <t>ORD12139</t>
  </si>
  <si>
    <t>ORD11510</t>
  </si>
  <si>
    <t>ORD10074</t>
  </si>
  <si>
    <t>ORD10835</t>
  </si>
  <si>
    <t>ORD11218</t>
  </si>
  <si>
    <t>ORD10579</t>
  </si>
  <si>
    <t>ORD12227</t>
  </si>
  <si>
    <t>ORD11840</t>
  </si>
  <si>
    <t>ORD12111</t>
  </si>
  <si>
    <t>ORD10774</t>
  </si>
  <si>
    <t>ORD10655</t>
  </si>
  <si>
    <t>ORD12319</t>
  </si>
  <si>
    <t>ORD10810</t>
  </si>
  <si>
    <t>ORD10416</t>
  </si>
  <si>
    <t>ORD10468</t>
  </si>
  <si>
    <t>ORD11422</t>
  </si>
  <si>
    <t>ORD10897</t>
  </si>
  <si>
    <t>ORD10560</t>
  </si>
  <si>
    <t>ORD10485</t>
  </si>
  <si>
    <t>ORD10344</t>
  </si>
  <si>
    <t>ORD10647</t>
  </si>
  <si>
    <t>ORD11839</t>
  </si>
  <si>
    <t>ORD10584</t>
  </si>
  <si>
    <t>ORD10138</t>
  </si>
  <si>
    <t>ORD11851</t>
  </si>
  <si>
    <t>ORD11478</t>
  </si>
  <si>
    <t>ORD10008</t>
  </si>
  <si>
    <t>ORD10884</t>
  </si>
  <si>
    <t>ORD11923</t>
  </si>
  <si>
    <t>ORD10689</t>
  </si>
  <si>
    <t>ORD11012</t>
  </si>
  <si>
    <t>ORD10876</t>
  </si>
  <si>
    <t>ORD10240</t>
  </si>
  <si>
    <t>ORD11425</t>
  </si>
  <si>
    <t>ORD10987</t>
  </si>
  <si>
    <t>ORD10693</t>
  </si>
  <si>
    <t>ORD12365</t>
  </si>
  <si>
    <t>ORD11905</t>
  </si>
  <si>
    <t>ORD11838</t>
  </si>
  <si>
    <t>ORD11627</t>
  </si>
  <si>
    <t>ORD10959</t>
  </si>
  <si>
    <t>ORD12020</t>
  </si>
  <si>
    <t>ORD10301</t>
  </si>
  <si>
    <t>ORD10437</t>
  </si>
  <si>
    <t>ORD11354</t>
  </si>
  <si>
    <t>ORD10841</t>
  </si>
  <si>
    <t>ORD11558</t>
  </si>
  <si>
    <t>ORD11971</t>
  </si>
  <si>
    <t>ORD11387</t>
  </si>
  <si>
    <t>ORD11989</t>
  </si>
  <si>
    <t>ORD10921</t>
  </si>
  <si>
    <t>ORD11780</t>
  </si>
  <si>
    <t>ORD12092</t>
  </si>
  <si>
    <t>ORD12034</t>
  </si>
  <si>
    <t>ORD10303</t>
  </si>
  <si>
    <t>ORD12024</t>
  </si>
  <si>
    <t>ORD11981</t>
  </si>
  <si>
    <t>ORD10353</t>
  </si>
  <si>
    <t>ORD11184</t>
  </si>
  <si>
    <t>ORD11529</t>
  </si>
  <si>
    <t>ORD11628</t>
  </si>
  <si>
    <t>ORD10622</t>
  </si>
  <si>
    <t>ORD11966</t>
  </si>
  <si>
    <t>ORD11179</t>
  </si>
  <si>
    <t>ORD11936</t>
  </si>
  <si>
    <t>ORD11010</t>
  </si>
  <si>
    <t>ORD11327</t>
  </si>
  <si>
    <t>ORD11234</t>
  </si>
  <si>
    <t>ORD11536</t>
  </si>
  <si>
    <t>ORD10602</t>
  </si>
  <si>
    <t>ORD12260</t>
  </si>
  <si>
    <t>ORD11399</t>
  </si>
  <si>
    <t>ORD11136</t>
  </si>
  <si>
    <t>ORD11735</t>
  </si>
  <si>
    <t>ORD11689</t>
  </si>
  <si>
    <t>ORD11209</t>
  </si>
  <si>
    <t>ORD11721</t>
  </si>
  <si>
    <t>ORD11517</t>
  </si>
  <si>
    <t>ORD11790</t>
  </si>
  <si>
    <t>ORD11208</t>
  </si>
  <si>
    <t>ORD11634</t>
  </si>
  <si>
    <t>ORD10567</t>
  </si>
  <si>
    <t>ORD10727</t>
  </si>
  <si>
    <t>ORD10726</t>
  </si>
  <si>
    <t>ORD11914</t>
  </si>
  <si>
    <t>ORD10525</t>
  </si>
  <si>
    <t>ORD10967</t>
  </si>
  <si>
    <t>ORD10586</t>
  </si>
  <si>
    <t>ORD11586</t>
  </si>
  <si>
    <t>ORD11947</t>
  </si>
  <si>
    <t>ORD10191</t>
  </si>
  <si>
    <t>ORD12290</t>
  </si>
  <si>
    <t>ORD12448</t>
  </si>
  <si>
    <t>ORD10675</t>
  </si>
  <si>
    <t>ORD11823</t>
  </si>
  <si>
    <t>ORD10664</t>
  </si>
  <si>
    <t>ORD11116</t>
  </si>
  <si>
    <t>ORD11336</t>
  </si>
  <si>
    <t>ORD10054</t>
  </si>
  <si>
    <t>ORD12329</t>
  </si>
  <si>
    <t>ORD10038</t>
  </si>
  <si>
    <t>ORD12208</t>
  </si>
  <si>
    <t>ORD11147</t>
  </si>
  <si>
    <t>ORD11276</t>
  </si>
  <si>
    <t>ORD12112</t>
  </si>
  <si>
    <t>ORD11126</t>
  </si>
  <si>
    <t>ORD10155</t>
  </si>
  <si>
    <t>ORD11910</t>
  </si>
  <si>
    <t>ORD10678</t>
  </si>
  <si>
    <t>ORD11825</t>
  </si>
  <si>
    <t>ORD11161</t>
  </si>
  <si>
    <t>ORD11005</t>
  </si>
  <si>
    <t>ORD11932</t>
  </si>
  <si>
    <t>ORD10401</t>
  </si>
  <si>
    <t>ORD10806</t>
  </si>
  <si>
    <t>ORD11734</t>
  </si>
  <si>
    <t>ORD12039</t>
  </si>
  <si>
    <t>ORD12025</t>
  </si>
  <si>
    <t>ORD10089</t>
  </si>
  <si>
    <t>ORD10522</t>
  </si>
  <si>
    <t>ORD12047</t>
  </si>
  <si>
    <t>ORD11394</t>
  </si>
  <si>
    <t>ORD11055</t>
  </si>
  <si>
    <t>ORD10600</t>
  </si>
  <si>
    <t>ORD11180</t>
  </si>
  <si>
    <t>ORD11052</t>
  </si>
  <si>
    <t>ORD11695</t>
  </si>
  <si>
    <t>ORD11278</t>
  </si>
  <si>
    <t>ORD10071</t>
  </si>
  <si>
    <t>ORD10361</t>
  </si>
  <si>
    <t>ORD12206</t>
  </si>
  <si>
    <t>ORD10431</t>
  </si>
  <si>
    <t>ORD11043</t>
  </si>
  <si>
    <t>ORD12455</t>
  </si>
  <si>
    <t>ORD12410</t>
  </si>
  <si>
    <t>ORD10373</t>
  </si>
  <si>
    <t>ORD11922</t>
  </si>
  <si>
    <t>ORD12036</t>
  </si>
  <si>
    <t>ORD11915</t>
  </si>
  <si>
    <t>ORD10042</t>
  </si>
  <si>
    <t>ORD10306</t>
  </si>
  <si>
    <t>ORD10674</t>
  </si>
  <si>
    <t>ORD10667</t>
  </si>
  <si>
    <t>ORD12321</t>
  </si>
  <si>
    <t>ORD10078</t>
  </si>
  <si>
    <t>ORD10046</t>
  </si>
  <si>
    <t>ORD10226</t>
  </si>
  <si>
    <t>ORD12114</t>
  </si>
  <si>
    <t>ORD10465</t>
  </si>
  <si>
    <t>ORD11897</t>
  </si>
  <si>
    <t>ORD11890</t>
  </si>
  <si>
    <t>ORD11000</t>
  </si>
  <si>
    <t>ORD11673</t>
  </si>
  <si>
    <t>ORD10402</t>
  </si>
  <si>
    <t>ORD11154</t>
  </si>
  <si>
    <t>ORD11725</t>
  </si>
  <si>
    <t>ORD10020</t>
  </si>
  <si>
    <t>ORD10029</t>
  </si>
  <si>
    <t>ORD11970</t>
  </si>
  <si>
    <t>ORD10873</t>
  </si>
  <si>
    <t>ORD11019</t>
  </si>
  <si>
    <t>ORD10588</t>
  </si>
  <si>
    <t>ORD12120</t>
  </si>
  <si>
    <t>ORD11762</t>
  </si>
  <si>
    <t>ORD11294</t>
  </si>
  <si>
    <t>ORD12252</t>
  </si>
  <si>
    <t>ORD11479</t>
  </si>
  <si>
    <t>ORD12184</t>
  </si>
  <si>
    <t>ORD11609</t>
  </si>
  <si>
    <t>ORD12157</t>
  </si>
  <si>
    <t>ORD12485</t>
  </si>
  <si>
    <t>ORD10825</t>
  </si>
  <si>
    <t>ORD10990</t>
  </si>
  <si>
    <t>ORD12373</t>
  </si>
  <si>
    <t>ORD11380</t>
  </si>
  <si>
    <t>ORD10552</t>
  </si>
  <si>
    <t>ORD11274</t>
  </si>
  <si>
    <t>ORD12086</t>
  </si>
  <si>
    <t>ORD12449</t>
  </si>
  <si>
    <t>ORD10896</t>
  </si>
  <si>
    <t>ORD11295</t>
  </si>
  <si>
    <t>ORD10672</t>
  </si>
  <si>
    <t>ORD11504</t>
  </si>
  <si>
    <t>ORD12315</t>
  </si>
  <si>
    <t>ORD11929</t>
  </si>
  <si>
    <t>ORD11350</t>
  </si>
  <si>
    <t>ORD10324</t>
  </si>
  <si>
    <t>ORD10541</t>
  </si>
  <si>
    <t>ORD11322</t>
  </si>
  <si>
    <t>ORD11199</t>
  </si>
  <si>
    <t>ORD12416</t>
  </si>
  <si>
    <t>ORD10105</t>
  </si>
  <si>
    <t>ORD10482</t>
  </si>
  <si>
    <t>ORD10296</t>
  </si>
  <si>
    <t>ORD10748</t>
  </si>
  <si>
    <t>ORD12066</t>
  </si>
  <si>
    <t>ORD11198</t>
  </si>
  <si>
    <t>ORD10949</t>
  </si>
  <si>
    <t>ORD10404</t>
  </si>
  <si>
    <t>ORD11934</t>
  </si>
  <si>
    <t>ORD10764</t>
  </si>
  <si>
    <t>ORD10012</t>
  </si>
  <si>
    <t>ORD10502</t>
  </si>
  <si>
    <t>ORD10757</t>
  </si>
  <si>
    <t>ORD10400</t>
  </si>
  <si>
    <t>ORD12226</t>
  </si>
  <si>
    <t>ORD12336</t>
  </si>
  <si>
    <t>ORD10129</t>
  </si>
  <si>
    <t>ORD12010</t>
  </si>
  <si>
    <t>ORD11786</t>
  </si>
  <si>
    <t>ORD12263</t>
  </si>
  <si>
    <t>ORD10568</t>
  </si>
  <si>
    <t>ORD12083</t>
  </si>
  <si>
    <t>ORD11028</t>
  </si>
  <si>
    <t>ORD11040</t>
  </si>
  <si>
    <t>ORD12030</t>
  </si>
  <si>
    <t>ORD11794</t>
  </si>
  <si>
    <t>ORD10491</t>
  </si>
  <si>
    <t>ORD11228</t>
  </si>
  <si>
    <t>ORD10119</t>
  </si>
  <si>
    <t>ORD10640</t>
  </si>
  <si>
    <t>ORD10021</t>
  </si>
  <si>
    <t>ORD11439</t>
  </si>
  <si>
    <t>ORD11424</t>
  </si>
  <si>
    <t>ORD10123</t>
  </si>
  <si>
    <t>ORD12067</t>
  </si>
  <si>
    <t>ORD10421</t>
  </si>
  <si>
    <t>ORD11492</t>
  </si>
  <si>
    <t>ORD10822</t>
  </si>
  <si>
    <t>ORD12137</t>
  </si>
  <si>
    <t>ORD10193</t>
  </si>
  <si>
    <t>ORD11474</t>
  </si>
  <si>
    <t>ORD11481</t>
  </si>
  <si>
    <t>ORD11499</t>
  </si>
  <si>
    <t>ORD11255</t>
  </si>
  <si>
    <t>ORD12360</t>
  </si>
  <si>
    <t>ORD11020</t>
  </si>
  <si>
    <t>ORD11344</t>
  </si>
  <si>
    <t>ORD11975</t>
  </si>
  <si>
    <t>ORD12188</t>
  </si>
  <si>
    <t>ORD10776</t>
  </si>
  <si>
    <t>ORD11374</t>
  </si>
  <si>
    <t>ORD11641</t>
  </si>
  <si>
    <t>ORD11881</t>
  </si>
  <si>
    <t>ORD10380</t>
  </si>
  <si>
    <t>ORD12046</t>
  </si>
  <si>
    <t>ORD10624</t>
  </si>
  <si>
    <t>ORD11113</t>
  </si>
  <si>
    <t>ORD10981</t>
  </si>
  <si>
    <t>ORD10259</t>
  </si>
  <si>
    <t>ORD12088</t>
  </si>
  <si>
    <t>ORD12295</t>
  </si>
  <si>
    <t>ORD12270</t>
  </si>
  <si>
    <t>ORD11302</t>
  </si>
  <si>
    <t>ORD11633</t>
  </si>
  <si>
    <t>ORD11286</t>
  </si>
  <si>
    <t>ORD11845</t>
  </si>
  <si>
    <t>ORD10028</t>
  </si>
  <si>
    <t>ORD12094</t>
  </si>
  <si>
    <t>ORD11737</t>
  </si>
  <si>
    <t>ORD10694</t>
  </si>
  <si>
    <t>ORD11091</t>
  </si>
  <si>
    <t>ORD11455</t>
  </si>
  <si>
    <t>ORD11088</t>
  </si>
  <si>
    <t>ORD10891</t>
  </si>
  <si>
    <t>ORD10445</t>
  </si>
  <si>
    <t>ORD11039</t>
  </si>
  <si>
    <t>ORD10819</t>
  </si>
  <si>
    <t>ORD10545</t>
  </si>
  <si>
    <t>ORD11640</t>
  </si>
  <si>
    <t>ORD10915</t>
  </si>
  <si>
    <t>ORD10850</t>
  </si>
  <si>
    <t>ORD12243</t>
  </si>
  <si>
    <t>ORD10184</t>
  </si>
  <si>
    <t>ORD12398</t>
  </si>
  <si>
    <t>ORD10335</t>
  </si>
  <si>
    <t>ORD11979</t>
  </si>
  <si>
    <t>ORD11537</t>
  </si>
  <si>
    <t>ORD11764</t>
  </si>
  <si>
    <t>ORD11331</t>
  </si>
  <si>
    <t>ORD11070</t>
  </si>
  <si>
    <t>ORD12191</t>
  </si>
  <si>
    <t>ORD12113</t>
  </si>
  <si>
    <t>ORD10813</t>
  </si>
  <si>
    <t>ORD12451</t>
  </si>
  <si>
    <t>ORD10032</t>
  </si>
  <si>
    <t>ORD10799</t>
  </si>
  <si>
    <t>ORD11257</t>
  </si>
  <si>
    <t>ORD11281</t>
  </si>
  <si>
    <t>ORD10864</t>
  </si>
  <si>
    <t>ORD11909</t>
  </si>
  <si>
    <t>ORD12318</t>
  </si>
  <si>
    <t>ORD11156</t>
  </si>
  <si>
    <t>ORD11377</t>
  </si>
  <si>
    <t>ORD11552</t>
  </si>
  <si>
    <t>ORD11726</t>
  </si>
  <si>
    <t>ORD12207</t>
  </si>
  <si>
    <t>ORD10633</t>
  </si>
  <si>
    <t>ORD11730</t>
  </si>
  <si>
    <t>ORD11702</t>
  </si>
  <si>
    <t>ORD11341</t>
  </si>
  <si>
    <t>ORD11514</t>
  </si>
  <si>
    <t>ORD11675</t>
  </si>
  <si>
    <t>ORD12009</t>
  </si>
  <si>
    <t>ORD10239</t>
  </si>
  <si>
    <t>ORD10805</t>
  </si>
  <si>
    <t>ORD11237</t>
  </si>
  <si>
    <t>ORD12183</t>
  </si>
  <si>
    <t>ORD10171</t>
  </si>
  <si>
    <t>ORD10978</t>
  </si>
  <si>
    <t>ORD11706</t>
  </si>
  <si>
    <t>ORD12219</t>
  </si>
  <si>
    <t>ORD11367</t>
  </si>
  <si>
    <t>ORD12446</t>
  </si>
  <si>
    <t>ORD10378</t>
  </si>
  <si>
    <t>ORD11130</t>
  </si>
  <si>
    <t>ORD11535</t>
  </si>
  <si>
    <t>ORD11795</t>
  </si>
  <si>
    <t>ORD10017</t>
  </si>
  <si>
    <t>ORD11519</t>
  </si>
  <si>
    <t>ORD10855</t>
  </si>
  <si>
    <t>ORD12006</t>
  </si>
  <si>
    <t>ORD11717</t>
  </si>
  <si>
    <t>ORD11386</t>
  </si>
  <si>
    <t>ORD10628</t>
  </si>
  <si>
    <t>ORD10794</t>
  </si>
  <si>
    <t>ORD12003</t>
  </si>
  <si>
    <t>ORD10645</t>
  </si>
  <si>
    <t>ORD10429</t>
  </si>
  <si>
    <t>ORD12237</t>
  </si>
  <si>
    <t>ORD11224</t>
  </si>
  <si>
    <t>ORD11618</t>
  </si>
  <si>
    <t>ORD11703</t>
  </si>
  <si>
    <t>ORD10652</t>
  </si>
  <si>
    <t>ORD11900</t>
  </si>
  <si>
    <t>ORD12337</t>
  </si>
  <si>
    <t>ORD10909</t>
  </si>
  <si>
    <t>ORD10160</t>
  </si>
  <si>
    <t>ORD10589</t>
  </si>
  <si>
    <t>ORD11807</t>
  </si>
  <si>
    <t>ORD10578</t>
  </si>
  <si>
    <t>ORD11441</t>
  </si>
  <si>
    <t>ORD10893</t>
  </si>
  <si>
    <t>ORD11693</t>
  </si>
  <si>
    <t>ORD12346</t>
  </si>
  <si>
    <t>ORD10351</t>
  </si>
  <si>
    <t>ORD11590</t>
  </si>
  <si>
    <t>ORD11160</t>
  </si>
  <si>
    <t>ORD12415</t>
  </si>
  <si>
    <t>ORD12348</t>
  </si>
  <si>
    <t>ORD10620</t>
  </si>
  <si>
    <t>ORD11343</t>
  </si>
  <si>
    <t>ORD12160</t>
  </si>
  <si>
    <t>ORD11765</t>
  </si>
  <si>
    <t>ORD10886</t>
  </si>
  <si>
    <t>ORD10948</t>
  </si>
  <si>
    <t>ORD11977</t>
  </si>
  <si>
    <t>ORD11506</t>
  </si>
  <si>
    <t>ORD11437</t>
  </si>
  <si>
    <t>ORD11339</t>
  </si>
  <si>
    <t>ORD10111</t>
  </si>
  <si>
    <t>ORD11373</t>
  </si>
  <si>
    <t>ORD12334</t>
  </si>
  <si>
    <t>ORD12172</t>
  </si>
  <si>
    <t>ORD12130</t>
  </si>
  <si>
    <t>ORD11448</t>
  </si>
  <si>
    <t>ORD10840</t>
  </si>
  <si>
    <t>ORD11748</t>
  </si>
  <si>
    <t>ORD12306</t>
  </si>
  <si>
    <t>ORD10154</t>
  </si>
  <si>
    <t>ORD10744</t>
  </si>
  <si>
    <t>ORD10869</t>
  </si>
  <si>
    <t>ORD10847</t>
  </si>
  <si>
    <t>ORD12417</t>
  </si>
  <si>
    <t>ORD12302</t>
  </si>
  <si>
    <t>ORD11288</t>
  </si>
  <si>
    <t>ORD12356</t>
  </si>
  <si>
    <t>ORD10384</t>
  </si>
  <si>
    <t>ORD11357</t>
  </si>
  <si>
    <t>ORD12023</t>
  </si>
  <si>
    <t>ORD10683</t>
  </si>
  <si>
    <t>ORD11546</t>
  </si>
  <si>
    <t>ORD10503</t>
  </si>
  <si>
    <t>ORD10843</t>
  </si>
  <si>
    <t>ORD10166</t>
  </si>
  <si>
    <t>ORD10596</t>
  </si>
  <si>
    <t>ORD10786</t>
  </si>
  <si>
    <t>ORD11523</t>
  </si>
  <si>
    <t>ORD12091</t>
  </si>
  <si>
    <t>ORD12379</t>
  </si>
  <si>
    <t>ORD11903</t>
  </si>
  <si>
    <t>ORD12106</t>
  </si>
  <si>
    <t>ORD10679</t>
  </si>
  <si>
    <t>ORD11402</t>
  </si>
  <si>
    <t>ORD11185</t>
  </si>
  <si>
    <t>ORD11722</t>
  </si>
  <si>
    <t>ORD10406</t>
  </si>
  <si>
    <t>ORD10341</t>
  </si>
  <si>
    <t>ORD10523</t>
  </si>
  <si>
    <t>ORD11222</t>
  </si>
  <si>
    <t>ORD10136</t>
  </si>
  <si>
    <t>ORD11564</t>
  </si>
  <si>
    <t>ORD11589</t>
  </si>
  <si>
    <t>ORD10599</t>
  </si>
  <si>
    <t>ORD12155</t>
  </si>
  <si>
    <t>ORD12475</t>
  </si>
  <si>
    <t>ORD10546</t>
  </si>
  <si>
    <t>ORD10152</t>
  </si>
  <si>
    <t>ORD10739</t>
  </si>
  <si>
    <t>ORD10888</t>
  </si>
  <si>
    <t>ORD10752</t>
  </si>
  <si>
    <t>ORD10114</t>
  </si>
  <si>
    <t>ORD12437</t>
  </si>
  <si>
    <t>ORD11542</t>
  </si>
  <si>
    <t>ORD10232</t>
  </si>
  <si>
    <t>ORD11415</t>
  </si>
  <si>
    <t>ORD11125</t>
  </si>
  <si>
    <t>ORD12054</t>
  </si>
  <si>
    <t>ORD12279</t>
  </si>
  <si>
    <t>ORD10410</t>
  </si>
  <si>
    <t>ORD10253</t>
  </si>
  <si>
    <t>ORD10857</t>
  </si>
  <si>
    <t>ORD12053</t>
  </si>
  <si>
    <t>ORD11595</t>
  </si>
  <si>
    <t>ORD12178</t>
  </si>
  <si>
    <t>ORD12231</t>
  </si>
  <si>
    <t>ORD10899</t>
  </si>
  <si>
    <t>ORD12303</t>
  </si>
  <si>
    <t>ORD11246</t>
  </si>
  <si>
    <t>ORD11254</t>
  </si>
  <si>
    <t>ORD10055</t>
  </si>
  <si>
    <t>ORD10808</t>
  </si>
  <si>
    <t>ORD12242</t>
  </si>
  <si>
    <t>ORD12239</t>
  </si>
  <si>
    <t>ORD10650</t>
  </si>
  <si>
    <t>ORD12045</t>
  </si>
  <si>
    <t>ORD10084</t>
  </si>
  <si>
    <t>ORD10140</t>
  </si>
  <si>
    <t>ORD11268</t>
  </si>
  <si>
    <t>ORD10148</t>
  </si>
  <si>
    <t>ORD10685</t>
  </si>
  <si>
    <t>ORD11128</t>
  </si>
  <si>
    <t>ORD12422</t>
  </si>
  <si>
    <t>ORD10984</t>
  </si>
  <si>
    <t>ORD12327</t>
  </si>
  <si>
    <t>ORD11396</t>
  </si>
  <si>
    <t>ORD11436</t>
  </si>
  <si>
    <t>ORD11491</t>
  </si>
  <si>
    <t>ORD12444</t>
  </si>
  <si>
    <t>ORD10958</t>
  </si>
  <si>
    <t>ORD11940</t>
  </si>
  <si>
    <t>ORD11466</t>
  </si>
  <si>
    <t>ORD12099</t>
  </si>
  <si>
    <t>ORD12341</t>
  </si>
  <si>
    <t>ORD11134</t>
  </si>
  <si>
    <t>ORD10513</t>
  </si>
  <si>
    <t>ORD11205</t>
  </si>
  <si>
    <t>ORD11743</t>
  </si>
  <si>
    <t>ORD11259</t>
  </si>
  <si>
    <t>ORD11648</t>
  </si>
  <si>
    <t>ORD10203</t>
  </si>
  <si>
    <t>ORD12402</t>
  </si>
  <si>
    <t>ORD11306</t>
  </si>
  <si>
    <t>ORD10302</t>
  </si>
  <si>
    <t>ORD10276</t>
  </si>
  <si>
    <t>ORD11773</t>
  </si>
  <si>
    <t>ORD10225</t>
  </si>
  <si>
    <t>ORD12143</t>
  </si>
  <si>
    <t>ORD10636</t>
  </si>
  <si>
    <t>ORD10003</t>
  </si>
  <si>
    <t>ORD11568</t>
  </si>
  <si>
    <t>ORD12480</t>
  </si>
  <si>
    <t>ORD11960</t>
  </si>
  <si>
    <t>ORD11279</t>
  </si>
  <si>
    <t>ORD11037</t>
  </si>
  <si>
    <t>ORD10081</t>
  </si>
  <si>
    <t>ORD10772</t>
  </si>
  <si>
    <t>ORD11216</t>
  </si>
  <si>
    <t>ORD10494</t>
  </si>
  <si>
    <t>ORD10922</t>
  </si>
  <si>
    <t>ORD12494</t>
  </si>
  <si>
    <t>ORD10964</t>
  </si>
  <si>
    <t>ORD11023</t>
  </si>
  <si>
    <t>ORD11103</t>
  </si>
  <si>
    <t>ORD12081</t>
  </si>
  <si>
    <t>ORD12093</t>
  </si>
  <si>
    <t>ORD12021</t>
  </si>
  <si>
    <t>ORD10473</t>
  </si>
  <si>
    <t>ORD12102</t>
  </si>
  <si>
    <t>ORD10210</t>
  </si>
  <si>
    <t>ORD10396</t>
  </si>
  <si>
    <t>ORD12249</t>
  </si>
  <si>
    <t>ORD10616</t>
  </si>
  <si>
    <t>ORD10142</t>
  </si>
  <si>
    <t>ORD10753</t>
  </si>
  <si>
    <t>ORD11976</t>
  </si>
  <si>
    <t>ORD10293</t>
  </si>
  <si>
    <t>ORD12234</t>
  </si>
  <si>
    <t>ORD11937</t>
  </si>
  <si>
    <t>ORD12463</t>
  </si>
  <si>
    <t>ORD10385</t>
  </si>
  <si>
    <t>ORD10023</t>
  </si>
  <si>
    <t>ORD11874</t>
  </si>
  <si>
    <t>ORD10088</t>
  </si>
  <si>
    <t>ORD11086</t>
  </si>
  <si>
    <t>ORD11654</t>
  </si>
  <si>
    <t>ORD11291</t>
  </si>
  <si>
    <t>ORD10492</t>
  </si>
  <si>
    <t>ORD11768</t>
  </si>
  <si>
    <t>ORD10216</t>
  </si>
  <si>
    <t>ORD12492</t>
  </si>
  <si>
    <t>ORD11684</t>
  </si>
  <si>
    <t>ORD10684</t>
  </si>
  <si>
    <t>ORD12224</t>
  </si>
  <si>
    <t>ORD11368</t>
  </si>
  <si>
    <t>ORD10360</t>
  </si>
  <si>
    <t>ORD10905</t>
  </si>
  <si>
    <t>ORD10480</t>
  </si>
  <si>
    <t>ORD12264</t>
  </si>
  <si>
    <t>ORD10077</t>
  </si>
  <si>
    <t>ORD12170</t>
  </si>
  <si>
    <t>ORD12124</t>
  </si>
  <si>
    <t>ORD11852</t>
  </si>
  <si>
    <t>ORD10690</t>
  </si>
  <si>
    <t>ORD10342</t>
  </si>
  <si>
    <t>ORD11002</t>
  </si>
  <si>
    <t>ORD10417</t>
  </si>
  <si>
    <t>ORD12169</t>
  </si>
  <si>
    <t>ORD10288</t>
  </si>
  <si>
    <t>ORD10804</t>
  </si>
  <si>
    <t>ORD12043</t>
  </si>
  <si>
    <t>ORD10570</t>
  </si>
  <si>
    <t>ORD10770</t>
  </si>
  <si>
    <t>ORD10823</t>
  </si>
  <si>
    <t>ORD11639</t>
  </si>
  <si>
    <t>ORD11263</t>
  </si>
  <si>
    <t>ORD11964</t>
  </si>
  <si>
    <t>ORD10815</t>
  </si>
  <si>
    <t>ORD10031</t>
  </si>
  <si>
    <t>ORD11678</t>
  </si>
  <si>
    <t>ORD11567</t>
  </si>
  <si>
    <t>ORD12012</t>
  </si>
  <si>
    <t>ORD10187</t>
  </si>
  <si>
    <t>ORD11606</t>
  </si>
  <si>
    <t>ORD10033</t>
  </si>
  <si>
    <t>ORD10510</t>
  </si>
  <si>
    <t>ORD11810</t>
  </si>
  <si>
    <t>ORD12467</t>
  </si>
  <si>
    <t>ORD10346</t>
  </si>
  <si>
    <t>ORD11779</t>
  </si>
  <si>
    <t>ORD11827</t>
  </si>
  <si>
    <t>ORD10151</t>
  </si>
  <si>
    <t>ORD11238</t>
  </si>
  <si>
    <t>Row Labels</t>
  </si>
  <si>
    <t>Grand Total</t>
  </si>
  <si>
    <t>Max of Sales</t>
  </si>
  <si>
    <t>Category: Total Sales</t>
  </si>
  <si>
    <t>MONTHS</t>
  </si>
  <si>
    <t>Average of Sales</t>
  </si>
  <si>
    <t>Sum of Quantity</t>
  </si>
  <si>
    <t>Count of Payment_Method</t>
  </si>
  <si>
    <t>SALES INSIGHTS &amp;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</si>
</sst>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b/>
      <sz val="18"/>
      <color theme="9" tint="-0.249977111117893"/>
      <name val="Calibri"/>
      <family val="2"/>
      <scheme val="minor"/>
    </font>
  </fonts>
  <fills count="4">
    <fill>
      <patternFill patternType="none"/>
    </fill>
    <fill>
      <patternFill patternType="gray125"/>
    </fill>
    <fill>
      <patternFill patternType="solid">
        <fgColor theme="1" tint="4.9989318521683403E-2"/>
        <bgColor indexed="64"/>
      </patternFill>
    </fill>
    <fill>
      <patternFill patternType="solid">
        <fgColor theme="1"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2" fillId="0" borderId="1" xfId="0" applyFont="1" applyBorder="1" applyAlignment="1">
      <alignment horizontal="center" vertical="top"/>
    </xf>
    <xf numFmtId="0" fontId="0" fillId="2" borderId="0" xfId="0" applyFill="1"/>
    <xf numFmtId="0" fontId="0" fillId="3" borderId="0" xfId="0" applyFill="1"/>
    <xf numFmtId="0" fontId="0" fillId="3" borderId="0" xfId="0" applyFill="1" applyAlignment="1">
      <alignment horizontal="center"/>
    </xf>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[Electronics Sales Analysis.xlsx]category-sales!PivotTable2</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 Total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'category-sales'!$B$3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45E-438F-8348-8B01BDF7C13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45E-438F-8348-8B01BDF7C13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45E-438F-8348-8B01BDF7C13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45E-438F-8348-8B01BDF7C13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45E-438F-8348-8B01BDF7C132}"/>
              </c:ext>
            </c:extLst>
          </c:dPt>
          <c:dLbls>
            <c:dLbl>
              <c:idx val="1"/>
              <c:numFmt formatCode="0.0,&quot;K&quot;" sourceLinked="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3-245E-438F-8348-8B01BDF7C132}"/>
                </c:ext>
              </c:extLst>
            </c:dLbl>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'category-sales'!$A$4:$A$8</c:f>
              <c:strCache>
                <c:ptCount val="5"/>
                <c:pt idx="0">
                  <c:v>Accessories</c:v>
                </c:pt>
                <c:pt idx="1">
                  <c:v>Headphones</c:v>
                </c:pt>
                <c:pt idx="2">
                  <c:v>Laptops</c:v>
                </c:pt>
                <c:pt idx="3">
                  <c:v>Smart TVs</c:v>
                </c:pt>
                <c:pt idx="4">
                  <c:v>Smartphones</c:v>
                </c:pt>
              </c:strCache>
            </c:strRef>
          </c:cat>
          <c:val>
            <c:numRef>
              <c:f>'category-sales'!$B$4:$B$8</c:f>
              <c:numCache>
                <c:formatCode>General</c:formatCode>
                <c:ptCount val="5"/>
                <c:pt idx="0">
                  <c:v>15605.88</c:v>
                </c:pt>
                <c:pt idx="1">
                  <c:v>39618.47</c:v>
                </c:pt>
                <c:pt idx="2">
                  <c:v>358906.45</c:v>
                </c:pt>
                <c:pt idx="3">
                  <c:v>261804.86</c:v>
                </c:pt>
                <c:pt idx="4">
                  <c:v>196890.26</c:v>
                </c:pt>
              </c:numCache>
            </c:numRef>
          </c:val>
          <c:extLst>
            <c:ext xmlns:c16="http://schemas.microsoft.com/office/drawing/2014/chart" uri="{C3380CC4-5D6E-409C-BE32-E72D297353CC}">
              <c16:uniqueId val="{0000000A-245E-438F-8348-8B01BDF7C13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[Electronics Sales Analysis.xlsx]region-max-sales!PivotTable3</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a:t>Region</a:t>
            </a:r>
            <a:r>
              <a:rPr lang="en-US" sz="1400" b="1" baseline="0"/>
              <a:t> : Max Sales</a:t>
            </a:r>
            <a:endParaRPr lang="en-US" sz="1400" b="1"/>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rgbClr val="00B0F0"/>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69070004309163"/>
          <c:y val="0.16876285734553451"/>
          <c:w val="0.7948442694663167"/>
          <c:h val="0.71230715952172641"/>
        </c:manualLayout>
      </c:layout>
      <c:barChart>
        <c:barDir val="bar"/>
        <c:grouping val="clustered"/>
        <c:varyColors val="0"/>
        <c:ser>
          <c:idx val="0"/>
          <c:order val="0"/>
          <c:tx>
            <c:strRef>
              <c:f>'region-max-sales'!$B$3</c:f>
              <c:strCache>
                <c:ptCount val="1"/>
                <c:pt idx="0">
                  <c:v>Total</c:v>
                </c:pt>
              </c:strCache>
            </c:strRef>
          </c:tx>
          <c:spPr>
            <a:solidFill>
              <a:srgbClr val="00B0F0"/>
            </a:solidFill>
            <a:ln w="9525" cap="flat" cmpd="sng" algn="ctr">
              <a:solidFill>
                <a:schemeClr val="accent1"/>
              </a:solidFill>
              <a:miter lim="800000"/>
            </a:ln>
            <a:effectLst>
              <a:glow rad="63500">
                <a:schemeClr val="accent1">
                  <a:satMod val="175000"/>
                  <a:alpha val="25000"/>
                </a:schemeClr>
              </a:glow>
            </a:effectLst>
          </c:spPr>
          <c:invertIfNegative val="0"/>
          <c:cat>
            <c:strRef>
              <c:f>'region-max-sales'!$A$4:$A$8</c:f>
              <c:strCache>
                <c:ptCount val="5"/>
                <c:pt idx="0">
                  <c:v>Central</c:v>
                </c:pt>
                <c:pt idx="1">
                  <c:v>East</c:v>
                </c:pt>
                <c:pt idx="2">
                  <c:v>North</c:v>
                </c:pt>
                <c:pt idx="3">
                  <c:v>South</c:v>
                </c:pt>
                <c:pt idx="4">
                  <c:v>West</c:v>
                </c:pt>
              </c:strCache>
            </c:strRef>
          </c:cat>
          <c:val>
            <c:numRef>
              <c:f>'region-max-sales'!$B$4:$B$8</c:f>
              <c:numCache>
                <c:formatCode>General</c:formatCode>
                <c:ptCount val="5"/>
                <c:pt idx="0">
                  <c:v>327588.21000000002</c:v>
                </c:pt>
                <c:pt idx="1">
                  <c:v>358906.45</c:v>
                </c:pt>
                <c:pt idx="2">
                  <c:v>358717.58</c:v>
                </c:pt>
                <c:pt idx="3">
                  <c:v>333900.28000000003</c:v>
                </c:pt>
                <c:pt idx="4">
                  <c:v>347940.29</c:v>
                </c:pt>
              </c:numCache>
            </c:numRef>
          </c:val>
          <c:extLst>
            <c:ext xmlns:c16="http://schemas.microsoft.com/office/drawing/2014/chart" uri="{C3380CC4-5D6E-409C-BE32-E72D297353CC}">
              <c16:uniqueId val="{00000000-B099-4DE1-9FBF-87C1540661F8}"/>
            </c:ext>
          </c:extLst>
        </c:ser>
        <c:dLbls>
          <c:showLegendKey val="0"/>
          <c:showVal val="0"/>
          <c:showCatName val="0"/>
          <c:showSerName val="0"/>
          <c:showPercent val="0"/>
          <c:showBubbleSize val="0"/>
        </c:dLbls>
        <c:gapWidth val="182"/>
        <c:overlap val="-50"/>
        <c:axId val="1453763760"/>
        <c:axId val="822853776"/>
      </c:barChart>
      <c:catAx>
        <c:axId val="14537637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822853776"/>
        <c:crosses val="autoZero"/>
        <c:auto val="1"/>
        <c:lblAlgn val="ctr"/>
        <c:lblOffset val="100"/>
        <c:noMultiLvlLbl val="0"/>
      </c:catAx>
      <c:valAx>
        <c:axId val="822853776"/>
        <c:scaling>
          <c:orientation val="minMax"/>
        </c:scaling>
        <c:delete val="0"/>
        <c:axPos val="b"/>
        <c:numFmt formatCode="0.0,\ &quot;M&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145376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[Electronics Sales Analysis.xlsx]city-avg-sale!PivotTable4</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a:t>
            </a:r>
            <a:r>
              <a:rPr lang="en-IN" baseline="0"/>
              <a:t> : Avg Sale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2338363954505689E-2"/>
              <c:y val="0.10663458734324877"/>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2228783902012245E-2"/>
              <c:y val="9.828776611256925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743657042869635E-2"/>
              <c:y val="8.3805045202683004E-2"/>
            </c:manualLayout>
          </c:layout>
          <c:numFmt formatCode="0.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8847112860892391E-2"/>
                  <c:h val="7.4004811898512685E-2"/>
                </c:manualLayout>
              </c15:layout>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2338363954505689E-2"/>
              <c:y val="0.10663458734324877"/>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743657042869635E-2"/>
              <c:y val="8.3805045202683004E-2"/>
            </c:manualLayout>
          </c:layout>
          <c:numFmt formatCode="0.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8847112860892391E-2"/>
                  <c:h val="7.4004811898512685E-2"/>
                </c:manualLayout>
              </c15:layout>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2228783902012245E-2"/>
              <c:y val="9.828776611256925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2338363954505689E-2"/>
              <c:y val="0.10663458734324877"/>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743657042869635E-2"/>
              <c:y val="8.3805045202683004E-2"/>
            </c:manualLayout>
          </c:layout>
          <c:numFmt formatCode="0.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8847112860892391E-2"/>
                  <c:h val="7.4004811898512685E-2"/>
                </c:manualLayout>
              </c15:layout>
            </c:ext>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2228783902012245E-2"/>
              <c:y val="9.828776611256925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21882428035878"/>
          <c:y val="0.24645132077788523"/>
          <c:w val="0.4010477252049483"/>
          <c:h val="0.64613244616352783"/>
        </c:manualLayout>
      </c:layout>
      <c:pieChart>
        <c:varyColors val="1"/>
        <c:ser>
          <c:idx val="0"/>
          <c:order val="0"/>
          <c:tx>
            <c:strRef>
              <c:f>'city-avg-sale'!$B$3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C01-441C-BC31-7C8B859F69F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C01-441C-BC31-7C8B859F69F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C01-441C-BC31-7C8B859F69F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C01-441C-BC31-7C8B859F69F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C01-441C-BC31-7C8B859F69F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4C01-441C-BC31-7C8B859F69F0}"/>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4C01-441C-BC31-7C8B859F69F0}"/>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4C01-441C-BC31-7C8B859F69F0}"/>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4C01-441C-BC31-7C8B859F69F0}"/>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4C01-441C-BC31-7C8B859F69F0}"/>
              </c:ext>
            </c:extLst>
          </c:dPt>
          <c:dLbls>
            <c:dLbl>
              <c:idx val="0"/>
              <c:layout>
                <c:manualLayout>
                  <c:x val="-5.2338363954505689E-2"/>
                  <c:y val="0.1066345873432487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01-441C-BC31-7C8B859F69F0}"/>
                </c:ext>
              </c:extLst>
            </c:dLbl>
            <c:dLbl>
              <c:idx val="8"/>
              <c:layout>
                <c:manualLayout>
                  <c:x val="8.0743657042869635E-2"/>
                  <c:y val="8.3805045202683004E-2"/>
                </c:manualLayout>
              </c:layout>
              <c:numFmt formatCode="0.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8847112860892391E-2"/>
                      <c:h val="7.4004811898512685E-2"/>
                    </c:manualLayout>
                  </c15:layout>
                </c:ext>
                <c:ext xmlns:c16="http://schemas.microsoft.com/office/drawing/2014/chart" uri="{C3380CC4-5D6E-409C-BE32-E72D297353CC}">
                  <c16:uniqueId val="{00000011-4C01-441C-BC31-7C8B859F69F0}"/>
                </c:ext>
              </c:extLst>
            </c:dLbl>
            <c:dLbl>
              <c:idx val="9"/>
              <c:layout>
                <c:manualLayout>
                  <c:x val="6.2228783902012245E-2"/>
                  <c:y val="9.828776611256925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C01-441C-BC31-7C8B859F69F0}"/>
                </c:ext>
              </c:extLst>
            </c:dLbl>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'city-avg-sale'!$A$4:$A$13</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'city-avg-sale'!$B$4:$B$13</c:f>
              <c:numCache>
                <c:formatCode>General</c:formatCode>
                <c:ptCount val="10"/>
                <c:pt idx="0">
                  <c:v>72203.0866976744</c:v>
                </c:pt>
                <c:pt idx="1">
                  <c:v>74931.925333333333</c:v>
                </c:pt>
                <c:pt idx="2">
                  <c:v>74763.719923664132</c:v>
                </c:pt>
                <c:pt idx="3">
                  <c:v>83864.994664031634</c:v>
                </c:pt>
                <c:pt idx="4">
                  <c:v>86672.333960784294</c:v>
                </c:pt>
                <c:pt idx="5">
                  <c:v>77401.566679687501</c:v>
                </c:pt>
                <c:pt idx="6">
                  <c:v>84801.960301886851</c:v>
                </c:pt>
                <c:pt idx="7">
                  <c:v>76259.127349397575</c:v>
                </c:pt>
                <c:pt idx="8">
                  <c:v>74965.148798076931</c:v>
                </c:pt>
                <c:pt idx="9">
                  <c:v>81238.678164793979</c:v>
                </c:pt>
              </c:numCache>
            </c:numRef>
          </c:val>
          <c:extLst>
            <c:ext xmlns:c16="http://schemas.microsoft.com/office/drawing/2014/chart" uri="{C3380CC4-5D6E-409C-BE32-E72D297353CC}">
              <c16:uniqueId val="{00000014-4C01-441C-BC31-7C8B859F69F0}"/>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[Electronics Sales Analysis.xlsx]top-5-cities!PivotTable7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Cities Sale</a:t>
            </a:r>
            <a:endParaRPr lang="en-US"/>
          </a:p>
        </c:rich>
      </c:tx>
      <c:layout>
        <c:manualLayout>
          <c:xMode val="edge"/>
          <c:yMode val="edge"/>
          <c:x val="0.32022222222222224"/>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7506561679791"/>
          <c:y val="0.18300908098166563"/>
          <c:w val="0.84419663167104109"/>
          <c:h val="0.70959135316418775"/>
        </c:manualLayout>
      </c:layout>
      <c:barChart>
        <c:barDir val="col"/>
        <c:grouping val="clustered"/>
        <c:varyColors val="0"/>
        <c:ser>
          <c:idx val="0"/>
          <c:order val="0"/>
          <c:tx>
            <c:strRef>
              <c:f>'top-5-cities'!$B$3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'top-5-cities'!$A$4:$A$13</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'top-5-cities'!$B$4:$B$13</c:f>
              <c:numCache>
                <c:formatCode>General</c:formatCode>
                <c:ptCount val="10"/>
                <c:pt idx="0">
                  <c:v>315246.23</c:v>
                </c:pt>
                <c:pt idx="1">
                  <c:v>327583.88</c:v>
                </c:pt>
                <c:pt idx="2">
                  <c:v>333900.28000000003</c:v>
                </c:pt>
                <c:pt idx="3">
                  <c:v>326492.55</c:v>
                </c:pt>
                <c:pt idx="4">
                  <c:v>358906.45</c:v>
                </c:pt>
                <c:pt idx="5">
                  <c:v>357225.36</c:v>
                </c:pt>
                <c:pt idx="6">
                  <c:v>327445.76000000001</c:v>
                </c:pt>
                <c:pt idx="7">
                  <c:v>352989.68</c:v>
                </c:pt>
                <c:pt idx="8">
                  <c:v>254066.92</c:v>
                </c:pt>
                <c:pt idx="9">
                  <c:v>358717.58</c:v>
                </c:pt>
              </c:numCache>
            </c:numRef>
          </c:val>
          <c:extLst>
            <c:ext xmlns:c16="http://schemas.microsoft.com/office/drawing/2014/chart" uri="{C3380CC4-5D6E-409C-BE32-E72D297353CC}">
              <c16:uniqueId val="{00000000-FF3A-43E1-8099-D6CBE0DEE529}"/>
            </c:ext>
          </c:extLst>
        </c:ser>
        <c:dLbls>
          <c:showLegendKey val="0"/>
          <c:showVal val="0"/>
          <c:showCatName val="0"/>
          <c:showSerName val="0"/>
          <c:showPercent val="0"/>
          <c:showBubbleSize val="0"/>
        </c:dLbls>
        <c:gapWidth val="100"/>
        <c:overlap val="-24"/>
        <c:axId val="1453795312"/>
        <c:axId val="1176591920"/>
      </c:barChart>
      <c:catAx>
        <c:axId val="1453795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6591920"/>
        <c:crosses val="autoZero"/>
        <c:auto val="1"/>
        <c:lblAlgn val="ctr"/>
        <c:lblOffset val="100"/>
        <c:noMultiLvlLbl val="0"/>
      </c:catAx>
      <c:valAx>
        <c:axId val="1176591920"/>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79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[Electronics Sales Analysis.xlsx]product-quantity-sold!PivotTable9</c:name>
    <c:fmtId val="9"/>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Product</a:t>
            </a:r>
            <a:r>
              <a:rPr lang="en-US" sz="1200" baseline="0"/>
              <a:t> : Quantity Sold</a:t>
            </a:r>
            <a:endParaRPr lang="en-US" sz="1200"/>
          </a:p>
        </c:rich>
      </c:tx>
      <c:layout>
        <c:manualLayout>
          <c:xMode val="edge"/>
          <c:yMode val="edge"/>
          <c:x val="0.24242344706911637"/>
          <c:y val="2.3148148148148147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94208360141752E-2"/>
          <c:y val="0.19994242320500452"/>
          <c:w val="0.89019685039370078"/>
          <c:h val="0.66709864391951001"/>
        </c:manualLayout>
      </c:layout>
      <c:lineChart>
        <c:grouping val="standard"/>
        <c:varyColors val="0"/>
        <c:ser>
          <c:idx val="0"/>
          <c:order val="0"/>
          <c:tx>
            <c:strRef>
              <c:f>'product-quantity-sold'!$B$3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'product-quantity-sold'!$A$4:$A$10</c:f>
              <c:strCache>
                <c:ptCount val="6"/>
                <c:pt idx="0">
                  <c:v>HP Pavilion</c:v>
                </c:pt>
                <c:pt idx="1">
                  <c:v>Lenovo IdeaPad</c:v>
                </c:pt>
                <c:pt idx="2">
                  <c:v>LG 50 4K</c:v>
                </c:pt>
                <c:pt idx="3">
                  <c:v>Sony WH-CH720N</c:v>
                </c:pt>
                <c:pt idx="4">
                  <c:v>TCL 55 4K</c:v>
                </c:pt>
                <c:pt idx="5">
                  <c:v>Wireless Mouse</c:v>
                </c:pt>
              </c:strCache>
            </c:strRef>
          </c:cat>
          <c:val>
            <c:numRef>
              <c:f>'product-quantity-sold'!$B$4:$B$10</c:f>
              <c:numCache>
                <c:formatCode>General</c:formatCode>
                <c:ptCount val="6"/>
                <c:pt idx="0">
                  <c:v>416</c:v>
                </c:pt>
                <c:pt idx="1">
                  <c:v>415</c:v>
                </c:pt>
                <c:pt idx="2">
                  <c:v>449</c:v>
                </c:pt>
                <c:pt idx="3">
                  <c:v>421</c:v>
                </c:pt>
                <c:pt idx="4">
                  <c:v>394</c:v>
                </c:pt>
                <c:pt idx="5">
                  <c:v>424</c:v>
                </c:pt>
              </c:numCache>
            </c:numRef>
          </c:val>
          <c:smooth val="0"/>
          <c:extLst>
            <c:ext xmlns:c16="http://schemas.microsoft.com/office/drawing/2014/chart" uri="{C3380CC4-5D6E-409C-BE32-E72D297353CC}">
              <c16:uniqueId val="{00000000-1F70-409A-9F25-7C3C93F16A40}"/>
            </c:ext>
          </c:extLst>
        </c:ser>
        <c:dLbls>
          <c:showLegendKey val="0"/>
          <c:showVal val="0"/>
          <c:showCatName val="0"/>
          <c:showSerName val="0"/>
          <c:showPercent val="0"/>
          <c:showBubbleSize val="0"/>
        </c:dLbls>
        <c:marker val="1"/>
        <c:smooth val="0"/>
        <c:axId val="1330538032"/>
        <c:axId val="1176617840"/>
      </c:lineChart>
      <c:catAx>
        <c:axId val="13305380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176617840"/>
        <c:crosses val="autoZero"/>
        <c:auto val="1"/>
        <c:lblAlgn val="ctr"/>
        <c:lblOffset val="100"/>
        <c:noMultiLvlLbl val="0"/>
      </c:catAx>
      <c:valAx>
        <c:axId val="117661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3053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[Electronics Sales Analysis.xlsx]payment-distribution!PivotTable10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a:t>
            </a:r>
            <a:r>
              <a:rPr lang="en-IN" baseline="0"/>
              <a:t> : Distribution</a:t>
            </a:r>
            <a:endParaRPr lang="en-IN"/>
          </a:p>
        </c:rich>
      </c:tx>
      <c:layout>
        <c:manualLayout>
          <c:xMode val="edge"/>
          <c:yMode val="edge"/>
          <c:x val="0.25374999999999998"/>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'payment-distribution'!$B$3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34A-4FFA-B855-7C942B75398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34A-4FFA-B855-7C942B75398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34A-4FFA-B855-7C942B75398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34A-4FFA-B855-7C942B7539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'payment-distribution'!$A$4:$A$8</c:f>
              <c:strCache>
                <c:ptCount val="4"/>
                <c:pt idx="0">
                  <c:v>Cancelled</c:v>
                </c:pt>
                <c:pt idx="1">
                  <c:v>Delivered</c:v>
                </c:pt>
                <c:pt idx="2">
                  <c:v>Returned</c:v>
                </c:pt>
                <c:pt idx="3">
                  <c:v>Shipped</c:v>
                </c:pt>
              </c:strCache>
            </c:strRef>
          </c:cat>
          <c:val>
            <c:numRef>
              <c:f>'payment-distribution'!$B$4:$B$8</c:f>
              <c:numCache>
                <c:formatCode>General</c:formatCode>
                <c:ptCount val="4"/>
                <c:pt idx="0">
                  <c:v>432</c:v>
                </c:pt>
                <c:pt idx="1">
                  <c:v>1247</c:v>
                </c:pt>
                <c:pt idx="2">
                  <c:v>394</c:v>
                </c:pt>
                <c:pt idx="3">
                  <c:v>427</c:v>
                </c:pt>
              </c:numCache>
            </c:numRef>
          </c:val>
          <c:extLst>
            <c:ext xmlns:c16="http://schemas.microsoft.com/office/drawing/2014/chart" uri="{C3380CC4-5D6E-409C-BE32-E72D297353CC}">
              <c16:uniqueId val="{00000008-434A-4FFA-B855-7C942B7539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Sales Analysis.xlsx]product-quantity-sold!PivotTable9</c:name>
    <c:fmtId val="0"/>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Product</a:t>
            </a:r>
            <a:r>
              <a:rPr lang="en-US" sz="1200" baseline="0"/>
              <a:t> : Quantity Sold</a:t>
            </a:r>
            <a:endParaRPr lang="en-US" sz="1200"/>
          </a:p>
        </c:rich>
      </c:tx>
      <c:layout>
        <c:manualLayout>
          <c:xMode val="edge"/>
          <c:yMode val="edge"/>
          <c:x val="0.24242344706911637"/>
          <c:y val="2.3148148148148147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'product-quantity-sold'!$B$3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'product-quantity-sold'!$A$4:$A$10</c:f>
              <c:strCache>
                <c:ptCount val="6"/>
                <c:pt idx="0">
                  <c:v>HP Pavilion</c:v>
                </c:pt>
                <c:pt idx="1">
                  <c:v>Lenovo IdeaPad</c:v>
                </c:pt>
                <c:pt idx="2">
                  <c:v>LG 50 4K</c:v>
                </c:pt>
                <c:pt idx="3">
                  <c:v>Sony WH-CH720N</c:v>
                </c:pt>
                <c:pt idx="4">
                  <c:v>TCL 55 4K</c:v>
                </c:pt>
                <c:pt idx="5">
                  <c:v>Wireless Mouse</c:v>
                </c:pt>
              </c:strCache>
            </c:strRef>
          </c:cat>
          <c:val>
            <c:numRef>
              <c:f>'product-quantity-sold'!$B$4:$B$10</c:f>
              <c:numCache>
                <c:formatCode>General</c:formatCode>
                <c:ptCount val="6"/>
                <c:pt idx="0">
                  <c:v>416</c:v>
                </c:pt>
                <c:pt idx="1">
                  <c:v>415</c:v>
                </c:pt>
                <c:pt idx="2">
                  <c:v>449</c:v>
                </c:pt>
                <c:pt idx="3">
                  <c:v>421</c:v>
                </c:pt>
                <c:pt idx="4">
                  <c:v>394</c:v>
                </c:pt>
                <c:pt idx="5">
                  <c:v>424</c:v>
                </c:pt>
              </c:numCache>
            </c:numRef>
          </c:val>
          <c:smooth val="0"/>
          <c:extLst>
            <c:ext xmlns:c16="http://schemas.microsoft.com/office/drawing/2014/chart" uri="{C3380CC4-5D6E-409C-BE32-E72D297353CC}">
              <c16:uniqueId val="{00000000-51DC-4DD9-AF4E-5AF540A862A2}"/>
            </c:ext>
          </c:extLst>
        </c:ser>
        <c:dLbls>
          <c:showLegendKey val="0"/>
          <c:showVal val="0"/>
          <c:showCatName val="0"/>
          <c:showSerName val="0"/>
          <c:showPercent val="0"/>
          <c:showBubbleSize val="0"/>
        </c:dLbls>
        <c:marker val="1"/>
        <c:smooth val="0"/>
        <c:axId val="1330538032"/>
        <c:axId val="1176617840"/>
      </c:lineChart>
      <c:catAx>
        <c:axId val="13305380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176617840"/>
        <c:crosses val="autoZero"/>
        <c:auto val="1"/>
        <c:lblAlgn val="ctr"/>
        <c:lblOffset val="100"/>
        <c:noMultiLvlLbl val="0"/>
      </c:catAx>
      <c:valAx>
        <c:axId val="117661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3053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Sales Analysis.xlsx]payment-distribution!PivotTable10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a:t>
            </a:r>
            <a:r>
              <a:rPr lang="en-IN" baseline="0"/>
              <a:t> : Distribution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'payment-distribution'!$B$3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'payment-distribution'!$A$4:$A$8</c:f>
              <c:strCache>
                <c:ptCount val="4"/>
                <c:pt idx="0">
                  <c:v>Cancelled</c:v>
                </c:pt>
                <c:pt idx="1">
                  <c:v>Delivered</c:v>
                </c:pt>
                <c:pt idx="2">
                  <c:v>Returned</c:v>
                </c:pt>
                <c:pt idx="3">
                  <c:v>Shipped</c:v>
                </c:pt>
              </c:strCache>
            </c:strRef>
          </c:cat>
          <c:val>
            <c:numRef>
              <c:f>'payment-distribution'!$B$4:$B$8</c:f>
              <c:numCache>
                <c:formatCode>General</c:formatCode>
                <c:ptCount val="4"/>
                <c:pt idx="0">
                  <c:v>432</c:v>
                </c:pt>
                <c:pt idx="1">
                  <c:v>1247</c:v>
                </c:pt>
                <c:pt idx="2">
                  <c:v>394</c:v>
                </c:pt>
                <c:pt idx="3">
                  <c:v>427</c:v>
                </c:pt>
              </c:numCache>
            </c:numRef>
          </c:val>
          <c:extLst>
            <c:ext xmlns:c16="http://schemas.microsoft.com/office/drawing/2014/chart" uri="{C3380CC4-5D6E-409C-BE32-E72D297353CC}">
              <c16:uniqueId val="{00000003-EB0B-45D7-928E-0D3BE45F68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Sales Analysis.xlsx]top-5-cities!PivotTable7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Cities Sale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'top-5-cities'!$B$3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'top-5-cities'!$A$4:$A$13</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'top-5-cities'!$B$4:$B$13</c:f>
              <c:numCache>
                <c:formatCode>General</c:formatCode>
                <c:ptCount val="10"/>
                <c:pt idx="0">
                  <c:v>315246.23</c:v>
                </c:pt>
                <c:pt idx="1">
                  <c:v>327583.88</c:v>
                </c:pt>
                <c:pt idx="2">
                  <c:v>333900.28000000003</c:v>
                </c:pt>
                <c:pt idx="3">
                  <c:v>326492.55</c:v>
                </c:pt>
                <c:pt idx="4">
                  <c:v>358906.45</c:v>
                </c:pt>
                <c:pt idx="5">
                  <c:v>357225.36</c:v>
                </c:pt>
                <c:pt idx="6">
                  <c:v>327445.76000000001</c:v>
                </c:pt>
                <c:pt idx="7">
                  <c:v>352989.68</c:v>
                </c:pt>
                <c:pt idx="8">
                  <c:v>254066.92</c:v>
                </c:pt>
                <c:pt idx="9">
                  <c:v>358717.58</c:v>
                </c:pt>
              </c:numCache>
            </c:numRef>
          </c:val>
          <c:extLst>
            <c:ext xmlns:c16="http://schemas.microsoft.com/office/drawing/2014/chart" uri="{C3380CC4-5D6E-409C-BE32-E72D297353CC}">
              <c16:uniqueId val="{00000000-4570-4353-ACCB-E3F68D3D29F6}"/>
            </c:ext>
          </c:extLst>
        </c:ser>
        <c:dLbls>
          <c:showLegendKey val="0"/>
          <c:showVal val="0"/>
          <c:showCatName val="0"/>
          <c:showSerName val="0"/>
          <c:showPercent val="0"/>
          <c:showBubbleSize val="0"/>
        </c:dLbls>
        <c:gapWidth val="100"/>
        <c:overlap val="-24"/>
        <c:axId val="1453795312"/>
        <c:axId val="1176591920"/>
      </c:barChart>
      <c:catAx>
        <c:axId val="1453795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6591920"/>
        <c:crosses val="autoZero"/>
        <c:auto val="1"/>
        <c:lblAlgn val="ctr"/>
        <c:lblOffset val="100"/>
        <c:noMultiLvlLbl val="0"/>
      </c:catAx>
      <c:valAx>
        <c:axId val="1176591920"/>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79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Sales Analysis.xlsx]category-sales!PivotTable2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 Total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lt1">
                      <a:lumMod val="85000"/>
                    </a:schemeClr>
                  </a:solidFill>
                  <a:latin typeface="+mn-lt"/>
                  <a:ea typeface="+mn-ea"/>
                  <a:cs typeface="+mn-cs"/>
                </a:defRPr>
              </a:pPr>
              <a:endParaRPr lang="en-US"/>
            </a:p>
          </c:txPr>
        </c:dLbl>
      </c:pivotFmt>
    </c:pivotFmts>
    <c:plotArea>
      <c:layout/>
      <c:pieChart>
        <c:varyColors val="1"/>
        <c:ser>
          <c:idx val="0"/>
          <c:order val="0"/>
          <c:tx>
            <c:strRef>
              <c:f>'category-sales'!$B$3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7F9-430E-9C37-866EA007BDA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E7F9-430E-9C37-866EA007BDA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'category-sales'!$A$4:$A$8</c:f>
              <c:strCache>
                <c:ptCount val="5"/>
                <c:pt idx="0">
                  <c:v>Accessories</c:v>
                </c:pt>
                <c:pt idx="1">
                  <c:v>Headphones</c:v>
                </c:pt>
                <c:pt idx="2">
                  <c:v>Laptops</c:v>
                </c:pt>
                <c:pt idx="3">
                  <c:v>Smart TVs</c:v>
                </c:pt>
                <c:pt idx="4">
                  <c:v>Smartphones</c:v>
                </c:pt>
              </c:strCache>
            </c:strRef>
          </c:cat>
          <c:val>
            <c:numRef>
              <c:f>'category-sales'!$B$4:$B$8</c:f>
              <c:numCache>
                <c:formatCode>General</c:formatCode>
                <c:ptCount val="5"/>
                <c:pt idx="0">
                  <c:v>15605.88</c:v>
                </c:pt>
                <c:pt idx="1">
                  <c:v>39618.47</c:v>
                </c:pt>
                <c:pt idx="2">
                  <c:v>358906.45</c:v>
                </c:pt>
                <c:pt idx="3">
                  <c:v>261804.86</c:v>
                </c:pt>
                <c:pt idx="4">
                  <c:v>196890.26</c:v>
                </c:pt>
              </c:numCache>
            </c:numRef>
          </c:val>
          <c:extLst>
            <c:ext xmlns:c16="http://schemas.microsoft.com/office/drawing/2014/chart" uri="{C3380CC4-5D6E-409C-BE32-E72D297353CC}">
              <c16:uniqueId val="{00000000-E7F9-430E-9C37-866EA007BDA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Sales Analysis.xlsx]region-max-sales!PivotTable3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a:t>Region</a:t>
            </a:r>
            <a:r>
              <a:rPr lang="en-US" sz="1400" b="1" baseline="0"/>
              <a:t> : Max Sales</a:t>
            </a:r>
            <a:endParaRPr lang="en-US" sz="1400" b="1"/>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rgbClr val="00B0F0"/>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'region-max-sales'!$B$3</c:f>
              <c:strCache>
                <c:ptCount val="1"/>
                <c:pt idx="0">
                  <c:v>Total</c:v>
                </c:pt>
              </c:strCache>
            </c:strRef>
          </c:tx>
          <c:spPr>
            <a:solidFill>
              <a:srgbClr val="00B0F0"/>
            </a:solidFill>
            <a:ln w="9525" cap="flat" cmpd="sng" algn="ctr">
              <a:solidFill>
                <a:schemeClr val="accent1"/>
              </a:solidFill>
              <a:miter lim="800000"/>
            </a:ln>
            <a:effectLst>
              <a:glow rad="63500">
                <a:schemeClr val="accent1">
                  <a:satMod val="175000"/>
                  <a:alpha val="25000"/>
                </a:schemeClr>
              </a:glow>
            </a:effectLst>
          </c:spPr>
          <c:invertIfNegative val="0"/>
          <c:cat>
            <c:strRef>
              <c:f>'region-max-sales'!$A$4:$A$8</c:f>
              <c:strCache>
                <c:ptCount val="5"/>
                <c:pt idx="0">
                  <c:v>Central</c:v>
                </c:pt>
                <c:pt idx="1">
                  <c:v>East</c:v>
                </c:pt>
                <c:pt idx="2">
                  <c:v>North</c:v>
                </c:pt>
                <c:pt idx="3">
                  <c:v>South</c:v>
                </c:pt>
                <c:pt idx="4">
                  <c:v>West</c:v>
                </c:pt>
              </c:strCache>
            </c:strRef>
          </c:cat>
          <c:val>
            <c:numRef>
              <c:f>'region-max-sales'!$B$4:$B$8</c:f>
              <c:numCache>
                <c:formatCode>General</c:formatCode>
                <c:ptCount val="5"/>
                <c:pt idx="0">
                  <c:v>327588.21000000002</c:v>
                </c:pt>
                <c:pt idx="1">
                  <c:v>358906.45</c:v>
                </c:pt>
                <c:pt idx="2">
                  <c:v>358717.58</c:v>
                </c:pt>
                <c:pt idx="3">
                  <c:v>333900.28000000003</c:v>
                </c:pt>
                <c:pt idx="4">
                  <c:v>347940.29</c:v>
                </c:pt>
              </c:numCache>
            </c:numRef>
          </c:val>
          <c:extLst>
            <c:ext xmlns:c16="http://schemas.microsoft.com/office/drawing/2014/chart" uri="{C3380CC4-5D6E-409C-BE32-E72D297353CC}">
              <c16:uniqueId val="{00000000-01FA-4E03-A18A-1D27E667B8F0}"/>
            </c:ext>
          </c:extLst>
        </c:ser>
        <c:dLbls>
          <c:showLegendKey val="0"/>
          <c:showVal val="0"/>
          <c:showCatName val="0"/>
          <c:showSerName val="0"/>
          <c:showPercent val="0"/>
          <c:showBubbleSize val="0"/>
        </c:dLbls>
        <c:gapWidth val="182"/>
        <c:overlap val="-50"/>
        <c:axId val="1453763760"/>
        <c:axId val="822853776"/>
      </c:barChart>
      <c:catAx>
        <c:axId val="14537637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822853776"/>
        <c:crosses val="autoZero"/>
        <c:auto val="1"/>
        <c:lblAlgn val="ctr"/>
        <c:lblOffset val="100"/>
        <c:noMultiLvlLbl val="0"/>
      </c:catAx>
      <c:valAx>
        <c:axId val="822853776"/>
        <c:scaling>
          <c:orientation val="minMax"/>
        </c:scaling>
        <c:delete val="0"/>
        <c:axPos val="b"/>
        <c:numFmt formatCode="0.0,\ &quot;M&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145376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Sales Analysis.xlsx]city-avg-sale!PivotTable4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a:t>
            </a:r>
            <a:r>
              <a:rPr lang="en-IN" baseline="0"/>
              <a:t> : Avg Sale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2338363954505689E-2"/>
              <c:y val="0.10663458734324877"/>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2228783902012245E-2"/>
              <c:y val="9.8287766112569258E-2"/>
            </c:manualLayout>
          </c:layout>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743657042869635E-2"/>
              <c:y val="8.3805045202683004E-2"/>
            </c:manualLayout>
          </c:layout>
          <c:numFmt formatCode="0.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8847112860892391E-2"/>
                  <c:h val="7.4004811898512685E-2"/>
                </c:manualLayout>
              </c15:layout>
            </c:ext>
          </c:extLst>
        </c:dLbl>
      </c:pivotFmt>
    </c:pivotFmts>
    <c:plotArea>
      <c:layout/>
      <c:pieChart>
        <c:varyColors val="1"/>
        <c:ser>
          <c:idx val="0"/>
          <c:order val="0"/>
          <c:tx>
            <c:strRef>
              <c:f>'city-avg-sale'!$B$3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A10-45AA-8254-3149B0F8E41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1A10-45AA-8254-3149B0F8E41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A10-45AA-8254-3149B0F8E41F}"/>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1A10-45AA-8254-3149B0F8E41F}"/>
              </c:ext>
            </c:extLst>
          </c:dPt>
          <c:dLbls>
            <c:dLbl>
              <c:idx val="0"/>
              <c:layout>
                <c:manualLayout>
                  <c:x val="-5.2338363954505689E-2"/>
                  <c:y val="0.1066345873432487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10-45AA-8254-3149B0F8E41F}"/>
                </c:ext>
              </c:extLst>
            </c:dLbl>
            <c:dLbl>
              <c:idx val="8"/>
              <c:layout>
                <c:manualLayout>
                  <c:x val="8.0743657042869635E-2"/>
                  <c:y val="8.3805045202683004E-2"/>
                </c:manualLayout>
              </c:layout>
              <c:numFmt formatCode="0.0,\ &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8847112860892391E-2"/>
                      <c:h val="7.4004811898512685E-2"/>
                    </c:manualLayout>
                  </c15:layout>
                </c:ext>
                <c:ext xmlns:c16="http://schemas.microsoft.com/office/drawing/2014/chart" uri="{C3380CC4-5D6E-409C-BE32-E72D297353CC}">
                  <c16:uniqueId val="{00000005-1A10-45AA-8254-3149B0F8E41F}"/>
                </c:ext>
              </c:extLst>
            </c:dLbl>
            <c:dLbl>
              <c:idx val="9"/>
              <c:layout>
                <c:manualLayout>
                  <c:x val="6.2228783902012245E-2"/>
                  <c:y val="9.828776611256925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10-45AA-8254-3149B0F8E41F}"/>
                </c:ext>
              </c:extLst>
            </c:dLbl>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'city-avg-sale'!$A$4:$A$13</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'city-avg-sale'!$B$4:$B$13</c:f>
              <c:numCache>
                <c:formatCode>General</c:formatCode>
                <c:ptCount val="10"/>
                <c:pt idx="0">
                  <c:v>72203.0866976744</c:v>
                </c:pt>
                <c:pt idx="1">
                  <c:v>74931.925333333333</c:v>
                </c:pt>
                <c:pt idx="2">
                  <c:v>74763.719923664132</c:v>
                </c:pt>
                <c:pt idx="3">
                  <c:v>83864.994664031634</c:v>
                </c:pt>
                <c:pt idx="4">
                  <c:v>86672.333960784294</c:v>
                </c:pt>
                <c:pt idx="5">
                  <c:v>77401.566679687501</c:v>
                </c:pt>
                <c:pt idx="6">
                  <c:v>84801.960301886851</c:v>
                </c:pt>
                <c:pt idx="7">
                  <c:v>76259.127349397575</c:v>
                </c:pt>
                <c:pt idx="8">
                  <c:v>74965.148798076931</c:v>
                </c:pt>
                <c:pt idx="9">
                  <c:v>81238.678164793979</c:v>
                </c:pt>
              </c:numCache>
            </c:numRef>
          </c:val>
          <c:extLst>
            <c:ext xmlns:c16="http://schemas.microsoft.com/office/drawing/2014/chart" uri="{C3380CC4-5D6E-409C-BE32-E72D297353CC}">
              <c16:uniqueId val="{00000000-1A10-45AA-8254-3149B0F8E41F}"/>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106680</xdr:colOff>
      <xdr:row>3</xdr:row>
      <xdr:rowOff>144780</xdr:rowOff>
    </xdr:from>
    <xdr:to>
      <xdr:col>5</xdr:col>
      <xdr:colOff>495300</xdr:colOff>
      <xdr:row>15</xdr:row>
      <xdr:rowOff>129540</xdr:rowOff>
    </xdr:to>
    <xdr:graphicFrame macro="">
      <xdr:nvGraphicFramePr>
        <xdr:cNvPr id="15" name="Chart 14">
          <a:extLst>
            <a:ext uri="{FF2B5EF4-FFF2-40B4-BE49-F238E27FC236}">
              <a16:creationId xmlns:a16="http://schemas.microsoft.com/office/drawing/2014/main" id="{6ABF9941-B56D-4926-B070-05E86CAA6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xdr:colOff>
      <xdr:row>4</xdr:row>
      <xdr:rowOff>30480</xdr:rowOff>
    </xdr:from>
    <xdr:to>
      <xdr:col>19</xdr:col>
      <xdr:colOff>464820</xdr:colOff>
      <xdr:row>15</xdr:row>
      <xdr:rowOff>160020</xdr:rowOff>
    </xdr:to>
    <xdr:graphicFrame macro="">
      <xdr:nvGraphicFramePr>
        <xdr:cNvPr id="17" name="Chart 16">
          <a:extLst>
            <a:ext uri="{FF2B5EF4-FFF2-40B4-BE49-F238E27FC236}">
              <a16:creationId xmlns:a16="http://schemas.microsoft.com/office/drawing/2014/main" id="{E8113CB5-C0F9-4E96-9F38-754AC6698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579120</xdr:colOff>
      <xdr:row>4</xdr:row>
      <xdr:rowOff>22860</xdr:rowOff>
    </xdr:from>
    <xdr:to>
      <xdr:col>12</xdr:col>
      <xdr:colOff>510540</xdr:colOff>
      <xdr:row>16</xdr:row>
      <xdr:rowOff>15240</xdr:rowOff>
    </xdr:to>
    <xdr:graphicFrame macro="">
      <xdr:nvGraphicFramePr>
        <xdr:cNvPr id="19" name="Chart 18">
          <a:extLst>
            <a:ext uri="{FF2B5EF4-FFF2-40B4-BE49-F238E27FC236}">
              <a16:creationId xmlns:a16="http://schemas.microsoft.com/office/drawing/2014/main" id="{0B142590-519B-4EBB-8534-D0B4E426D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129540</xdr:colOff>
      <xdr:row>16</xdr:row>
      <xdr:rowOff>53340</xdr:rowOff>
    </xdr:from>
    <xdr:to>
      <xdr:col>5</xdr:col>
      <xdr:colOff>487680</xdr:colOff>
      <xdr:row>28</xdr:row>
      <xdr:rowOff>60960</xdr:rowOff>
    </xdr:to>
    <xdr:graphicFrame macro="">
      <xdr:nvGraphicFramePr>
        <xdr:cNvPr id="20" name="Chart 19">
          <a:extLst>
            <a:ext uri="{FF2B5EF4-FFF2-40B4-BE49-F238E27FC236}">
              <a16:creationId xmlns:a16="http://schemas.microsoft.com/office/drawing/2014/main" id="{D0D0C13E-082A-4BFB-AD95-DD03DF1AC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449580</xdr:colOff>
      <xdr:row>16</xdr:row>
      <xdr:rowOff>114300</xdr:rowOff>
    </xdr:from>
    <xdr:to>
      <xdr:col>19</xdr:col>
      <xdr:colOff>457200</xdr:colOff>
      <xdr:row>28</xdr:row>
      <xdr:rowOff>53340</xdr:rowOff>
    </xdr:to>
    <xdr:graphicFrame macro="">
      <xdr:nvGraphicFramePr>
        <xdr:cNvPr id="22" name="Chart 21">
          <a:extLst>
            <a:ext uri="{FF2B5EF4-FFF2-40B4-BE49-F238E27FC236}">
              <a16:creationId xmlns:a16="http://schemas.microsoft.com/office/drawing/2014/main" id="{2F0F0627-2CCF-4B6C-A330-B5DE75EBD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594360</xdr:colOff>
      <xdr:row>16</xdr:row>
      <xdr:rowOff>83820</xdr:rowOff>
    </xdr:from>
    <xdr:to>
      <xdr:col>12</xdr:col>
      <xdr:colOff>335280</xdr:colOff>
      <xdr:row>28</xdr:row>
      <xdr:rowOff>53340</xdr:rowOff>
    </xdr:to>
    <xdr:graphicFrame macro="">
      <xdr:nvGraphicFramePr>
        <xdr:cNvPr id="24" name="Chart 23">
          <a:extLst>
            <a:ext uri="{FF2B5EF4-FFF2-40B4-BE49-F238E27FC236}">
              <a16:creationId xmlns:a16="http://schemas.microsoft.com/office/drawing/2014/main" id="{66CFB600-DE1E-4B10-9474-A60338FCE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19</xdr:row>
      <xdr:rowOff>129540</xdr:rowOff>
    </xdr:from>
    <xdr:to>
      <xdr:col>23</xdr:col>
      <xdr:colOff>0</xdr:colOff>
      <xdr:row>28</xdr:row>
      <xdr:rowOff>83821</xdr:rowOff>
    </xdr:to>
    <mc:AlternateContent xmlns:mc="http://schemas.openxmlformats.org/markup-compatibility/2006">
      <mc:Choice xmlns:a14="http://schemas.microsoft.com/office/drawing/2010/main" Requires="a14">
        <xdr:graphicFrame macro="">
          <xdr:nvGraphicFramePr>
            <xdr:cNvPr id="25" name="MONTHS">
              <a:extLst>
                <a:ext uri="{FF2B5EF4-FFF2-40B4-BE49-F238E27FC236}">
                  <a16:creationId xmlns:a16="http://schemas.microsoft.com/office/drawing/2014/main" id="{EABC7AAE-191E-CF3B-CE4E-DB9CEC4D3B41}"/>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2192000" y="3718560"/>
              <a:ext cx="1828800" cy="1600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4</xdr:row>
      <xdr:rowOff>15241</xdr:rowOff>
    </xdr:from>
    <xdr:to>
      <xdr:col>23</xdr:col>
      <xdr:colOff>30480</xdr:colOff>
      <xdr:row>10</xdr:row>
      <xdr:rowOff>99061</xdr:rowOff>
    </xdr:to>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AD9EFAF4-619F-1137-D2F7-11D4783991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222480" y="86106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xdr:colOff>
      <xdr:row>11</xdr:row>
      <xdr:rowOff>53340</xdr:rowOff>
    </xdr:from>
    <xdr:to>
      <xdr:col>23</xdr:col>
      <xdr:colOff>15240</xdr:colOff>
      <xdr:row>19</xdr:row>
      <xdr:rowOff>30479</xdr:rowOff>
    </xdr:to>
    <mc:AlternateContent xmlns:mc="http://schemas.openxmlformats.org/markup-compatibility/2006">
      <mc:Choice xmlns:a14="http://schemas.microsoft.com/office/drawing/2010/main" Requires="a14">
        <xdr:graphicFrame macro="">
          <xdr:nvGraphicFramePr>
            <xdr:cNvPr id="27" name="City">
              <a:extLst>
                <a:ext uri="{FF2B5EF4-FFF2-40B4-BE49-F238E27FC236}">
                  <a16:creationId xmlns:a16="http://schemas.microsoft.com/office/drawing/2014/main" id="{D57B952F-4C88-F5DC-B4E5-8B46CCC34F4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207240" y="2179320"/>
              <a:ext cx="182880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548640</xdr:colOff>
      <xdr:row>7</xdr:row>
      <xdr:rowOff>87630</xdr:rowOff>
    </xdr:from>
    <xdr:to>
      <xdr:col>11</xdr:col>
      <xdr:colOff>243840</xdr:colOff>
      <xdr:row>22</xdr:row>
      <xdr:rowOff>87630</xdr:rowOff>
    </xdr:to>
    <xdr:graphicFrame macro="">
      <xdr:nvGraphicFramePr>
        <xdr:cNvPr id="2" name="Chart 1">
          <a:extLst>
            <a:ext uri="{FF2B5EF4-FFF2-40B4-BE49-F238E27FC236}">
              <a16:creationId xmlns:a16="http://schemas.microsoft.com/office/drawing/2014/main" id="{42474C06-9CB5-37A8-A4E5-F4743EE8C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53340</xdr:colOff>
      <xdr:row>7</xdr:row>
      <xdr:rowOff>87630</xdr:rowOff>
    </xdr:from>
    <xdr:to>
      <xdr:col>11</xdr:col>
      <xdr:colOff>358140</xdr:colOff>
      <xdr:row>22</xdr:row>
      <xdr:rowOff>87630</xdr:rowOff>
    </xdr:to>
    <xdr:graphicFrame macro="">
      <xdr:nvGraphicFramePr>
        <xdr:cNvPr id="2" name="Chart 1">
          <a:extLst>
            <a:ext uri="{FF2B5EF4-FFF2-40B4-BE49-F238E27FC236}">
              <a16:creationId xmlns:a16="http://schemas.microsoft.com/office/drawing/2014/main" id="{058B4B58-522B-897C-1D6D-AF9531B1F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198120</xdr:colOff>
      <xdr:row>7</xdr:row>
      <xdr:rowOff>87630</xdr:rowOff>
    </xdr:from>
    <xdr:to>
      <xdr:col>11</xdr:col>
      <xdr:colOff>502920</xdr:colOff>
      <xdr:row>22</xdr:row>
      <xdr:rowOff>87630</xdr:rowOff>
    </xdr:to>
    <xdr:graphicFrame macro="">
      <xdr:nvGraphicFramePr>
        <xdr:cNvPr id="2" name="Chart 1">
          <a:extLst>
            <a:ext uri="{FF2B5EF4-FFF2-40B4-BE49-F238E27FC236}">
              <a16:creationId xmlns:a16="http://schemas.microsoft.com/office/drawing/2014/main" id="{CE88B2B9-CF16-D35B-AF1C-C65BA1032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525780</xdr:colOff>
      <xdr:row>1</xdr:row>
      <xdr:rowOff>95250</xdr:rowOff>
    </xdr:from>
    <xdr:to>
      <xdr:col>10</xdr:col>
      <xdr:colOff>220980</xdr:colOff>
      <xdr:row>16</xdr:row>
      <xdr:rowOff>95250</xdr:rowOff>
    </xdr:to>
    <xdr:graphicFrame macro="">
      <xdr:nvGraphicFramePr>
        <xdr:cNvPr id="2" name="Chart 1">
          <a:extLst>
            <a:ext uri="{FF2B5EF4-FFF2-40B4-BE49-F238E27FC236}">
              <a16:creationId xmlns:a16="http://schemas.microsoft.com/office/drawing/2014/main" id="{218D0976-83D8-0AA6-D464-D40F3C7F2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83820</xdr:colOff>
      <xdr:row>4</xdr:row>
      <xdr:rowOff>163830</xdr:rowOff>
    </xdr:from>
    <xdr:to>
      <xdr:col>11</xdr:col>
      <xdr:colOff>388620</xdr:colOff>
      <xdr:row>19</xdr:row>
      <xdr:rowOff>163830</xdr:rowOff>
    </xdr:to>
    <xdr:graphicFrame macro="">
      <xdr:nvGraphicFramePr>
        <xdr:cNvPr id="2" name="Chart 1">
          <a:extLst>
            <a:ext uri="{FF2B5EF4-FFF2-40B4-BE49-F238E27FC236}">
              <a16:creationId xmlns:a16="http://schemas.microsoft.com/office/drawing/2014/main" id="{6A138FB3-41DA-687E-5E3F-5445C0055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xdr:colOff>
      <xdr:row>4</xdr:row>
      <xdr:rowOff>148590</xdr:rowOff>
    </xdr:from>
    <xdr:to>
      <xdr:col>11</xdr:col>
      <xdr:colOff>312420</xdr:colOff>
      <xdr:row>19</xdr:row>
      <xdr:rowOff>148590</xdr:rowOff>
    </xdr:to>
    <xdr:graphicFrame macro="">
      <xdr:nvGraphicFramePr>
        <xdr:cNvPr id="3" name="Chart 2">
          <a:extLst>
            <a:ext uri="{FF2B5EF4-FFF2-40B4-BE49-F238E27FC236}">
              <a16:creationId xmlns:a16="http://schemas.microsoft.com/office/drawing/2014/main" id="{740C2A50-914C-F98F-F3BB-E22676099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Tyagi" refreshedDate="46271.064298726851" createdVersion="8" refreshedVersion="8" minRefreshableVersion="3" recordCount="2500" xr:uid="{F9BA4E89-85E3-4DEA-B359-C9F9DCFAB039}">
  <cacheSource type="worksheet">
    <worksheetSource ref="A1:O2501" sheet="Electronics_Sales"/>
  </cacheSource>
  <cacheFields count="15">
    <cacheField name="Order_ID" numFmtId="0">
      <sharedItems/>
    </cacheField>
    <cacheField name="Order_Date" numFmtId="14">
      <sharedItems containsSemiMixedTypes="0" containsNonDate="0" containsDate="1" containsString="0" minDate="2024-01-01T00:00:00" maxDate="2030-11-05T00:00:00"/>
    </cacheField>
    <cacheField name="Region" numFmtId="0">
      <sharedItems count="5">
        <s v="West"/>
        <s v="North"/>
        <s v="East"/>
        <s v="South"/>
        <s v="Central"/>
      </sharedItems>
    </cacheField>
    <cacheField name="MONTHS" numFmtId="0">
      <sharedItems count="12">
        <s v="January"/>
        <s v="February"/>
        <s v="March"/>
        <s v="April"/>
        <s v="May"/>
        <s v="June"/>
        <s v="July"/>
        <s v="August"/>
        <s v="September"/>
        <s v="October"/>
        <s v="November"/>
        <s v="December"/>
      </sharedItems>
    </cacheField>
    <cacheField name="City" numFmtId="0">
      <sharedItems count="10">
        <s v="Kolkata"/>
        <s v="Jaipur"/>
        <s v="Delhi"/>
        <s v="Hyderabad"/>
        <s v="Pune"/>
        <s v="Lucknow"/>
        <s v="Ahmedabad"/>
        <s v="Mumbai"/>
        <s v="Chennai"/>
        <s v="Bengaluru"/>
      </sharedItems>
    </cacheField>
    <cacheField name="Category" numFmtId="0">
      <sharedItems count="5">
        <s v="Laptops"/>
        <s v="Accessories"/>
        <s v="Headphones"/>
        <s v="Smartphones"/>
        <s v="Smart TVs"/>
      </sharedItems>
    </cacheField>
    <cacheField name="Product" numFmtId="0">
      <sharedItems count="20">
        <s v="ASUS VivoBook"/>
        <s v="Mechanical Keyboard"/>
        <s v="Boat Rockerz"/>
        <s v="OnePlus 12R"/>
        <s v="USB-C Hub"/>
        <s v="Sony Bravia 55"/>
        <s v="Lenovo IdeaPad"/>
        <s v="Galaxy A55"/>
        <s v="Dell Inspiron"/>
        <s v="Samsung 55 4K"/>
        <s v="TCL 55 4K"/>
        <s v="JBL Tune 770NC"/>
        <s v="LG 50 4K"/>
        <s v="Wireless Mouse"/>
        <s v="Power Bank"/>
        <s v="iPhone 15"/>
        <s v="Sennheiser HD 450BT"/>
        <s v="Sony WH-CH720N"/>
        <s v="HP Pavilion"/>
        <s v="Pixel 8a"/>
      </sharedItems>
    </cacheField>
    <cacheField name="Customer_Segment" numFmtId="0">
      <sharedItems/>
    </cacheField>
    <cacheField name="Sales_Channel" numFmtId="0">
      <sharedItems/>
    </cacheField>
    <cacheField name="Payment_Method" numFmtId="0">
      <sharedItems count="5">
        <s v="Cash"/>
        <s v="Credit Card"/>
        <s v="Net Banking"/>
        <s v="Debit Card"/>
        <s v="UPI"/>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1875.83" maxValue="72440.800000000003"/>
    </cacheField>
    <cacheField name="Discount_%" numFmtId="0">
      <sharedItems containsSemiMixedTypes="0" containsString="0" containsNumber="1" containsInteger="1" minValue="0" maxValue="20"/>
    </cacheField>
    <cacheField name="Sales" numFmtId="0">
      <sharedItems containsSemiMixedTypes="0" containsString="0" containsNumber="1" minValue="1607.89" maxValue="358906.45"/>
    </cacheField>
    <cacheField name="Order_Status" numFmtId="0">
      <sharedItems count="4">
        <s v="Cancelled"/>
        <s v="Returned"/>
        <s v="Shipped"/>
        <s v="Delivered"/>
      </sharedItems>
    </cacheField>
  </cacheFields>
  <extLst>
    <ext xmlns:x14="http://schemas.microsoft.com/office/spreadsheetml/2009/9/main" uri="{725AE2AE-9491-48be-B2B4-4EB974FC3084}">
      <x14:pivotCacheDefinition pivotCacheId="7572366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ORD11176"/>
    <d v="2024-01-01T00:00:00"/>
    <x v="0"/>
    <x v="0"/>
    <x v="0"/>
    <x v="0"/>
    <x v="0"/>
    <s v="Home Office"/>
    <s v="Distributor"/>
    <x v="0"/>
    <n v="2"/>
    <n v="71377.58"/>
    <n v="10"/>
    <n v="128479.65"/>
    <x v="0"/>
  </r>
  <r>
    <s v="ORD11939"/>
    <d v="2024-01-02T00:00:00"/>
    <x v="0"/>
    <x v="0"/>
    <x v="1"/>
    <x v="1"/>
    <x v="1"/>
    <s v="Corporate"/>
    <s v="Distributor"/>
    <x v="1"/>
    <n v="3"/>
    <n v="2856.54"/>
    <n v="5"/>
    <n v="8141.13"/>
    <x v="1"/>
  </r>
  <r>
    <s v="ORD10423"/>
    <d v="2024-01-03T00:00:00"/>
    <x v="1"/>
    <x v="0"/>
    <x v="2"/>
    <x v="0"/>
    <x v="0"/>
    <s v="Small Business"/>
    <s v="Online"/>
    <x v="2"/>
    <n v="3"/>
    <n v="53587.45"/>
    <n v="0"/>
    <n v="160762.35"/>
    <x v="2"/>
  </r>
  <r>
    <s v="ORD11193"/>
    <d v="2024-01-04T00:00:00"/>
    <x v="2"/>
    <x v="0"/>
    <x v="3"/>
    <x v="2"/>
    <x v="2"/>
    <s v="Small Business"/>
    <s v="Retail Store"/>
    <x v="3"/>
    <n v="3"/>
    <n v="5532.72"/>
    <n v="0"/>
    <n v="16598.169999999998"/>
    <x v="0"/>
  </r>
  <r>
    <s v="ORD12147"/>
    <d v="2024-01-05T00:00:00"/>
    <x v="2"/>
    <x v="0"/>
    <x v="3"/>
    <x v="0"/>
    <x v="0"/>
    <s v="Consumer"/>
    <s v="Online"/>
    <x v="4"/>
    <n v="2"/>
    <n v="57651.57"/>
    <n v="0"/>
    <n v="115303.14"/>
    <x v="3"/>
  </r>
  <r>
    <s v="ORD10738"/>
    <d v="2024-01-06T00:00:00"/>
    <x v="3"/>
    <x v="0"/>
    <x v="4"/>
    <x v="0"/>
    <x v="0"/>
    <s v="Small Business"/>
    <s v="Distributor"/>
    <x v="4"/>
    <n v="3"/>
    <n v="45475.21"/>
    <n v="0"/>
    <n v="136425.63"/>
    <x v="1"/>
  </r>
  <r>
    <s v="ORD10063"/>
    <d v="2024-01-07T00:00:00"/>
    <x v="0"/>
    <x v="0"/>
    <x v="5"/>
    <x v="3"/>
    <x v="3"/>
    <s v="Small Business"/>
    <s v="Distributor"/>
    <x v="3"/>
    <n v="1"/>
    <n v="33825.230000000003"/>
    <n v="20"/>
    <n v="27060.18"/>
    <x v="3"/>
  </r>
  <r>
    <s v="ORD10245"/>
    <d v="2024-01-08T00:00:00"/>
    <x v="1"/>
    <x v="0"/>
    <x v="3"/>
    <x v="1"/>
    <x v="4"/>
    <s v="Small Business"/>
    <s v="Retail Store"/>
    <x v="1"/>
    <n v="1"/>
    <n v="2401.6999999999998"/>
    <n v="5"/>
    <n v="2281.61"/>
    <x v="2"/>
  </r>
  <r>
    <s v="ORD11325"/>
    <d v="2024-01-09T00:00:00"/>
    <x v="4"/>
    <x v="0"/>
    <x v="0"/>
    <x v="3"/>
    <x v="3"/>
    <s v="Corporate"/>
    <s v="Retail Store"/>
    <x v="2"/>
    <n v="5"/>
    <n v="26968.720000000001"/>
    <n v="0"/>
    <n v="134843.59"/>
    <x v="0"/>
  </r>
  <r>
    <s v="ORD11814"/>
    <d v="2024-01-10T00:00:00"/>
    <x v="4"/>
    <x v="0"/>
    <x v="4"/>
    <x v="4"/>
    <x v="5"/>
    <s v="Home Office"/>
    <s v="Online"/>
    <x v="0"/>
    <n v="2"/>
    <n v="37269.94"/>
    <n v="0"/>
    <n v="74539.88"/>
    <x v="3"/>
  </r>
  <r>
    <s v="ORD10113"/>
    <d v="2024-01-11T00:00:00"/>
    <x v="3"/>
    <x v="0"/>
    <x v="1"/>
    <x v="0"/>
    <x v="6"/>
    <s v="Home Office"/>
    <s v="Retail Store"/>
    <x v="1"/>
    <n v="2"/>
    <n v="58627.33"/>
    <n v="5"/>
    <n v="111391.93"/>
    <x v="3"/>
  </r>
  <r>
    <s v="ORD12022"/>
    <d v="2024-01-12T00:00:00"/>
    <x v="3"/>
    <x v="0"/>
    <x v="4"/>
    <x v="3"/>
    <x v="7"/>
    <s v="Small Business"/>
    <s v="Distributor"/>
    <x v="4"/>
    <n v="5"/>
    <n v="36918.550000000003"/>
    <n v="15"/>
    <n v="156903.82999999999"/>
    <x v="1"/>
  </r>
  <r>
    <s v="ORD12228"/>
    <d v="2024-01-13T00:00:00"/>
    <x v="1"/>
    <x v="0"/>
    <x v="3"/>
    <x v="0"/>
    <x v="8"/>
    <s v="Home Office"/>
    <s v="Online"/>
    <x v="3"/>
    <n v="5"/>
    <n v="63536.79"/>
    <n v="5"/>
    <n v="301799.77"/>
    <x v="1"/>
  </r>
  <r>
    <s v="ORD12238"/>
    <d v="2024-01-14T00:00:00"/>
    <x v="4"/>
    <x v="0"/>
    <x v="6"/>
    <x v="4"/>
    <x v="9"/>
    <s v="Corporate"/>
    <s v="Retail Store"/>
    <x v="0"/>
    <n v="4"/>
    <n v="48435.76"/>
    <n v="0"/>
    <n v="193743.04"/>
    <x v="3"/>
  </r>
  <r>
    <s v="ORD11188"/>
    <d v="2024-01-15T00:00:00"/>
    <x v="4"/>
    <x v="0"/>
    <x v="7"/>
    <x v="4"/>
    <x v="10"/>
    <s v="Home Office"/>
    <s v="Distributor"/>
    <x v="1"/>
    <n v="3"/>
    <n v="49188.32"/>
    <n v="5"/>
    <n v="140186.70000000001"/>
    <x v="3"/>
  </r>
  <r>
    <s v="ORD12129"/>
    <d v="2024-01-16T00:00:00"/>
    <x v="1"/>
    <x v="0"/>
    <x v="6"/>
    <x v="2"/>
    <x v="11"/>
    <s v="Consumer"/>
    <s v="Distributor"/>
    <x v="3"/>
    <n v="3"/>
    <n v="7940.45"/>
    <n v="10"/>
    <n v="21439.22"/>
    <x v="0"/>
  </r>
  <r>
    <s v="ORD11300"/>
    <d v="2024-01-17T00:00:00"/>
    <x v="1"/>
    <x v="0"/>
    <x v="8"/>
    <x v="4"/>
    <x v="12"/>
    <s v="Small Business"/>
    <s v="Retail Store"/>
    <x v="4"/>
    <n v="1"/>
    <n v="37904.300000000003"/>
    <n v="15"/>
    <n v="32218.66"/>
    <x v="3"/>
  </r>
  <r>
    <s v="ORD11846"/>
    <d v="2024-01-18T00:00:00"/>
    <x v="1"/>
    <x v="0"/>
    <x v="8"/>
    <x v="4"/>
    <x v="12"/>
    <s v="Small Business"/>
    <s v="Online"/>
    <x v="2"/>
    <n v="2"/>
    <n v="40930.69"/>
    <n v="0"/>
    <n v="81861.38"/>
    <x v="3"/>
  </r>
  <r>
    <s v="ORD10179"/>
    <d v="2024-01-19T00:00:00"/>
    <x v="1"/>
    <x v="0"/>
    <x v="1"/>
    <x v="1"/>
    <x v="13"/>
    <s v="Small Business"/>
    <s v="Distributor"/>
    <x v="0"/>
    <n v="5"/>
    <n v="2511.09"/>
    <n v="10"/>
    <n v="11299.91"/>
    <x v="3"/>
  </r>
  <r>
    <s v="ORD10174"/>
    <d v="2024-01-20T00:00:00"/>
    <x v="3"/>
    <x v="0"/>
    <x v="5"/>
    <x v="2"/>
    <x v="2"/>
    <s v="Home Office"/>
    <s v="Online"/>
    <x v="0"/>
    <n v="3"/>
    <n v="5878.58"/>
    <n v="20"/>
    <n v="14108.6"/>
    <x v="1"/>
  </r>
  <r>
    <s v="ORD10908"/>
    <d v="2024-01-21T00:00:00"/>
    <x v="0"/>
    <x v="0"/>
    <x v="7"/>
    <x v="2"/>
    <x v="11"/>
    <s v="Home Office"/>
    <s v="Distributor"/>
    <x v="4"/>
    <n v="5"/>
    <n v="7225.36"/>
    <n v="0"/>
    <n v="36126.82"/>
    <x v="3"/>
  </r>
  <r>
    <s v="ORD11580"/>
    <d v="2024-01-22T00:00:00"/>
    <x v="1"/>
    <x v="0"/>
    <x v="2"/>
    <x v="2"/>
    <x v="2"/>
    <s v="Consumer"/>
    <s v="Distributor"/>
    <x v="4"/>
    <n v="3"/>
    <n v="6621.21"/>
    <n v="0"/>
    <n v="19863.62"/>
    <x v="3"/>
  </r>
  <r>
    <s v="ORD11782"/>
    <d v="2024-01-23T00:00:00"/>
    <x v="0"/>
    <x v="0"/>
    <x v="8"/>
    <x v="4"/>
    <x v="5"/>
    <s v="Small Business"/>
    <s v="Retail Store"/>
    <x v="0"/>
    <n v="5"/>
    <n v="40143.93"/>
    <n v="5"/>
    <n v="190683.67"/>
    <x v="1"/>
  </r>
  <r>
    <s v="ORD11400"/>
    <d v="2024-01-24T00:00:00"/>
    <x v="4"/>
    <x v="0"/>
    <x v="0"/>
    <x v="0"/>
    <x v="8"/>
    <s v="Home Office"/>
    <s v="Retail Store"/>
    <x v="1"/>
    <n v="2"/>
    <n v="57127.34"/>
    <n v="0"/>
    <n v="114254.69"/>
    <x v="1"/>
  </r>
  <r>
    <s v="ORD11705"/>
    <d v="2024-01-25T00:00:00"/>
    <x v="3"/>
    <x v="0"/>
    <x v="3"/>
    <x v="0"/>
    <x v="0"/>
    <s v="Corporate"/>
    <s v="Distributor"/>
    <x v="0"/>
    <n v="4"/>
    <n v="54229.93"/>
    <n v="5"/>
    <n v="206073.73"/>
    <x v="2"/>
  </r>
  <r>
    <s v="ORD11553"/>
    <d v="2024-01-26T00:00:00"/>
    <x v="3"/>
    <x v="0"/>
    <x v="3"/>
    <x v="0"/>
    <x v="8"/>
    <s v="Small Business"/>
    <s v="Online"/>
    <x v="1"/>
    <n v="3"/>
    <n v="63815.97"/>
    <n v="15"/>
    <n v="162730.73000000001"/>
    <x v="0"/>
  </r>
  <r>
    <s v="ORD11310"/>
    <d v="2024-01-27T00:00:00"/>
    <x v="2"/>
    <x v="0"/>
    <x v="3"/>
    <x v="4"/>
    <x v="12"/>
    <s v="Small Business"/>
    <s v="Retail Store"/>
    <x v="2"/>
    <n v="4"/>
    <n v="44958.35"/>
    <n v="15"/>
    <n v="152858.39000000001"/>
    <x v="0"/>
  </r>
  <r>
    <s v="ORD10456"/>
    <d v="2024-01-28T00:00:00"/>
    <x v="3"/>
    <x v="0"/>
    <x v="7"/>
    <x v="3"/>
    <x v="7"/>
    <s v="Consumer"/>
    <s v="Retail Store"/>
    <x v="4"/>
    <n v="4"/>
    <n v="37966.910000000003"/>
    <n v="10"/>
    <n v="136680.85999999999"/>
    <x v="3"/>
  </r>
  <r>
    <s v="ORD12026"/>
    <d v="2024-01-29T00:00:00"/>
    <x v="3"/>
    <x v="0"/>
    <x v="2"/>
    <x v="1"/>
    <x v="14"/>
    <s v="Corporate"/>
    <s v="Online"/>
    <x v="1"/>
    <n v="3"/>
    <n v="2932.25"/>
    <n v="20"/>
    <n v="7037.41"/>
    <x v="1"/>
  </r>
  <r>
    <s v="ORD10913"/>
    <d v="2024-01-30T00:00:00"/>
    <x v="2"/>
    <x v="0"/>
    <x v="7"/>
    <x v="0"/>
    <x v="8"/>
    <s v="Corporate"/>
    <s v="Online"/>
    <x v="2"/>
    <n v="3"/>
    <n v="47274.67"/>
    <n v="15"/>
    <n v="120550.42"/>
    <x v="0"/>
  </r>
  <r>
    <s v="ORD10434"/>
    <d v="2024-01-31T00:00:00"/>
    <x v="0"/>
    <x v="0"/>
    <x v="5"/>
    <x v="0"/>
    <x v="0"/>
    <s v="Home Office"/>
    <s v="Online"/>
    <x v="3"/>
    <n v="2"/>
    <n v="56134.48"/>
    <n v="15"/>
    <n v="95428.62"/>
    <x v="3"/>
  </r>
  <r>
    <s v="ORD11226"/>
    <d v="2024-02-01T00:00:00"/>
    <x v="2"/>
    <x v="1"/>
    <x v="8"/>
    <x v="0"/>
    <x v="6"/>
    <s v="Consumer"/>
    <s v="Retail Store"/>
    <x v="0"/>
    <n v="3"/>
    <n v="46339.78"/>
    <n v="0"/>
    <n v="139019.32999999999"/>
    <x v="3"/>
  </r>
  <r>
    <s v="ORD11044"/>
    <d v="2024-02-02T00:00:00"/>
    <x v="4"/>
    <x v="1"/>
    <x v="7"/>
    <x v="4"/>
    <x v="12"/>
    <s v="Consumer"/>
    <s v="Retail Store"/>
    <x v="3"/>
    <n v="4"/>
    <n v="38803.050000000003"/>
    <n v="0"/>
    <n v="155212.18"/>
    <x v="0"/>
  </r>
  <r>
    <s v="ORD11397"/>
    <d v="2024-02-03T00:00:00"/>
    <x v="1"/>
    <x v="1"/>
    <x v="8"/>
    <x v="1"/>
    <x v="14"/>
    <s v="Small Business"/>
    <s v="Retail Store"/>
    <x v="3"/>
    <n v="1"/>
    <n v="3078.48"/>
    <n v="15"/>
    <n v="2616.71"/>
    <x v="2"/>
  </r>
  <r>
    <s v="ORD11569"/>
    <d v="2024-02-04T00:00:00"/>
    <x v="4"/>
    <x v="1"/>
    <x v="6"/>
    <x v="0"/>
    <x v="6"/>
    <s v="Consumer"/>
    <s v="Distributor"/>
    <x v="0"/>
    <n v="4"/>
    <n v="65061.86"/>
    <n v="15"/>
    <n v="221210.32"/>
    <x v="3"/>
  </r>
  <r>
    <s v="ORD10980"/>
    <d v="2024-02-05T00:00:00"/>
    <x v="4"/>
    <x v="1"/>
    <x v="9"/>
    <x v="4"/>
    <x v="5"/>
    <s v="Corporate"/>
    <s v="Online"/>
    <x v="4"/>
    <n v="5"/>
    <n v="50906.39"/>
    <n v="0"/>
    <n v="254531.97"/>
    <x v="3"/>
  </r>
  <r>
    <s v="ORD10575"/>
    <d v="2024-02-06T00:00:00"/>
    <x v="2"/>
    <x v="1"/>
    <x v="6"/>
    <x v="2"/>
    <x v="2"/>
    <s v="Home Office"/>
    <s v="Retail Store"/>
    <x v="0"/>
    <n v="1"/>
    <n v="6571.29"/>
    <n v="20"/>
    <n v="5257.03"/>
    <x v="3"/>
  </r>
  <r>
    <s v="ORD10442"/>
    <d v="2024-02-07T00:00:00"/>
    <x v="0"/>
    <x v="1"/>
    <x v="3"/>
    <x v="1"/>
    <x v="13"/>
    <s v="Consumer"/>
    <s v="Online"/>
    <x v="0"/>
    <n v="5"/>
    <n v="3105.59"/>
    <n v="0"/>
    <n v="15527.95"/>
    <x v="0"/>
  </r>
  <r>
    <s v="ORD10093"/>
    <d v="2024-02-08T00:00:00"/>
    <x v="3"/>
    <x v="1"/>
    <x v="3"/>
    <x v="0"/>
    <x v="0"/>
    <s v="Small Business"/>
    <s v="Distributor"/>
    <x v="0"/>
    <n v="5"/>
    <n v="52083.68"/>
    <n v="5"/>
    <n v="247397.46"/>
    <x v="2"/>
  </r>
  <r>
    <s v="ORD10910"/>
    <d v="2024-02-09T00:00:00"/>
    <x v="0"/>
    <x v="1"/>
    <x v="5"/>
    <x v="3"/>
    <x v="15"/>
    <s v="Consumer"/>
    <s v="Distributor"/>
    <x v="0"/>
    <n v="3"/>
    <n v="24635.56"/>
    <n v="5"/>
    <n v="70211.350000000006"/>
    <x v="1"/>
  </r>
  <r>
    <s v="ORD12214"/>
    <d v="2024-02-10T00:00:00"/>
    <x v="0"/>
    <x v="1"/>
    <x v="3"/>
    <x v="1"/>
    <x v="1"/>
    <s v="Small Business"/>
    <s v="Online"/>
    <x v="0"/>
    <n v="3"/>
    <n v="2395.2800000000002"/>
    <n v="10"/>
    <n v="6467.25"/>
    <x v="2"/>
  </r>
  <r>
    <s v="ORD10563"/>
    <d v="2024-02-11T00:00:00"/>
    <x v="3"/>
    <x v="1"/>
    <x v="3"/>
    <x v="3"/>
    <x v="7"/>
    <s v="Small Business"/>
    <s v="Distributor"/>
    <x v="3"/>
    <n v="2"/>
    <n v="32230.26"/>
    <n v="5"/>
    <n v="61237.5"/>
    <x v="0"/>
  </r>
  <r>
    <s v="ORD10092"/>
    <d v="2024-02-12T00:00:00"/>
    <x v="0"/>
    <x v="1"/>
    <x v="5"/>
    <x v="0"/>
    <x v="6"/>
    <s v="Corporate"/>
    <s v="Online"/>
    <x v="3"/>
    <n v="3"/>
    <n v="66865.17"/>
    <n v="0"/>
    <n v="200595.52"/>
    <x v="3"/>
  </r>
  <r>
    <s v="ORD12145"/>
    <d v="2024-02-13T00:00:00"/>
    <x v="1"/>
    <x v="1"/>
    <x v="9"/>
    <x v="1"/>
    <x v="1"/>
    <s v="Consumer"/>
    <s v="Online"/>
    <x v="3"/>
    <n v="5"/>
    <n v="3041.84"/>
    <n v="10"/>
    <n v="13688.29"/>
    <x v="3"/>
  </r>
  <r>
    <s v="ORD10986"/>
    <d v="2024-02-14T00:00:00"/>
    <x v="0"/>
    <x v="1"/>
    <x v="0"/>
    <x v="4"/>
    <x v="9"/>
    <s v="Small Business"/>
    <s v="Online"/>
    <x v="0"/>
    <n v="4"/>
    <n v="48018.83"/>
    <n v="0"/>
    <n v="192075.34"/>
    <x v="3"/>
  </r>
  <r>
    <s v="ORD12019"/>
    <d v="2024-02-15T00:00:00"/>
    <x v="2"/>
    <x v="1"/>
    <x v="4"/>
    <x v="2"/>
    <x v="2"/>
    <s v="Home Office"/>
    <s v="Retail Store"/>
    <x v="2"/>
    <n v="1"/>
    <n v="6602.82"/>
    <n v="10"/>
    <n v="5942.54"/>
    <x v="2"/>
  </r>
  <r>
    <s v="ORD10037"/>
    <d v="2024-02-16T00:00:00"/>
    <x v="4"/>
    <x v="1"/>
    <x v="7"/>
    <x v="1"/>
    <x v="4"/>
    <s v="Consumer"/>
    <s v="Retail Store"/>
    <x v="1"/>
    <n v="5"/>
    <n v="2394.0300000000002"/>
    <n v="20"/>
    <n v="9576.1299999999992"/>
    <x v="2"/>
  </r>
  <r>
    <s v="ORD11273"/>
    <d v="2024-02-17T00:00:00"/>
    <x v="3"/>
    <x v="1"/>
    <x v="6"/>
    <x v="3"/>
    <x v="7"/>
    <s v="Consumer"/>
    <s v="Retail Store"/>
    <x v="4"/>
    <n v="2"/>
    <n v="25249.47"/>
    <n v="0"/>
    <n v="50498.95"/>
    <x v="3"/>
  </r>
  <r>
    <s v="ORD12497"/>
    <d v="2024-02-18T00:00:00"/>
    <x v="0"/>
    <x v="1"/>
    <x v="6"/>
    <x v="2"/>
    <x v="16"/>
    <s v="Consumer"/>
    <s v="Retail Store"/>
    <x v="4"/>
    <n v="5"/>
    <n v="5881.94"/>
    <n v="10"/>
    <n v="26468.73"/>
    <x v="2"/>
  </r>
  <r>
    <s v="ORD11362"/>
    <d v="2024-02-19T00:00:00"/>
    <x v="4"/>
    <x v="1"/>
    <x v="9"/>
    <x v="0"/>
    <x v="0"/>
    <s v="Consumer"/>
    <s v="Retail Store"/>
    <x v="0"/>
    <n v="2"/>
    <n v="63694.46"/>
    <n v="10"/>
    <n v="114650.03"/>
    <x v="0"/>
  </r>
  <r>
    <s v="ORD10785"/>
    <d v="2024-02-20T00:00:00"/>
    <x v="4"/>
    <x v="1"/>
    <x v="7"/>
    <x v="2"/>
    <x v="17"/>
    <s v="Corporate"/>
    <s v="Retail Store"/>
    <x v="1"/>
    <n v="4"/>
    <n v="7149.01"/>
    <n v="5"/>
    <n v="27166.23"/>
    <x v="0"/>
  </r>
  <r>
    <s v="ORD11757"/>
    <d v="2024-02-21T00:00:00"/>
    <x v="1"/>
    <x v="1"/>
    <x v="9"/>
    <x v="4"/>
    <x v="5"/>
    <s v="Home Office"/>
    <s v="Online"/>
    <x v="2"/>
    <n v="5"/>
    <n v="50506.2"/>
    <n v="5"/>
    <n v="239904.45"/>
    <x v="2"/>
  </r>
  <r>
    <s v="ORD11243"/>
    <d v="2024-02-22T00:00:00"/>
    <x v="3"/>
    <x v="1"/>
    <x v="2"/>
    <x v="0"/>
    <x v="6"/>
    <s v="Home Office"/>
    <s v="Online"/>
    <x v="2"/>
    <n v="1"/>
    <n v="44654.43"/>
    <n v="15"/>
    <n v="37956.269999999997"/>
    <x v="1"/>
  </r>
  <r>
    <s v="ORD10086"/>
    <d v="2024-02-23T00:00:00"/>
    <x v="1"/>
    <x v="1"/>
    <x v="5"/>
    <x v="0"/>
    <x v="6"/>
    <s v="Consumer"/>
    <s v="Distributor"/>
    <x v="4"/>
    <n v="5"/>
    <n v="46969.41"/>
    <n v="5"/>
    <n v="223104.72"/>
    <x v="0"/>
  </r>
  <r>
    <s v="ORD12245"/>
    <d v="2024-02-24T00:00:00"/>
    <x v="0"/>
    <x v="1"/>
    <x v="5"/>
    <x v="0"/>
    <x v="18"/>
    <s v="Small Business"/>
    <s v="Online"/>
    <x v="2"/>
    <n v="4"/>
    <n v="63987.94"/>
    <n v="0"/>
    <n v="255951.75"/>
    <x v="0"/>
  </r>
  <r>
    <s v="ORD12374"/>
    <d v="2024-02-25T00:00:00"/>
    <x v="1"/>
    <x v="1"/>
    <x v="0"/>
    <x v="2"/>
    <x v="17"/>
    <s v="Corporate"/>
    <s v="Online"/>
    <x v="4"/>
    <n v="4"/>
    <n v="5995.03"/>
    <n v="10"/>
    <n v="21582.1"/>
    <x v="0"/>
  </r>
  <r>
    <s v="ORD11390"/>
    <d v="2024-02-26T00:00:00"/>
    <x v="0"/>
    <x v="1"/>
    <x v="6"/>
    <x v="3"/>
    <x v="3"/>
    <s v="Home Office"/>
    <s v="Retail Store"/>
    <x v="2"/>
    <n v="5"/>
    <n v="34937"/>
    <n v="0"/>
    <n v="174684.98"/>
    <x v="3"/>
  </r>
  <r>
    <s v="ORD10824"/>
    <d v="2024-02-27T00:00:00"/>
    <x v="0"/>
    <x v="1"/>
    <x v="8"/>
    <x v="2"/>
    <x v="2"/>
    <s v="Consumer"/>
    <s v="Distributor"/>
    <x v="0"/>
    <n v="2"/>
    <n v="6647.92"/>
    <n v="15"/>
    <n v="11301.46"/>
    <x v="3"/>
  </r>
  <r>
    <s v="ORD12261"/>
    <d v="2024-02-28T00:00:00"/>
    <x v="4"/>
    <x v="1"/>
    <x v="1"/>
    <x v="2"/>
    <x v="11"/>
    <s v="Consumer"/>
    <s v="Online"/>
    <x v="2"/>
    <n v="5"/>
    <n v="4971.6099999999997"/>
    <n v="15"/>
    <n v="21129.360000000001"/>
    <x v="2"/>
  </r>
  <r>
    <s v="ORD12049"/>
    <d v="2024-02-29T00:00:00"/>
    <x v="2"/>
    <x v="1"/>
    <x v="3"/>
    <x v="3"/>
    <x v="19"/>
    <s v="Home Office"/>
    <s v="Online"/>
    <x v="2"/>
    <n v="5"/>
    <n v="34716.93"/>
    <n v="5"/>
    <n v="164905.4"/>
    <x v="3"/>
  </r>
  <r>
    <s v="ORD10866"/>
    <d v="2024-03-01T00:00:00"/>
    <x v="2"/>
    <x v="2"/>
    <x v="1"/>
    <x v="3"/>
    <x v="3"/>
    <s v="Small Business"/>
    <s v="Online"/>
    <x v="2"/>
    <n v="1"/>
    <n v="38535.93"/>
    <n v="5"/>
    <n v="36609.129999999997"/>
    <x v="3"/>
  </r>
  <r>
    <s v="ORD11751"/>
    <d v="2024-03-02T00:00:00"/>
    <x v="1"/>
    <x v="2"/>
    <x v="3"/>
    <x v="2"/>
    <x v="11"/>
    <s v="Corporate"/>
    <s v="Online"/>
    <x v="2"/>
    <n v="3"/>
    <n v="5648.94"/>
    <n v="10"/>
    <n v="15252.13"/>
    <x v="1"/>
  </r>
  <r>
    <s v="ORD11819"/>
    <d v="2024-03-03T00:00:00"/>
    <x v="4"/>
    <x v="2"/>
    <x v="5"/>
    <x v="1"/>
    <x v="1"/>
    <s v="Corporate"/>
    <s v="Retail Store"/>
    <x v="0"/>
    <n v="2"/>
    <n v="2409.9699999999998"/>
    <n v="5"/>
    <n v="4578.95"/>
    <x v="2"/>
  </r>
  <r>
    <s v="ORD12395"/>
    <d v="2024-03-04T00:00:00"/>
    <x v="2"/>
    <x v="2"/>
    <x v="6"/>
    <x v="1"/>
    <x v="1"/>
    <s v="Small Business"/>
    <s v="Retail Store"/>
    <x v="2"/>
    <n v="5"/>
    <n v="2760.15"/>
    <n v="15"/>
    <n v="11730.62"/>
    <x v="3"/>
  </r>
  <r>
    <s v="ORD10762"/>
    <d v="2024-03-05T00:00:00"/>
    <x v="3"/>
    <x v="2"/>
    <x v="3"/>
    <x v="0"/>
    <x v="8"/>
    <s v="Consumer"/>
    <s v="Retail Store"/>
    <x v="4"/>
    <n v="3"/>
    <n v="53829.97"/>
    <n v="5"/>
    <n v="153415.4"/>
    <x v="3"/>
  </r>
  <r>
    <s v="ORD11046"/>
    <d v="2024-03-06T00:00:00"/>
    <x v="0"/>
    <x v="2"/>
    <x v="5"/>
    <x v="0"/>
    <x v="6"/>
    <s v="Small Business"/>
    <s v="Retail Store"/>
    <x v="0"/>
    <n v="4"/>
    <n v="72416.41"/>
    <n v="0"/>
    <n v="289665.63"/>
    <x v="3"/>
  </r>
  <r>
    <s v="ORD11770"/>
    <d v="2024-03-07T00:00:00"/>
    <x v="2"/>
    <x v="2"/>
    <x v="1"/>
    <x v="2"/>
    <x v="11"/>
    <s v="Corporate"/>
    <s v="Distributor"/>
    <x v="0"/>
    <n v="5"/>
    <n v="6312.16"/>
    <n v="5"/>
    <n v="29982.75"/>
    <x v="3"/>
  </r>
  <r>
    <s v="ORD11221"/>
    <d v="2024-03-08T00:00:00"/>
    <x v="3"/>
    <x v="2"/>
    <x v="9"/>
    <x v="4"/>
    <x v="9"/>
    <s v="Small Business"/>
    <s v="Online"/>
    <x v="1"/>
    <n v="4"/>
    <n v="45574.38"/>
    <n v="10"/>
    <n v="164067.78"/>
    <x v="3"/>
  </r>
  <r>
    <s v="ORD10185"/>
    <d v="2024-03-09T00:00:00"/>
    <x v="2"/>
    <x v="2"/>
    <x v="9"/>
    <x v="3"/>
    <x v="19"/>
    <s v="Small Business"/>
    <s v="Retail Store"/>
    <x v="4"/>
    <n v="3"/>
    <n v="28504.12"/>
    <n v="15"/>
    <n v="72685.5"/>
    <x v="0"/>
  </r>
  <r>
    <s v="ORD10095"/>
    <d v="2024-03-10T00:00:00"/>
    <x v="2"/>
    <x v="2"/>
    <x v="4"/>
    <x v="0"/>
    <x v="6"/>
    <s v="Home Office"/>
    <s v="Retail Store"/>
    <x v="1"/>
    <n v="2"/>
    <n v="68973"/>
    <n v="5"/>
    <n v="131048.7"/>
    <x v="0"/>
  </r>
  <r>
    <s v="ORD10734"/>
    <d v="2024-03-11T00:00:00"/>
    <x v="1"/>
    <x v="2"/>
    <x v="6"/>
    <x v="3"/>
    <x v="15"/>
    <s v="Small Business"/>
    <s v="Online"/>
    <x v="3"/>
    <n v="4"/>
    <n v="28503.66"/>
    <n v="15"/>
    <n v="96912.44"/>
    <x v="1"/>
  </r>
  <r>
    <s v="ORD10817"/>
    <d v="2024-03-12T00:00:00"/>
    <x v="2"/>
    <x v="2"/>
    <x v="4"/>
    <x v="1"/>
    <x v="4"/>
    <s v="Home Office"/>
    <s v="Retail Store"/>
    <x v="3"/>
    <n v="2"/>
    <n v="2793.35"/>
    <n v="5"/>
    <n v="5307.36"/>
    <x v="3"/>
  </r>
  <r>
    <s v="ORD11953"/>
    <d v="2024-03-13T00:00:00"/>
    <x v="3"/>
    <x v="2"/>
    <x v="7"/>
    <x v="2"/>
    <x v="17"/>
    <s v="Home Office"/>
    <s v="Distributor"/>
    <x v="0"/>
    <n v="1"/>
    <n v="7772.14"/>
    <n v="15"/>
    <n v="6606.32"/>
    <x v="3"/>
  </r>
  <r>
    <s v="ORD10732"/>
    <d v="2024-03-14T00:00:00"/>
    <x v="1"/>
    <x v="2"/>
    <x v="7"/>
    <x v="4"/>
    <x v="9"/>
    <s v="Corporate"/>
    <s v="Online"/>
    <x v="3"/>
    <n v="3"/>
    <n v="51299.64"/>
    <n v="5"/>
    <n v="146203.99"/>
    <x v="0"/>
  </r>
  <r>
    <s v="ORD11456"/>
    <d v="2024-03-15T00:00:00"/>
    <x v="3"/>
    <x v="2"/>
    <x v="8"/>
    <x v="1"/>
    <x v="13"/>
    <s v="Small Business"/>
    <s v="Retail Store"/>
    <x v="2"/>
    <n v="5"/>
    <n v="2768.33"/>
    <n v="0"/>
    <n v="13841.65"/>
    <x v="3"/>
  </r>
  <r>
    <s v="ORD12004"/>
    <d v="2024-03-16T00:00:00"/>
    <x v="3"/>
    <x v="2"/>
    <x v="9"/>
    <x v="2"/>
    <x v="17"/>
    <s v="Corporate"/>
    <s v="Online"/>
    <x v="1"/>
    <n v="1"/>
    <n v="5742.13"/>
    <n v="10"/>
    <n v="5167.92"/>
    <x v="2"/>
  </r>
  <r>
    <s v="ORD11653"/>
    <d v="2024-03-17T00:00:00"/>
    <x v="2"/>
    <x v="2"/>
    <x v="6"/>
    <x v="2"/>
    <x v="17"/>
    <s v="Small Business"/>
    <s v="Online"/>
    <x v="3"/>
    <n v="5"/>
    <n v="5864.29"/>
    <n v="10"/>
    <n v="26389.32"/>
    <x v="1"/>
  </r>
  <r>
    <s v="ORD11464"/>
    <d v="2024-03-18T00:00:00"/>
    <x v="0"/>
    <x v="2"/>
    <x v="4"/>
    <x v="0"/>
    <x v="0"/>
    <s v="Consumer"/>
    <s v="Online"/>
    <x v="1"/>
    <n v="3"/>
    <n v="56506.78"/>
    <n v="20"/>
    <n v="135616.28"/>
    <x v="3"/>
  </r>
  <r>
    <s v="ORD11349"/>
    <d v="2024-03-19T00:00:00"/>
    <x v="2"/>
    <x v="2"/>
    <x v="7"/>
    <x v="2"/>
    <x v="11"/>
    <s v="Small Business"/>
    <s v="Online"/>
    <x v="3"/>
    <n v="5"/>
    <n v="5886.59"/>
    <n v="5"/>
    <n v="27961.33"/>
    <x v="3"/>
  </r>
  <r>
    <s v="ORD11158"/>
    <d v="2024-03-20T00:00:00"/>
    <x v="0"/>
    <x v="2"/>
    <x v="6"/>
    <x v="4"/>
    <x v="9"/>
    <s v="Corporate"/>
    <s v="Retail Store"/>
    <x v="0"/>
    <n v="5"/>
    <n v="37473.589999999997"/>
    <n v="20"/>
    <n v="149894.35"/>
    <x v="2"/>
  </r>
  <r>
    <s v="ORD10758"/>
    <d v="2024-03-21T00:00:00"/>
    <x v="2"/>
    <x v="2"/>
    <x v="0"/>
    <x v="0"/>
    <x v="8"/>
    <s v="Small Business"/>
    <s v="Distributor"/>
    <x v="4"/>
    <n v="3"/>
    <n v="57229.440000000002"/>
    <n v="0"/>
    <n v="171688.31"/>
    <x v="3"/>
  </r>
  <r>
    <s v="ORD10912"/>
    <d v="2024-03-22T00:00:00"/>
    <x v="1"/>
    <x v="2"/>
    <x v="0"/>
    <x v="0"/>
    <x v="18"/>
    <s v="Corporate"/>
    <s v="Online"/>
    <x v="2"/>
    <n v="4"/>
    <n v="68682.820000000007"/>
    <n v="0"/>
    <n v="274731.27"/>
    <x v="2"/>
  </r>
  <r>
    <s v="ORD10532"/>
    <d v="2024-03-23T00:00:00"/>
    <x v="2"/>
    <x v="2"/>
    <x v="2"/>
    <x v="2"/>
    <x v="16"/>
    <s v="Consumer"/>
    <s v="Online"/>
    <x v="2"/>
    <n v="5"/>
    <n v="6377.73"/>
    <n v="5"/>
    <n v="30294.2"/>
    <x v="3"/>
  </r>
  <r>
    <s v="ORD11503"/>
    <d v="2024-03-24T00:00:00"/>
    <x v="1"/>
    <x v="2"/>
    <x v="7"/>
    <x v="0"/>
    <x v="18"/>
    <s v="Small Business"/>
    <s v="Retail Store"/>
    <x v="3"/>
    <n v="4"/>
    <n v="66333.56"/>
    <n v="10"/>
    <n v="238800.82"/>
    <x v="2"/>
  </r>
  <r>
    <s v="ORD11370"/>
    <d v="2024-03-25T00:00:00"/>
    <x v="3"/>
    <x v="2"/>
    <x v="3"/>
    <x v="4"/>
    <x v="12"/>
    <s v="Home Office"/>
    <s v="Distributor"/>
    <x v="4"/>
    <n v="1"/>
    <n v="51016.32"/>
    <n v="10"/>
    <n v="45914.69"/>
    <x v="0"/>
  </r>
  <r>
    <s v="ORD12250"/>
    <d v="2024-03-26T00:00:00"/>
    <x v="4"/>
    <x v="2"/>
    <x v="6"/>
    <x v="0"/>
    <x v="18"/>
    <s v="Home Office"/>
    <s v="Retail Store"/>
    <x v="1"/>
    <n v="1"/>
    <n v="69812.009999999995"/>
    <n v="0"/>
    <n v="69812.009999999995"/>
    <x v="0"/>
  </r>
  <r>
    <s v="ORD10505"/>
    <d v="2024-03-27T00:00:00"/>
    <x v="1"/>
    <x v="2"/>
    <x v="2"/>
    <x v="4"/>
    <x v="5"/>
    <s v="Home Office"/>
    <s v="Online"/>
    <x v="3"/>
    <n v="1"/>
    <n v="44366.09"/>
    <n v="5"/>
    <n v="42147.78"/>
    <x v="3"/>
  </r>
  <r>
    <s v="ORD10735"/>
    <d v="2024-03-28T00:00:00"/>
    <x v="3"/>
    <x v="2"/>
    <x v="0"/>
    <x v="3"/>
    <x v="15"/>
    <s v="Small Business"/>
    <s v="Retail Store"/>
    <x v="0"/>
    <n v="5"/>
    <n v="31454.83"/>
    <n v="15"/>
    <n v="133683.03"/>
    <x v="3"/>
  </r>
  <r>
    <s v="ORD11877"/>
    <d v="2024-03-29T00:00:00"/>
    <x v="0"/>
    <x v="2"/>
    <x v="1"/>
    <x v="0"/>
    <x v="18"/>
    <s v="Corporate"/>
    <s v="Online"/>
    <x v="1"/>
    <n v="3"/>
    <n v="49365.99"/>
    <n v="5"/>
    <n v="140693.07"/>
    <x v="0"/>
  </r>
  <r>
    <s v="ORD12029"/>
    <d v="2024-03-30T00:00:00"/>
    <x v="1"/>
    <x v="2"/>
    <x v="9"/>
    <x v="4"/>
    <x v="9"/>
    <s v="Small Business"/>
    <s v="Online"/>
    <x v="4"/>
    <n v="3"/>
    <n v="37076.199999999997"/>
    <n v="5"/>
    <n v="105667.18"/>
    <x v="0"/>
  </r>
  <r>
    <s v="ORD10704"/>
    <d v="2024-03-31T00:00:00"/>
    <x v="1"/>
    <x v="2"/>
    <x v="6"/>
    <x v="1"/>
    <x v="1"/>
    <s v="Corporate"/>
    <s v="Distributor"/>
    <x v="4"/>
    <n v="5"/>
    <n v="2200.88"/>
    <n v="10"/>
    <n v="9903.9699999999993"/>
    <x v="3"/>
  </r>
  <r>
    <s v="ORD10433"/>
    <d v="2024-04-01T00:00:00"/>
    <x v="2"/>
    <x v="3"/>
    <x v="9"/>
    <x v="1"/>
    <x v="14"/>
    <s v="Corporate"/>
    <s v="Retail Store"/>
    <x v="4"/>
    <n v="5"/>
    <n v="2264.58"/>
    <n v="0"/>
    <n v="11322.91"/>
    <x v="0"/>
  </r>
  <r>
    <s v="ORD11817"/>
    <d v="2024-04-02T00:00:00"/>
    <x v="1"/>
    <x v="3"/>
    <x v="0"/>
    <x v="2"/>
    <x v="11"/>
    <s v="Small Business"/>
    <s v="Distributor"/>
    <x v="3"/>
    <n v="1"/>
    <n v="5756.29"/>
    <n v="5"/>
    <n v="5468.48"/>
    <x v="3"/>
  </r>
  <r>
    <s v="ORD12445"/>
    <d v="2024-04-03T00:00:00"/>
    <x v="0"/>
    <x v="3"/>
    <x v="5"/>
    <x v="3"/>
    <x v="7"/>
    <s v="Consumer"/>
    <s v="Online"/>
    <x v="1"/>
    <n v="5"/>
    <n v="37336.639999999999"/>
    <n v="10"/>
    <n v="168014.86"/>
    <x v="3"/>
  </r>
  <r>
    <s v="ORD10576"/>
    <d v="2024-04-04T00:00:00"/>
    <x v="4"/>
    <x v="3"/>
    <x v="6"/>
    <x v="2"/>
    <x v="17"/>
    <s v="Consumer"/>
    <s v="Distributor"/>
    <x v="1"/>
    <n v="4"/>
    <n v="7973.39"/>
    <n v="0"/>
    <n v="31893.55"/>
    <x v="1"/>
  </r>
  <r>
    <s v="ORD11149"/>
    <d v="2024-04-05T00:00:00"/>
    <x v="3"/>
    <x v="3"/>
    <x v="8"/>
    <x v="1"/>
    <x v="4"/>
    <s v="Consumer"/>
    <s v="Distributor"/>
    <x v="0"/>
    <n v="3"/>
    <n v="2273.66"/>
    <n v="0"/>
    <n v="6820.98"/>
    <x v="1"/>
  </r>
  <r>
    <s v="ORD12133"/>
    <d v="2024-04-06T00:00:00"/>
    <x v="1"/>
    <x v="3"/>
    <x v="8"/>
    <x v="3"/>
    <x v="3"/>
    <s v="Small Business"/>
    <s v="Distributor"/>
    <x v="1"/>
    <n v="5"/>
    <n v="33597.019999999997"/>
    <n v="0"/>
    <n v="167985.12"/>
    <x v="3"/>
  </r>
  <r>
    <s v="ORD10223"/>
    <d v="2024-04-07T00:00:00"/>
    <x v="0"/>
    <x v="3"/>
    <x v="1"/>
    <x v="1"/>
    <x v="14"/>
    <s v="Consumer"/>
    <s v="Distributor"/>
    <x v="3"/>
    <n v="3"/>
    <n v="3021.15"/>
    <n v="0"/>
    <n v="9063.4599999999991"/>
    <x v="3"/>
  </r>
  <r>
    <s v="ORD11071"/>
    <d v="2024-04-08T00:00:00"/>
    <x v="3"/>
    <x v="3"/>
    <x v="2"/>
    <x v="2"/>
    <x v="17"/>
    <s v="Corporate"/>
    <s v="Distributor"/>
    <x v="0"/>
    <n v="1"/>
    <n v="6178.35"/>
    <n v="15"/>
    <n v="5251.6"/>
    <x v="3"/>
  </r>
  <r>
    <s v="ORD11687"/>
    <d v="2024-04-09T00:00:00"/>
    <x v="2"/>
    <x v="3"/>
    <x v="7"/>
    <x v="1"/>
    <x v="1"/>
    <s v="Home Office"/>
    <s v="Online"/>
    <x v="3"/>
    <n v="1"/>
    <n v="2934.96"/>
    <n v="15"/>
    <n v="2494.7199999999998"/>
    <x v="3"/>
  </r>
  <r>
    <s v="ORD11555"/>
    <d v="2024-04-10T00:00:00"/>
    <x v="4"/>
    <x v="3"/>
    <x v="6"/>
    <x v="3"/>
    <x v="3"/>
    <s v="Small Business"/>
    <s v="Online"/>
    <x v="2"/>
    <n v="2"/>
    <n v="29195.46"/>
    <n v="10"/>
    <n v="52551.82"/>
    <x v="2"/>
  </r>
  <r>
    <s v="ORD10481"/>
    <d v="2024-04-11T00:00:00"/>
    <x v="1"/>
    <x v="3"/>
    <x v="5"/>
    <x v="4"/>
    <x v="12"/>
    <s v="Corporate"/>
    <s v="Retail Store"/>
    <x v="0"/>
    <n v="4"/>
    <n v="36223.39"/>
    <n v="5"/>
    <n v="137648.88"/>
    <x v="3"/>
  </r>
  <r>
    <s v="ORD12447"/>
    <d v="2024-04-12T00:00:00"/>
    <x v="1"/>
    <x v="3"/>
    <x v="5"/>
    <x v="2"/>
    <x v="2"/>
    <s v="Corporate"/>
    <s v="Distributor"/>
    <x v="2"/>
    <n v="5"/>
    <n v="6876.47"/>
    <n v="15"/>
    <n v="29225.02"/>
    <x v="3"/>
  </r>
  <r>
    <s v="ORD12248"/>
    <d v="2024-04-13T00:00:00"/>
    <x v="1"/>
    <x v="3"/>
    <x v="3"/>
    <x v="2"/>
    <x v="17"/>
    <s v="Corporate"/>
    <s v="Distributor"/>
    <x v="2"/>
    <n v="1"/>
    <n v="5479.45"/>
    <n v="15"/>
    <n v="4657.53"/>
    <x v="0"/>
  </r>
  <r>
    <s v="ORD10816"/>
    <d v="2024-04-14T00:00:00"/>
    <x v="2"/>
    <x v="3"/>
    <x v="6"/>
    <x v="0"/>
    <x v="8"/>
    <s v="Corporate"/>
    <s v="Online"/>
    <x v="0"/>
    <n v="5"/>
    <n v="48793.11"/>
    <n v="15"/>
    <n v="207370.74"/>
    <x v="1"/>
  </r>
  <r>
    <s v="ORD11106"/>
    <d v="2024-04-15T00:00:00"/>
    <x v="1"/>
    <x v="3"/>
    <x v="6"/>
    <x v="1"/>
    <x v="4"/>
    <s v="Consumer"/>
    <s v="Online"/>
    <x v="3"/>
    <n v="1"/>
    <n v="2620.25"/>
    <n v="5"/>
    <n v="2489.2399999999998"/>
    <x v="2"/>
  </r>
  <r>
    <s v="ORD10426"/>
    <d v="2024-04-16T00:00:00"/>
    <x v="0"/>
    <x v="3"/>
    <x v="1"/>
    <x v="1"/>
    <x v="14"/>
    <s v="Home Office"/>
    <s v="Retail Store"/>
    <x v="3"/>
    <n v="2"/>
    <n v="2954.78"/>
    <n v="5"/>
    <n v="5614.08"/>
    <x v="2"/>
  </r>
  <r>
    <s v="ORD10186"/>
    <d v="2024-04-17T00:00:00"/>
    <x v="2"/>
    <x v="3"/>
    <x v="5"/>
    <x v="4"/>
    <x v="12"/>
    <s v="Home Office"/>
    <s v="Distributor"/>
    <x v="1"/>
    <n v="1"/>
    <n v="43577.24"/>
    <n v="0"/>
    <n v="43577.24"/>
    <x v="2"/>
  </r>
  <r>
    <s v="ORD10711"/>
    <d v="2024-04-18T00:00:00"/>
    <x v="2"/>
    <x v="3"/>
    <x v="6"/>
    <x v="0"/>
    <x v="8"/>
    <s v="Small Business"/>
    <s v="Retail Store"/>
    <x v="3"/>
    <n v="2"/>
    <n v="71319.13"/>
    <n v="5"/>
    <n v="135506.35999999999"/>
    <x v="3"/>
  </r>
  <r>
    <s v="ORD12116"/>
    <d v="2024-04-19T00:00:00"/>
    <x v="0"/>
    <x v="3"/>
    <x v="8"/>
    <x v="4"/>
    <x v="12"/>
    <s v="Corporate"/>
    <s v="Retail Store"/>
    <x v="3"/>
    <n v="1"/>
    <n v="44661.919999999998"/>
    <n v="15"/>
    <n v="37962.629999999997"/>
    <x v="0"/>
  </r>
  <r>
    <s v="ORD10204"/>
    <d v="2024-04-20T00:00:00"/>
    <x v="0"/>
    <x v="3"/>
    <x v="5"/>
    <x v="2"/>
    <x v="17"/>
    <s v="Consumer"/>
    <s v="Distributor"/>
    <x v="0"/>
    <n v="3"/>
    <n v="6787.9"/>
    <n v="15"/>
    <n v="17309.16"/>
    <x v="0"/>
  </r>
  <r>
    <s v="ORD11495"/>
    <d v="2024-04-21T00:00:00"/>
    <x v="0"/>
    <x v="3"/>
    <x v="9"/>
    <x v="3"/>
    <x v="19"/>
    <s v="Consumer"/>
    <s v="Distributor"/>
    <x v="3"/>
    <n v="1"/>
    <n v="37880.39"/>
    <n v="5"/>
    <n v="35986.370000000003"/>
    <x v="3"/>
  </r>
  <r>
    <s v="ORD10554"/>
    <d v="2024-04-22T00:00:00"/>
    <x v="2"/>
    <x v="3"/>
    <x v="6"/>
    <x v="4"/>
    <x v="5"/>
    <s v="Small Business"/>
    <s v="Distributor"/>
    <x v="1"/>
    <n v="2"/>
    <n v="38118.300000000003"/>
    <n v="10"/>
    <n v="68612.95"/>
    <x v="2"/>
  </r>
  <r>
    <s v="ORD12367"/>
    <d v="2024-04-23T00:00:00"/>
    <x v="1"/>
    <x v="3"/>
    <x v="7"/>
    <x v="2"/>
    <x v="2"/>
    <s v="Corporate"/>
    <s v="Retail Store"/>
    <x v="2"/>
    <n v="3"/>
    <n v="7105.46"/>
    <n v="10"/>
    <n v="19184.75"/>
    <x v="3"/>
  </r>
  <r>
    <s v="ORD11997"/>
    <d v="2024-04-24T00:00:00"/>
    <x v="4"/>
    <x v="3"/>
    <x v="7"/>
    <x v="4"/>
    <x v="10"/>
    <s v="Corporate"/>
    <s v="Distributor"/>
    <x v="0"/>
    <n v="5"/>
    <n v="45046.35"/>
    <n v="5"/>
    <n v="213970.18"/>
    <x v="2"/>
  </r>
  <r>
    <s v="ORD11771"/>
    <d v="2024-04-25T00:00:00"/>
    <x v="4"/>
    <x v="3"/>
    <x v="8"/>
    <x v="3"/>
    <x v="7"/>
    <s v="Home Office"/>
    <s v="Retail Store"/>
    <x v="0"/>
    <n v="2"/>
    <n v="26341.53"/>
    <n v="10"/>
    <n v="47414.76"/>
    <x v="0"/>
  </r>
  <r>
    <s v="ORD10464"/>
    <d v="2024-04-26T00:00:00"/>
    <x v="2"/>
    <x v="3"/>
    <x v="1"/>
    <x v="1"/>
    <x v="14"/>
    <s v="Corporate"/>
    <s v="Retail Store"/>
    <x v="4"/>
    <n v="1"/>
    <n v="2809.45"/>
    <n v="10"/>
    <n v="2528.5"/>
    <x v="0"/>
  </r>
  <r>
    <s v="ORD10751"/>
    <d v="2024-04-27T00:00:00"/>
    <x v="1"/>
    <x v="3"/>
    <x v="1"/>
    <x v="4"/>
    <x v="5"/>
    <s v="Small Business"/>
    <s v="Distributor"/>
    <x v="1"/>
    <n v="1"/>
    <n v="39543.74"/>
    <n v="20"/>
    <n v="31634.99"/>
    <x v="0"/>
  </r>
  <r>
    <s v="ORD10604"/>
    <d v="2024-04-28T00:00:00"/>
    <x v="4"/>
    <x v="3"/>
    <x v="7"/>
    <x v="1"/>
    <x v="13"/>
    <s v="Small Business"/>
    <s v="Retail Store"/>
    <x v="3"/>
    <n v="5"/>
    <n v="2118.09"/>
    <n v="20"/>
    <n v="8472.3799999999992"/>
    <x v="0"/>
  </r>
  <r>
    <s v="ORD11061"/>
    <d v="2024-04-29T00:00:00"/>
    <x v="4"/>
    <x v="3"/>
    <x v="4"/>
    <x v="3"/>
    <x v="19"/>
    <s v="Corporate"/>
    <s v="Retail Store"/>
    <x v="0"/>
    <n v="1"/>
    <n v="39122.18"/>
    <n v="0"/>
    <n v="39122.18"/>
    <x v="3"/>
  </r>
  <r>
    <s v="ORD10045"/>
    <d v="2024-04-30T00:00:00"/>
    <x v="1"/>
    <x v="3"/>
    <x v="1"/>
    <x v="3"/>
    <x v="15"/>
    <s v="Home Office"/>
    <s v="Online"/>
    <x v="1"/>
    <n v="5"/>
    <n v="28861.11"/>
    <n v="15"/>
    <n v="122659.71"/>
    <x v="3"/>
  </r>
  <r>
    <s v="ORD11369"/>
    <d v="2024-05-01T00:00:00"/>
    <x v="2"/>
    <x v="4"/>
    <x v="2"/>
    <x v="0"/>
    <x v="18"/>
    <s v="Home Office"/>
    <s v="Distributor"/>
    <x v="2"/>
    <n v="4"/>
    <n v="66696.070000000007"/>
    <n v="0"/>
    <n v="266784.27"/>
    <x v="3"/>
  </r>
  <r>
    <s v="ORD11690"/>
    <d v="2024-05-02T00:00:00"/>
    <x v="3"/>
    <x v="4"/>
    <x v="3"/>
    <x v="1"/>
    <x v="13"/>
    <s v="Consumer"/>
    <s v="Retail Store"/>
    <x v="0"/>
    <n v="3"/>
    <n v="3017.57"/>
    <n v="0"/>
    <n v="9052.7099999999991"/>
    <x v="0"/>
  </r>
  <r>
    <s v="ORD10836"/>
    <d v="2024-05-03T00:00:00"/>
    <x v="3"/>
    <x v="4"/>
    <x v="0"/>
    <x v="4"/>
    <x v="10"/>
    <s v="Home Office"/>
    <s v="Online"/>
    <x v="4"/>
    <n v="4"/>
    <n v="47336.23"/>
    <n v="5"/>
    <n v="179877.66"/>
    <x v="1"/>
  </r>
  <r>
    <s v="ORD11031"/>
    <d v="2024-05-04T00:00:00"/>
    <x v="2"/>
    <x v="4"/>
    <x v="8"/>
    <x v="2"/>
    <x v="16"/>
    <s v="Consumer"/>
    <s v="Online"/>
    <x v="1"/>
    <n v="5"/>
    <n v="6417.32"/>
    <n v="15"/>
    <n v="27273.61"/>
    <x v="1"/>
  </r>
  <r>
    <s v="ORD10452"/>
    <d v="2024-05-05T00:00:00"/>
    <x v="3"/>
    <x v="4"/>
    <x v="8"/>
    <x v="0"/>
    <x v="6"/>
    <s v="Home Office"/>
    <s v="Retail Store"/>
    <x v="2"/>
    <n v="1"/>
    <n v="54949.57"/>
    <n v="0"/>
    <n v="54949.57"/>
    <x v="2"/>
  </r>
  <r>
    <s v="ORD10919"/>
    <d v="2024-05-06T00:00:00"/>
    <x v="4"/>
    <x v="4"/>
    <x v="9"/>
    <x v="4"/>
    <x v="9"/>
    <s v="Small Business"/>
    <s v="Online"/>
    <x v="4"/>
    <n v="3"/>
    <n v="44275.51"/>
    <n v="15"/>
    <n v="112902.56"/>
    <x v="1"/>
  </r>
  <r>
    <s v="ORD11521"/>
    <d v="2024-05-07T00:00:00"/>
    <x v="1"/>
    <x v="4"/>
    <x v="2"/>
    <x v="0"/>
    <x v="0"/>
    <s v="Corporate"/>
    <s v="Distributor"/>
    <x v="4"/>
    <n v="5"/>
    <n v="61255.63"/>
    <n v="5"/>
    <n v="290964.27"/>
    <x v="0"/>
  </r>
  <r>
    <s v="ORD11669"/>
    <d v="2024-05-08T00:00:00"/>
    <x v="4"/>
    <x v="4"/>
    <x v="8"/>
    <x v="0"/>
    <x v="6"/>
    <s v="Small Business"/>
    <s v="Retail Store"/>
    <x v="3"/>
    <n v="2"/>
    <n v="44328.71"/>
    <n v="15"/>
    <n v="75358.8"/>
    <x v="2"/>
  </r>
  <r>
    <s v="ORD11346"/>
    <d v="2024-05-09T00:00:00"/>
    <x v="4"/>
    <x v="4"/>
    <x v="3"/>
    <x v="4"/>
    <x v="9"/>
    <s v="Corporate"/>
    <s v="Retail Store"/>
    <x v="0"/>
    <n v="2"/>
    <n v="50539.54"/>
    <n v="0"/>
    <n v="101079.08"/>
    <x v="3"/>
  </r>
  <r>
    <s v="ORD11965"/>
    <d v="2024-05-10T00:00:00"/>
    <x v="2"/>
    <x v="4"/>
    <x v="6"/>
    <x v="3"/>
    <x v="15"/>
    <s v="Home Office"/>
    <s v="Online"/>
    <x v="0"/>
    <n v="2"/>
    <n v="26381.38"/>
    <n v="15"/>
    <n v="44848.34"/>
    <x v="1"/>
  </r>
  <r>
    <s v="ORD11738"/>
    <d v="2024-05-11T00:00:00"/>
    <x v="1"/>
    <x v="4"/>
    <x v="9"/>
    <x v="4"/>
    <x v="5"/>
    <s v="Home Office"/>
    <s v="Retail Store"/>
    <x v="2"/>
    <n v="2"/>
    <n v="36976.720000000001"/>
    <n v="15"/>
    <n v="62860.42"/>
    <x v="3"/>
  </r>
  <r>
    <s v="ORD12275"/>
    <d v="2024-05-12T00:00:00"/>
    <x v="2"/>
    <x v="4"/>
    <x v="3"/>
    <x v="0"/>
    <x v="6"/>
    <s v="Small Business"/>
    <s v="Online"/>
    <x v="0"/>
    <n v="2"/>
    <n v="56530.95"/>
    <n v="0"/>
    <n v="113061.89"/>
    <x v="1"/>
  </r>
  <r>
    <s v="ORD12268"/>
    <d v="2024-05-13T00:00:00"/>
    <x v="2"/>
    <x v="4"/>
    <x v="4"/>
    <x v="3"/>
    <x v="3"/>
    <s v="Corporate"/>
    <s v="Distributor"/>
    <x v="3"/>
    <n v="1"/>
    <n v="30476.97"/>
    <n v="10"/>
    <n v="27429.27"/>
    <x v="3"/>
  </r>
  <r>
    <s v="ORD11292"/>
    <d v="2024-05-14T00:00:00"/>
    <x v="2"/>
    <x v="4"/>
    <x v="5"/>
    <x v="3"/>
    <x v="7"/>
    <s v="Home Office"/>
    <s v="Online"/>
    <x v="0"/>
    <n v="1"/>
    <n v="28409.52"/>
    <n v="5"/>
    <n v="26989.05"/>
    <x v="0"/>
  </r>
  <r>
    <s v="ORD11258"/>
    <d v="2024-05-15T00:00:00"/>
    <x v="1"/>
    <x v="4"/>
    <x v="4"/>
    <x v="3"/>
    <x v="19"/>
    <s v="Corporate"/>
    <s v="Retail Store"/>
    <x v="3"/>
    <n v="3"/>
    <n v="28927.15"/>
    <n v="10"/>
    <n v="78103.3"/>
    <x v="3"/>
  </r>
  <r>
    <s v="ORD10516"/>
    <d v="2024-05-16T00:00:00"/>
    <x v="4"/>
    <x v="4"/>
    <x v="6"/>
    <x v="3"/>
    <x v="15"/>
    <s v="Home Office"/>
    <s v="Online"/>
    <x v="4"/>
    <n v="5"/>
    <n v="29469.439999999999"/>
    <n v="15"/>
    <n v="125245.13"/>
    <x v="2"/>
  </r>
  <r>
    <s v="ORD10803"/>
    <d v="2024-05-17T00:00:00"/>
    <x v="0"/>
    <x v="4"/>
    <x v="0"/>
    <x v="0"/>
    <x v="18"/>
    <s v="Corporate"/>
    <s v="Retail Store"/>
    <x v="2"/>
    <n v="3"/>
    <n v="54726.33"/>
    <n v="15"/>
    <n v="139552.15"/>
    <x v="3"/>
  </r>
  <r>
    <s v="ORD10585"/>
    <d v="2024-05-18T00:00:00"/>
    <x v="2"/>
    <x v="4"/>
    <x v="3"/>
    <x v="1"/>
    <x v="1"/>
    <s v="Home Office"/>
    <s v="Distributor"/>
    <x v="4"/>
    <n v="4"/>
    <n v="2593.69"/>
    <n v="5"/>
    <n v="9856.02"/>
    <x v="2"/>
  </r>
  <r>
    <s v="ORD10375"/>
    <d v="2024-05-19T00:00:00"/>
    <x v="0"/>
    <x v="4"/>
    <x v="9"/>
    <x v="0"/>
    <x v="6"/>
    <s v="Consumer"/>
    <s v="Distributor"/>
    <x v="2"/>
    <n v="2"/>
    <n v="61538.28"/>
    <n v="15"/>
    <n v="104615.07"/>
    <x v="3"/>
  </r>
  <r>
    <s v="ORD11089"/>
    <d v="2024-05-20T00:00:00"/>
    <x v="0"/>
    <x v="4"/>
    <x v="8"/>
    <x v="1"/>
    <x v="4"/>
    <s v="Consumer"/>
    <s v="Distributor"/>
    <x v="2"/>
    <n v="5"/>
    <n v="2019.74"/>
    <n v="20"/>
    <n v="8078.95"/>
    <x v="3"/>
  </r>
  <r>
    <s v="ORD11210"/>
    <d v="2024-05-21T00:00:00"/>
    <x v="3"/>
    <x v="4"/>
    <x v="1"/>
    <x v="0"/>
    <x v="6"/>
    <s v="Corporate"/>
    <s v="Retail Store"/>
    <x v="1"/>
    <n v="3"/>
    <n v="61938.59"/>
    <n v="10"/>
    <n v="167234.18"/>
    <x v="2"/>
  </r>
  <r>
    <s v="ORD11217"/>
    <d v="2024-05-22T00:00:00"/>
    <x v="0"/>
    <x v="4"/>
    <x v="2"/>
    <x v="3"/>
    <x v="15"/>
    <s v="Corporate"/>
    <s v="Online"/>
    <x v="2"/>
    <n v="3"/>
    <n v="30189.599999999999"/>
    <n v="5"/>
    <n v="86040.35"/>
    <x v="0"/>
  </r>
  <r>
    <s v="ORD10287"/>
    <d v="2024-05-23T00:00:00"/>
    <x v="1"/>
    <x v="4"/>
    <x v="8"/>
    <x v="1"/>
    <x v="1"/>
    <s v="Consumer"/>
    <s v="Distributor"/>
    <x v="2"/>
    <n v="5"/>
    <n v="2405.1999999999998"/>
    <n v="10"/>
    <n v="10823.4"/>
    <x v="0"/>
  </r>
  <r>
    <s v="ORD10162"/>
    <d v="2024-05-24T00:00:00"/>
    <x v="3"/>
    <x v="4"/>
    <x v="7"/>
    <x v="4"/>
    <x v="10"/>
    <s v="Home Office"/>
    <s v="Retail Store"/>
    <x v="4"/>
    <n v="5"/>
    <n v="33722.15"/>
    <n v="10"/>
    <n v="151749.67000000001"/>
    <x v="3"/>
  </r>
  <r>
    <s v="ORD10386"/>
    <d v="2024-05-25T00:00:00"/>
    <x v="0"/>
    <x v="4"/>
    <x v="6"/>
    <x v="1"/>
    <x v="14"/>
    <s v="Small Business"/>
    <s v="Online"/>
    <x v="0"/>
    <n v="2"/>
    <n v="1975.54"/>
    <n v="5"/>
    <n v="3753.52"/>
    <x v="0"/>
  </r>
  <r>
    <s v="ORD12140"/>
    <d v="2024-05-26T00:00:00"/>
    <x v="4"/>
    <x v="4"/>
    <x v="9"/>
    <x v="3"/>
    <x v="19"/>
    <s v="Small Business"/>
    <s v="Online"/>
    <x v="0"/>
    <n v="4"/>
    <n v="39290.75"/>
    <n v="10"/>
    <n v="141446.71"/>
    <x v="1"/>
  </r>
  <r>
    <s v="ORD11051"/>
    <d v="2024-05-27T00:00:00"/>
    <x v="2"/>
    <x v="4"/>
    <x v="1"/>
    <x v="1"/>
    <x v="4"/>
    <s v="Small Business"/>
    <s v="Online"/>
    <x v="4"/>
    <n v="4"/>
    <n v="2372.0700000000002"/>
    <n v="15"/>
    <n v="8065.03"/>
    <x v="0"/>
  </r>
  <r>
    <s v="ORD11155"/>
    <d v="2024-05-28T00:00:00"/>
    <x v="3"/>
    <x v="4"/>
    <x v="0"/>
    <x v="3"/>
    <x v="7"/>
    <s v="Small Business"/>
    <s v="Retail Store"/>
    <x v="4"/>
    <n v="4"/>
    <n v="28776.77"/>
    <n v="0"/>
    <n v="115107.06"/>
    <x v="1"/>
  </r>
  <r>
    <s v="ORD11067"/>
    <d v="2024-05-29T00:00:00"/>
    <x v="3"/>
    <x v="4"/>
    <x v="8"/>
    <x v="4"/>
    <x v="12"/>
    <s v="Consumer"/>
    <s v="Distributor"/>
    <x v="1"/>
    <n v="5"/>
    <n v="51522.74"/>
    <n v="5"/>
    <n v="244733"/>
    <x v="2"/>
  </r>
  <r>
    <s v="ORD11832"/>
    <d v="2024-05-30T00:00:00"/>
    <x v="4"/>
    <x v="4"/>
    <x v="4"/>
    <x v="3"/>
    <x v="7"/>
    <s v="Corporate"/>
    <s v="Online"/>
    <x v="0"/>
    <n v="5"/>
    <n v="25257.95"/>
    <n v="5"/>
    <n v="119975.26"/>
    <x v="0"/>
  </r>
  <r>
    <s v="ORD12168"/>
    <d v="2024-05-31T00:00:00"/>
    <x v="2"/>
    <x v="4"/>
    <x v="1"/>
    <x v="1"/>
    <x v="1"/>
    <s v="Corporate"/>
    <s v="Retail Store"/>
    <x v="4"/>
    <n v="4"/>
    <n v="1884.76"/>
    <n v="5"/>
    <n v="7162.1"/>
    <x v="0"/>
  </r>
  <r>
    <s v="ORD11697"/>
    <d v="2024-06-01T00:00:00"/>
    <x v="2"/>
    <x v="5"/>
    <x v="4"/>
    <x v="3"/>
    <x v="7"/>
    <s v="Small Business"/>
    <s v="Distributor"/>
    <x v="3"/>
    <n v="5"/>
    <n v="30017.17"/>
    <n v="10"/>
    <n v="135077.28"/>
    <x v="0"/>
  </r>
  <r>
    <s v="ORD11887"/>
    <d v="2024-06-02T00:00:00"/>
    <x v="3"/>
    <x v="5"/>
    <x v="2"/>
    <x v="4"/>
    <x v="5"/>
    <s v="Consumer"/>
    <s v="Retail Store"/>
    <x v="0"/>
    <n v="1"/>
    <n v="33217.82"/>
    <n v="15"/>
    <n v="28235.15"/>
    <x v="3"/>
  </r>
  <r>
    <s v="ORD10273"/>
    <d v="2024-06-03T00:00:00"/>
    <x v="2"/>
    <x v="5"/>
    <x v="5"/>
    <x v="3"/>
    <x v="7"/>
    <s v="Small Business"/>
    <s v="Online"/>
    <x v="4"/>
    <n v="2"/>
    <n v="31917.85"/>
    <n v="10"/>
    <n v="57452.14"/>
    <x v="1"/>
  </r>
  <r>
    <s v="ORD10316"/>
    <d v="2024-06-04T00:00:00"/>
    <x v="2"/>
    <x v="5"/>
    <x v="6"/>
    <x v="0"/>
    <x v="18"/>
    <s v="Corporate"/>
    <s v="Retail Store"/>
    <x v="0"/>
    <n v="1"/>
    <n v="46556.98"/>
    <n v="15"/>
    <n v="39573.43"/>
    <x v="0"/>
  </r>
  <r>
    <s v="ORD11337"/>
    <d v="2024-06-05T00:00:00"/>
    <x v="0"/>
    <x v="5"/>
    <x v="4"/>
    <x v="1"/>
    <x v="14"/>
    <s v="Small Business"/>
    <s v="Online"/>
    <x v="2"/>
    <n v="4"/>
    <n v="2094.08"/>
    <n v="10"/>
    <n v="7538.67"/>
    <x v="0"/>
  </r>
  <r>
    <s v="ORD11297"/>
    <d v="2024-06-06T00:00:00"/>
    <x v="3"/>
    <x v="5"/>
    <x v="6"/>
    <x v="2"/>
    <x v="11"/>
    <s v="Small Business"/>
    <s v="Distributor"/>
    <x v="3"/>
    <n v="2"/>
    <n v="6482.78"/>
    <n v="10"/>
    <n v="11669"/>
    <x v="2"/>
  </r>
  <r>
    <s v="ORD11082"/>
    <d v="2024-06-07T00:00:00"/>
    <x v="1"/>
    <x v="5"/>
    <x v="4"/>
    <x v="0"/>
    <x v="6"/>
    <s v="Corporate"/>
    <s v="Retail Store"/>
    <x v="1"/>
    <n v="3"/>
    <n v="51480.28"/>
    <n v="5"/>
    <n v="146718.79"/>
    <x v="3"/>
  </r>
  <r>
    <s v="ORD11598"/>
    <d v="2024-06-08T00:00:00"/>
    <x v="2"/>
    <x v="5"/>
    <x v="2"/>
    <x v="0"/>
    <x v="6"/>
    <s v="Small Business"/>
    <s v="Online"/>
    <x v="4"/>
    <n v="4"/>
    <n v="59318.93"/>
    <n v="10"/>
    <n v="213548.15"/>
    <x v="3"/>
  </r>
  <r>
    <s v="ORD11772"/>
    <d v="2024-06-09T00:00:00"/>
    <x v="1"/>
    <x v="5"/>
    <x v="6"/>
    <x v="3"/>
    <x v="3"/>
    <s v="Consumer"/>
    <s v="Retail Store"/>
    <x v="1"/>
    <n v="5"/>
    <n v="26312.76"/>
    <n v="10"/>
    <n v="118407.42"/>
    <x v="3"/>
  </r>
  <r>
    <s v="ORD12274"/>
    <d v="2024-06-10T00:00:00"/>
    <x v="0"/>
    <x v="5"/>
    <x v="9"/>
    <x v="2"/>
    <x v="17"/>
    <s v="Corporate"/>
    <s v="Retail Store"/>
    <x v="1"/>
    <n v="4"/>
    <n v="7042.19"/>
    <n v="0"/>
    <n v="28168.74"/>
    <x v="0"/>
  </r>
  <r>
    <s v="ORD11745"/>
    <d v="2024-06-11T00:00:00"/>
    <x v="3"/>
    <x v="5"/>
    <x v="7"/>
    <x v="4"/>
    <x v="12"/>
    <s v="Corporate"/>
    <s v="Online"/>
    <x v="2"/>
    <n v="2"/>
    <n v="37047.75"/>
    <n v="0"/>
    <n v="74095.5"/>
    <x v="1"/>
  </r>
  <r>
    <s v="ORD11229"/>
    <d v="2024-06-12T00:00:00"/>
    <x v="4"/>
    <x v="5"/>
    <x v="4"/>
    <x v="4"/>
    <x v="9"/>
    <s v="Consumer"/>
    <s v="Distributor"/>
    <x v="0"/>
    <n v="3"/>
    <n v="49758.03"/>
    <n v="10"/>
    <n v="134346.69"/>
    <x v="3"/>
  </r>
  <r>
    <s v="ORD11585"/>
    <d v="2024-06-13T00:00:00"/>
    <x v="4"/>
    <x v="5"/>
    <x v="5"/>
    <x v="1"/>
    <x v="13"/>
    <s v="Home Office"/>
    <s v="Online"/>
    <x v="0"/>
    <n v="4"/>
    <n v="2653.98"/>
    <n v="5"/>
    <n v="10085.129999999999"/>
    <x v="3"/>
  </r>
  <r>
    <s v="ORD10880"/>
    <d v="2024-06-14T00:00:00"/>
    <x v="1"/>
    <x v="5"/>
    <x v="0"/>
    <x v="1"/>
    <x v="14"/>
    <s v="Corporate"/>
    <s v="Online"/>
    <x v="4"/>
    <n v="3"/>
    <n v="1933.33"/>
    <n v="20"/>
    <n v="4640"/>
    <x v="3"/>
  </r>
  <r>
    <s v="ORD11836"/>
    <d v="2024-06-15T00:00:00"/>
    <x v="3"/>
    <x v="5"/>
    <x v="0"/>
    <x v="3"/>
    <x v="15"/>
    <s v="Home Office"/>
    <s v="Distributor"/>
    <x v="4"/>
    <n v="3"/>
    <n v="38116.769999999997"/>
    <n v="0"/>
    <n v="114350.3"/>
    <x v="0"/>
  </r>
  <r>
    <s v="ORD11235"/>
    <d v="2024-06-16T00:00:00"/>
    <x v="1"/>
    <x v="5"/>
    <x v="1"/>
    <x v="2"/>
    <x v="2"/>
    <s v="Corporate"/>
    <s v="Retail Store"/>
    <x v="1"/>
    <n v="4"/>
    <n v="5297.9"/>
    <n v="15"/>
    <n v="18012.849999999999"/>
    <x v="2"/>
  </r>
  <r>
    <s v="ORD10666"/>
    <d v="2024-06-17T00:00:00"/>
    <x v="4"/>
    <x v="5"/>
    <x v="4"/>
    <x v="3"/>
    <x v="7"/>
    <s v="Consumer"/>
    <s v="Distributor"/>
    <x v="1"/>
    <n v="2"/>
    <n v="27263.08"/>
    <n v="10"/>
    <n v="49073.55"/>
    <x v="1"/>
  </r>
  <r>
    <s v="ORD12311"/>
    <d v="2024-06-18T00:00:00"/>
    <x v="0"/>
    <x v="5"/>
    <x v="1"/>
    <x v="1"/>
    <x v="4"/>
    <s v="Corporate"/>
    <s v="Distributor"/>
    <x v="0"/>
    <n v="2"/>
    <n v="2812.16"/>
    <n v="5"/>
    <n v="5343.1"/>
    <x v="2"/>
  </r>
  <r>
    <s v="ORD10971"/>
    <d v="2024-06-19T00:00:00"/>
    <x v="0"/>
    <x v="5"/>
    <x v="1"/>
    <x v="4"/>
    <x v="10"/>
    <s v="Home Office"/>
    <s v="Retail Store"/>
    <x v="3"/>
    <n v="1"/>
    <n v="39992.699999999997"/>
    <n v="20"/>
    <n v="31994.16"/>
    <x v="0"/>
  </r>
  <r>
    <s v="ORD10007"/>
    <d v="2024-06-20T00:00:00"/>
    <x v="4"/>
    <x v="5"/>
    <x v="1"/>
    <x v="4"/>
    <x v="12"/>
    <s v="Small Business"/>
    <s v="Online"/>
    <x v="1"/>
    <n v="2"/>
    <n v="52443.05"/>
    <n v="5"/>
    <n v="99641.8"/>
    <x v="3"/>
  </r>
  <r>
    <s v="ORD11984"/>
    <d v="2024-06-21T00:00:00"/>
    <x v="3"/>
    <x v="5"/>
    <x v="0"/>
    <x v="4"/>
    <x v="12"/>
    <s v="Home Office"/>
    <s v="Retail Store"/>
    <x v="4"/>
    <n v="2"/>
    <n v="39779.89"/>
    <n v="15"/>
    <n v="67625.820000000007"/>
    <x v="1"/>
  </r>
  <r>
    <s v="ORD11525"/>
    <d v="2024-06-22T00:00:00"/>
    <x v="1"/>
    <x v="5"/>
    <x v="0"/>
    <x v="2"/>
    <x v="17"/>
    <s v="Home Office"/>
    <s v="Online"/>
    <x v="3"/>
    <n v="5"/>
    <n v="5414.16"/>
    <n v="10"/>
    <n v="24363.72"/>
    <x v="3"/>
  </r>
  <r>
    <s v="ORD10219"/>
    <d v="2024-06-23T00:00:00"/>
    <x v="0"/>
    <x v="5"/>
    <x v="7"/>
    <x v="4"/>
    <x v="5"/>
    <s v="Home Office"/>
    <s v="Online"/>
    <x v="1"/>
    <n v="2"/>
    <n v="42260.19"/>
    <n v="0"/>
    <n v="84520.38"/>
    <x v="1"/>
  </r>
  <r>
    <s v="ORD11954"/>
    <d v="2024-06-24T00:00:00"/>
    <x v="4"/>
    <x v="5"/>
    <x v="5"/>
    <x v="4"/>
    <x v="9"/>
    <s v="Corporate"/>
    <s v="Distributor"/>
    <x v="0"/>
    <n v="5"/>
    <n v="43024.98"/>
    <n v="15"/>
    <n v="182856.15"/>
    <x v="3"/>
  </r>
  <r>
    <s v="ORD12058"/>
    <d v="2024-06-25T00:00:00"/>
    <x v="4"/>
    <x v="5"/>
    <x v="9"/>
    <x v="3"/>
    <x v="3"/>
    <s v="Consumer"/>
    <s v="Retail Store"/>
    <x v="1"/>
    <n v="5"/>
    <n v="34866.75"/>
    <n v="20"/>
    <n v="139467"/>
    <x v="1"/>
  </r>
  <r>
    <s v="ORD12452"/>
    <d v="2024-06-26T00:00:00"/>
    <x v="3"/>
    <x v="5"/>
    <x v="2"/>
    <x v="4"/>
    <x v="5"/>
    <s v="Home Office"/>
    <s v="Retail Store"/>
    <x v="4"/>
    <n v="3"/>
    <n v="38556.42"/>
    <n v="15"/>
    <n v="98318.88"/>
    <x v="3"/>
  </r>
  <r>
    <s v="ORD10291"/>
    <d v="2024-06-27T00:00:00"/>
    <x v="1"/>
    <x v="5"/>
    <x v="1"/>
    <x v="3"/>
    <x v="15"/>
    <s v="Home Office"/>
    <s v="Retail Store"/>
    <x v="0"/>
    <n v="5"/>
    <n v="24064.720000000001"/>
    <n v="0"/>
    <n v="120323.61"/>
    <x v="0"/>
  </r>
  <r>
    <s v="ORD12397"/>
    <d v="2024-06-28T00:00:00"/>
    <x v="0"/>
    <x v="5"/>
    <x v="9"/>
    <x v="2"/>
    <x v="2"/>
    <s v="Small Business"/>
    <s v="Distributor"/>
    <x v="4"/>
    <n v="2"/>
    <n v="5075.6000000000004"/>
    <n v="0"/>
    <n v="10151.209999999999"/>
    <x v="1"/>
  </r>
  <r>
    <s v="ORD10583"/>
    <d v="2024-06-29T00:00:00"/>
    <x v="3"/>
    <x v="5"/>
    <x v="7"/>
    <x v="4"/>
    <x v="12"/>
    <s v="Corporate"/>
    <s v="Retail Store"/>
    <x v="2"/>
    <n v="1"/>
    <n v="35409.019999999997"/>
    <n v="5"/>
    <n v="33638.559999999998"/>
    <x v="1"/>
  </r>
  <r>
    <s v="ORD10577"/>
    <d v="2024-06-30T00:00:00"/>
    <x v="3"/>
    <x v="5"/>
    <x v="3"/>
    <x v="3"/>
    <x v="7"/>
    <s v="Small Business"/>
    <s v="Distributor"/>
    <x v="3"/>
    <n v="4"/>
    <n v="26180.17"/>
    <n v="5"/>
    <n v="99484.63"/>
    <x v="3"/>
  </r>
  <r>
    <s v="ORD10838"/>
    <d v="2024-07-01T00:00:00"/>
    <x v="1"/>
    <x v="6"/>
    <x v="9"/>
    <x v="1"/>
    <x v="1"/>
    <s v="Corporate"/>
    <s v="Online"/>
    <x v="3"/>
    <n v="2"/>
    <n v="3117.14"/>
    <n v="20"/>
    <n v="4987.42"/>
    <x v="3"/>
  </r>
  <r>
    <s v="ORD12283"/>
    <d v="2024-07-02T00:00:00"/>
    <x v="1"/>
    <x v="6"/>
    <x v="8"/>
    <x v="4"/>
    <x v="9"/>
    <s v="Consumer"/>
    <s v="Online"/>
    <x v="0"/>
    <n v="2"/>
    <n v="49600.35"/>
    <n v="20"/>
    <n v="79360.56"/>
    <x v="3"/>
  </r>
  <r>
    <s v="ORD10275"/>
    <d v="2024-07-03T00:00:00"/>
    <x v="3"/>
    <x v="6"/>
    <x v="7"/>
    <x v="2"/>
    <x v="16"/>
    <s v="Small Business"/>
    <s v="Retail Store"/>
    <x v="0"/>
    <n v="4"/>
    <n v="7615.31"/>
    <n v="15"/>
    <n v="25892.06"/>
    <x v="0"/>
  </r>
  <r>
    <s v="ORD10082"/>
    <d v="2024-07-04T00:00:00"/>
    <x v="4"/>
    <x v="6"/>
    <x v="5"/>
    <x v="3"/>
    <x v="15"/>
    <s v="Home Office"/>
    <s v="Online"/>
    <x v="3"/>
    <n v="1"/>
    <n v="25512.57"/>
    <n v="10"/>
    <n v="22961.31"/>
    <x v="0"/>
  </r>
  <r>
    <s v="ORD12282"/>
    <d v="2024-07-05T00:00:00"/>
    <x v="1"/>
    <x v="6"/>
    <x v="2"/>
    <x v="4"/>
    <x v="5"/>
    <s v="Consumer"/>
    <s v="Distributor"/>
    <x v="3"/>
    <n v="2"/>
    <n v="47953.84"/>
    <n v="0"/>
    <n v="95907.69"/>
    <x v="2"/>
  </r>
  <r>
    <s v="ORD11551"/>
    <d v="2024-07-06T00:00:00"/>
    <x v="2"/>
    <x v="6"/>
    <x v="8"/>
    <x v="0"/>
    <x v="0"/>
    <s v="Consumer"/>
    <s v="Distributor"/>
    <x v="1"/>
    <n v="5"/>
    <n v="50059.35"/>
    <n v="10"/>
    <n v="225267.08"/>
    <x v="3"/>
  </r>
  <r>
    <s v="ORD12085"/>
    <d v="2024-07-07T00:00:00"/>
    <x v="0"/>
    <x v="6"/>
    <x v="0"/>
    <x v="4"/>
    <x v="10"/>
    <s v="Small Business"/>
    <s v="Distributor"/>
    <x v="1"/>
    <n v="3"/>
    <n v="46721.26"/>
    <n v="15"/>
    <n v="119139.22"/>
    <x v="2"/>
  </r>
  <r>
    <s v="ORD10854"/>
    <d v="2024-07-08T00:00:00"/>
    <x v="0"/>
    <x v="6"/>
    <x v="2"/>
    <x v="1"/>
    <x v="1"/>
    <s v="Corporate"/>
    <s v="Online"/>
    <x v="3"/>
    <n v="1"/>
    <n v="2870.8"/>
    <n v="15"/>
    <n v="2440.1799999999998"/>
    <x v="2"/>
  </r>
  <r>
    <s v="ORD11712"/>
    <d v="2024-07-09T00:00:00"/>
    <x v="4"/>
    <x v="6"/>
    <x v="6"/>
    <x v="4"/>
    <x v="10"/>
    <s v="Consumer"/>
    <s v="Retail Store"/>
    <x v="0"/>
    <n v="2"/>
    <n v="47869.760000000002"/>
    <n v="0"/>
    <n v="95739.520000000004"/>
    <x v="3"/>
  </r>
  <r>
    <s v="ORD10642"/>
    <d v="2024-07-10T00:00:00"/>
    <x v="4"/>
    <x v="6"/>
    <x v="2"/>
    <x v="4"/>
    <x v="5"/>
    <s v="Corporate"/>
    <s v="Distributor"/>
    <x v="3"/>
    <n v="5"/>
    <n v="32580.799999999999"/>
    <n v="10"/>
    <n v="146613.60999999999"/>
    <x v="0"/>
  </r>
  <r>
    <s v="ORD11652"/>
    <d v="2024-07-11T00:00:00"/>
    <x v="2"/>
    <x v="6"/>
    <x v="4"/>
    <x v="3"/>
    <x v="19"/>
    <s v="Consumer"/>
    <s v="Distributor"/>
    <x v="0"/>
    <n v="1"/>
    <n v="39152.910000000003"/>
    <n v="5"/>
    <n v="37195.269999999997"/>
    <x v="3"/>
  </r>
  <r>
    <s v="ORD11175"/>
    <d v="2024-07-12T00:00:00"/>
    <x v="0"/>
    <x v="6"/>
    <x v="7"/>
    <x v="4"/>
    <x v="12"/>
    <s v="Corporate"/>
    <s v="Retail Store"/>
    <x v="1"/>
    <n v="1"/>
    <n v="50947.87"/>
    <n v="0"/>
    <n v="50947.87"/>
    <x v="0"/>
  </r>
  <r>
    <s v="ORD11682"/>
    <d v="2024-07-13T00:00:00"/>
    <x v="2"/>
    <x v="6"/>
    <x v="8"/>
    <x v="2"/>
    <x v="17"/>
    <s v="Corporate"/>
    <s v="Online"/>
    <x v="4"/>
    <n v="1"/>
    <n v="5285.78"/>
    <n v="15"/>
    <n v="4492.91"/>
    <x v="2"/>
  </r>
  <r>
    <s v="ORD11264"/>
    <d v="2024-07-14T00:00:00"/>
    <x v="0"/>
    <x v="6"/>
    <x v="4"/>
    <x v="0"/>
    <x v="8"/>
    <s v="Home Office"/>
    <s v="Retail Store"/>
    <x v="1"/>
    <n v="3"/>
    <n v="65909.91"/>
    <n v="10"/>
    <n v="177956.75"/>
    <x v="2"/>
  </r>
  <r>
    <s v="ORD10723"/>
    <d v="2024-07-15T00:00:00"/>
    <x v="0"/>
    <x v="6"/>
    <x v="6"/>
    <x v="4"/>
    <x v="10"/>
    <s v="Consumer"/>
    <s v="Distributor"/>
    <x v="2"/>
    <n v="4"/>
    <n v="35381.75"/>
    <n v="10"/>
    <n v="127374.3"/>
    <x v="3"/>
  </r>
  <r>
    <s v="ORD10005"/>
    <d v="2024-07-16T00:00:00"/>
    <x v="4"/>
    <x v="6"/>
    <x v="3"/>
    <x v="3"/>
    <x v="19"/>
    <s v="Corporate"/>
    <s v="Distributor"/>
    <x v="4"/>
    <n v="5"/>
    <n v="24102.51"/>
    <n v="0"/>
    <n v="120512.57"/>
    <x v="3"/>
  </r>
  <r>
    <s v="ORD12153"/>
    <d v="2024-07-17T00:00:00"/>
    <x v="1"/>
    <x v="6"/>
    <x v="4"/>
    <x v="1"/>
    <x v="14"/>
    <s v="Home Office"/>
    <s v="Online"/>
    <x v="2"/>
    <n v="5"/>
    <n v="2808.66"/>
    <n v="0"/>
    <n v="14043.31"/>
    <x v="3"/>
  </r>
  <r>
    <s v="ORD12465"/>
    <d v="2024-07-18T00:00:00"/>
    <x v="3"/>
    <x v="6"/>
    <x v="1"/>
    <x v="1"/>
    <x v="13"/>
    <s v="Small Business"/>
    <s v="Online"/>
    <x v="3"/>
    <n v="5"/>
    <n v="3040.83"/>
    <n v="5"/>
    <n v="14443.92"/>
    <x v="3"/>
  </r>
  <r>
    <s v="ORD11824"/>
    <d v="2024-07-19T00:00:00"/>
    <x v="4"/>
    <x v="6"/>
    <x v="7"/>
    <x v="1"/>
    <x v="13"/>
    <s v="Home Office"/>
    <s v="Distributor"/>
    <x v="0"/>
    <n v="3"/>
    <n v="2087.46"/>
    <n v="10"/>
    <n v="5636.13"/>
    <x v="1"/>
  </r>
  <r>
    <s v="ORD10110"/>
    <d v="2024-07-20T00:00:00"/>
    <x v="3"/>
    <x v="6"/>
    <x v="9"/>
    <x v="3"/>
    <x v="7"/>
    <s v="Small Business"/>
    <s v="Distributor"/>
    <x v="1"/>
    <n v="2"/>
    <n v="33086.629999999997"/>
    <n v="10"/>
    <n v="59555.93"/>
    <x v="1"/>
  </r>
  <r>
    <s v="ORD10495"/>
    <d v="2024-07-21T00:00:00"/>
    <x v="1"/>
    <x v="6"/>
    <x v="6"/>
    <x v="3"/>
    <x v="15"/>
    <s v="Consumer"/>
    <s v="Distributor"/>
    <x v="1"/>
    <n v="1"/>
    <n v="35320.339999999997"/>
    <n v="0"/>
    <n v="35320.339999999997"/>
    <x v="3"/>
  </r>
  <r>
    <s v="ORD11576"/>
    <d v="2024-07-22T00:00:00"/>
    <x v="0"/>
    <x v="6"/>
    <x v="3"/>
    <x v="3"/>
    <x v="3"/>
    <s v="Small Business"/>
    <s v="Distributor"/>
    <x v="1"/>
    <n v="2"/>
    <n v="33335.050000000003"/>
    <n v="5"/>
    <n v="63336.59"/>
    <x v="1"/>
  </r>
  <r>
    <s v="ORD11493"/>
    <d v="2024-07-23T00:00:00"/>
    <x v="1"/>
    <x v="6"/>
    <x v="3"/>
    <x v="3"/>
    <x v="19"/>
    <s v="Consumer"/>
    <s v="Distributor"/>
    <x v="2"/>
    <n v="4"/>
    <n v="36245.1"/>
    <n v="10"/>
    <n v="130482.38"/>
    <x v="0"/>
  </r>
  <r>
    <s v="ORD11393"/>
    <d v="2024-07-24T00:00:00"/>
    <x v="1"/>
    <x v="6"/>
    <x v="4"/>
    <x v="3"/>
    <x v="3"/>
    <s v="Consumer"/>
    <s v="Distributor"/>
    <x v="2"/>
    <n v="2"/>
    <n v="36082.9"/>
    <n v="20"/>
    <n v="57732.63"/>
    <x v="1"/>
  </r>
  <r>
    <s v="ORD10939"/>
    <d v="2024-07-25T00:00:00"/>
    <x v="1"/>
    <x v="6"/>
    <x v="3"/>
    <x v="0"/>
    <x v="8"/>
    <s v="Corporate"/>
    <s v="Distributor"/>
    <x v="2"/>
    <n v="1"/>
    <n v="49501.82"/>
    <n v="10"/>
    <n v="44551.64"/>
    <x v="3"/>
  </r>
  <r>
    <s v="ORD11034"/>
    <d v="2024-07-26T00:00:00"/>
    <x v="1"/>
    <x v="6"/>
    <x v="3"/>
    <x v="0"/>
    <x v="0"/>
    <s v="Corporate"/>
    <s v="Distributor"/>
    <x v="0"/>
    <n v="3"/>
    <n v="64805.02"/>
    <n v="5"/>
    <n v="184694.3"/>
    <x v="3"/>
  </r>
  <r>
    <s v="ORD12203"/>
    <d v="2024-07-27T00:00:00"/>
    <x v="3"/>
    <x v="6"/>
    <x v="1"/>
    <x v="3"/>
    <x v="15"/>
    <s v="Corporate"/>
    <s v="Online"/>
    <x v="4"/>
    <n v="1"/>
    <n v="38095.410000000003"/>
    <n v="5"/>
    <n v="36190.639999999999"/>
    <x v="0"/>
  </r>
  <r>
    <s v="ORD10498"/>
    <d v="2024-07-28T00:00:00"/>
    <x v="0"/>
    <x v="6"/>
    <x v="2"/>
    <x v="2"/>
    <x v="17"/>
    <s v="Consumer"/>
    <s v="Distributor"/>
    <x v="1"/>
    <n v="5"/>
    <n v="5916.48"/>
    <n v="0"/>
    <n v="29582.38"/>
    <x v="0"/>
  </r>
  <r>
    <s v="ORD11494"/>
    <d v="2024-07-29T00:00:00"/>
    <x v="2"/>
    <x v="6"/>
    <x v="3"/>
    <x v="4"/>
    <x v="5"/>
    <s v="Consumer"/>
    <s v="Online"/>
    <x v="3"/>
    <n v="2"/>
    <n v="43725.52"/>
    <n v="0"/>
    <n v="87451.05"/>
    <x v="1"/>
  </r>
  <r>
    <s v="ORD10387"/>
    <d v="2024-07-30T00:00:00"/>
    <x v="1"/>
    <x v="6"/>
    <x v="3"/>
    <x v="2"/>
    <x v="11"/>
    <s v="Corporate"/>
    <s v="Online"/>
    <x v="2"/>
    <n v="4"/>
    <n v="6953.02"/>
    <n v="0"/>
    <n v="27812.07"/>
    <x v="3"/>
  </r>
  <r>
    <s v="ORD11378"/>
    <d v="2024-07-31T00:00:00"/>
    <x v="0"/>
    <x v="6"/>
    <x v="0"/>
    <x v="4"/>
    <x v="9"/>
    <s v="Corporate"/>
    <s v="Distributor"/>
    <x v="2"/>
    <n v="3"/>
    <n v="49508.74"/>
    <n v="5"/>
    <n v="141099.9"/>
    <x v="0"/>
  </r>
  <r>
    <s v="ORD10180"/>
    <d v="2024-08-01T00:00:00"/>
    <x v="0"/>
    <x v="7"/>
    <x v="4"/>
    <x v="0"/>
    <x v="6"/>
    <s v="Corporate"/>
    <s v="Online"/>
    <x v="4"/>
    <n v="2"/>
    <n v="49713.57"/>
    <n v="0"/>
    <n v="99427.14"/>
    <x v="3"/>
  </r>
  <r>
    <s v="ORD11994"/>
    <d v="2024-08-02T00:00:00"/>
    <x v="0"/>
    <x v="7"/>
    <x v="2"/>
    <x v="0"/>
    <x v="6"/>
    <s v="Corporate"/>
    <s v="Online"/>
    <x v="1"/>
    <n v="3"/>
    <n v="59341.45"/>
    <n v="5"/>
    <n v="169123.14"/>
    <x v="0"/>
  </r>
  <r>
    <s v="ORD11227"/>
    <d v="2024-08-03T00:00:00"/>
    <x v="3"/>
    <x v="7"/>
    <x v="0"/>
    <x v="1"/>
    <x v="13"/>
    <s v="Home Office"/>
    <s v="Online"/>
    <x v="4"/>
    <n v="5"/>
    <n v="2901.97"/>
    <n v="0"/>
    <n v="14509.83"/>
    <x v="1"/>
  </r>
  <r>
    <s v="ORD12196"/>
    <d v="2024-08-04T00:00:00"/>
    <x v="0"/>
    <x v="7"/>
    <x v="4"/>
    <x v="2"/>
    <x v="16"/>
    <s v="Home Office"/>
    <s v="Online"/>
    <x v="1"/>
    <n v="5"/>
    <n v="7923.69"/>
    <n v="0"/>
    <n v="39618.47"/>
    <x v="0"/>
  </r>
  <r>
    <s v="ORD11863"/>
    <d v="2024-08-05T00:00:00"/>
    <x v="3"/>
    <x v="7"/>
    <x v="8"/>
    <x v="3"/>
    <x v="3"/>
    <s v="Consumer"/>
    <s v="Distributor"/>
    <x v="0"/>
    <n v="1"/>
    <n v="25851.83"/>
    <n v="0"/>
    <n v="25851.83"/>
    <x v="3"/>
  </r>
  <r>
    <s v="ORD10696"/>
    <d v="2024-08-06T00:00:00"/>
    <x v="0"/>
    <x v="7"/>
    <x v="9"/>
    <x v="2"/>
    <x v="11"/>
    <s v="Small Business"/>
    <s v="Retail Store"/>
    <x v="4"/>
    <n v="3"/>
    <n v="5504.63"/>
    <n v="5"/>
    <n v="15688.2"/>
    <x v="2"/>
  </r>
  <r>
    <s v="ORD10572"/>
    <d v="2024-08-07T00:00:00"/>
    <x v="3"/>
    <x v="7"/>
    <x v="4"/>
    <x v="4"/>
    <x v="12"/>
    <s v="Corporate"/>
    <s v="Online"/>
    <x v="4"/>
    <n v="1"/>
    <n v="44555.28"/>
    <n v="0"/>
    <n v="44555.28"/>
    <x v="3"/>
  </r>
  <r>
    <s v="ORD10382"/>
    <d v="2024-08-08T00:00:00"/>
    <x v="1"/>
    <x v="7"/>
    <x v="3"/>
    <x v="3"/>
    <x v="3"/>
    <s v="Consumer"/>
    <s v="Retail Store"/>
    <x v="1"/>
    <n v="5"/>
    <n v="38017.67"/>
    <n v="0"/>
    <n v="190088.35"/>
    <x v="3"/>
  </r>
  <r>
    <s v="ORD10274"/>
    <d v="2024-08-09T00:00:00"/>
    <x v="2"/>
    <x v="7"/>
    <x v="8"/>
    <x v="3"/>
    <x v="15"/>
    <s v="Home Office"/>
    <s v="Distributor"/>
    <x v="4"/>
    <n v="4"/>
    <n v="36874.050000000003"/>
    <n v="5"/>
    <n v="140121.4"/>
    <x v="0"/>
  </r>
  <r>
    <s v="ORD11637"/>
    <d v="2024-08-10T00:00:00"/>
    <x v="4"/>
    <x v="7"/>
    <x v="7"/>
    <x v="3"/>
    <x v="7"/>
    <s v="Consumer"/>
    <s v="Retail Store"/>
    <x v="4"/>
    <n v="3"/>
    <n v="28341.99"/>
    <n v="0"/>
    <n v="85025.96"/>
    <x v="3"/>
  </r>
  <r>
    <s v="ORD10564"/>
    <d v="2024-08-11T00:00:00"/>
    <x v="2"/>
    <x v="7"/>
    <x v="0"/>
    <x v="0"/>
    <x v="0"/>
    <s v="Small Business"/>
    <s v="Online"/>
    <x v="1"/>
    <n v="3"/>
    <n v="46561.31"/>
    <n v="5"/>
    <n v="132699.73000000001"/>
    <x v="2"/>
  </r>
  <r>
    <s v="ORD11753"/>
    <d v="2024-08-12T00:00:00"/>
    <x v="2"/>
    <x v="7"/>
    <x v="6"/>
    <x v="2"/>
    <x v="17"/>
    <s v="Home Office"/>
    <s v="Retail Store"/>
    <x v="1"/>
    <n v="3"/>
    <n v="7895.15"/>
    <n v="5"/>
    <n v="22501.17"/>
    <x v="3"/>
  </r>
  <r>
    <s v="ORD10304"/>
    <d v="2024-08-13T00:00:00"/>
    <x v="3"/>
    <x v="7"/>
    <x v="2"/>
    <x v="0"/>
    <x v="6"/>
    <s v="Corporate"/>
    <s v="Distributor"/>
    <x v="0"/>
    <n v="1"/>
    <n v="66634.03"/>
    <n v="20"/>
    <n v="53307.23"/>
    <x v="2"/>
  </r>
  <r>
    <s v="ORD12433"/>
    <d v="2024-08-14T00:00:00"/>
    <x v="3"/>
    <x v="7"/>
    <x v="8"/>
    <x v="3"/>
    <x v="7"/>
    <s v="Home Office"/>
    <s v="Online"/>
    <x v="1"/>
    <n v="5"/>
    <n v="26939.09"/>
    <n v="15"/>
    <n v="114491.13"/>
    <x v="2"/>
  </r>
  <r>
    <s v="ORD11260"/>
    <d v="2024-08-15T00:00:00"/>
    <x v="1"/>
    <x v="7"/>
    <x v="2"/>
    <x v="4"/>
    <x v="10"/>
    <s v="Corporate"/>
    <s v="Retail Store"/>
    <x v="4"/>
    <n v="3"/>
    <n v="44617.17"/>
    <n v="5"/>
    <n v="127158.95"/>
    <x v="3"/>
  </r>
  <r>
    <s v="ORD10549"/>
    <d v="2024-08-16T00:00:00"/>
    <x v="3"/>
    <x v="7"/>
    <x v="3"/>
    <x v="2"/>
    <x v="11"/>
    <s v="Small Business"/>
    <s v="Online"/>
    <x v="1"/>
    <n v="4"/>
    <n v="6866.82"/>
    <n v="0"/>
    <n v="27467.29"/>
    <x v="1"/>
  </r>
  <r>
    <s v="ORD12240"/>
    <d v="2024-08-17T00:00:00"/>
    <x v="4"/>
    <x v="7"/>
    <x v="1"/>
    <x v="3"/>
    <x v="15"/>
    <s v="Small Business"/>
    <s v="Distributor"/>
    <x v="3"/>
    <n v="2"/>
    <n v="33548.19"/>
    <n v="0"/>
    <n v="67096.39"/>
    <x v="3"/>
  </r>
  <r>
    <s v="ORD10370"/>
    <d v="2024-08-18T00:00:00"/>
    <x v="3"/>
    <x v="7"/>
    <x v="4"/>
    <x v="4"/>
    <x v="10"/>
    <s v="Consumer"/>
    <s v="Online"/>
    <x v="1"/>
    <n v="4"/>
    <n v="43192.41"/>
    <n v="10"/>
    <n v="155492.69"/>
    <x v="3"/>
  </r>
  <r>
    <s v="ORD12048"/>
    <d v="2024-08-19T00:00:00"/>
    <x v="1"/>
    <x v="7"/>
    <x v="4"/>
    <x v="1"/>
    <x v="13"/>
    <s v="Corporate"/>
    <s v="Retail Store"/>
    <x v="0"/>
    <n v="5"/>
    <n v="2154.67"/>
    <n v="0"/>
    <n v="10773.37"/>
    <x v="3"/>
  </r>
  <r>
    <s v="ORD11166"/>
    <d v="2024-08-20T00:00:00"/>
    <x v="2"/>
    <x v="7"/>
    <x v="4"/>
    <x v="0"/>
    <x v="6"/>
    <s v="Home Office"/>
    <s v="Distributor"/>
    <x v="0"/>
    <n v="2"/>
    <n v="69793.95"/>
    <n v="20"/>
    <n v="111670.31"/>
    <x v="2"/>
  </r>
  <r>
    <s v="ORD11174"/>
    <d v="2024-08-21T00:00:00"/>
    <x v="1"/>
    <x v="7"/>
    <x v="4"/>
    <x v="2"/>
    <x v="16"/>
    <s v="Corporate"/>
    <s v="Online"/>
    <x v="2"/>
    <n v="3"/>
    <n v="7815.16"/>
    <n v="5"/>
    <n v="22273.200000000001"/>
    <x v="3"/>
  </r>
  <r>
    <s v="ORD11356"/>
    <d v="2024-08-22T00:00:00"/>
    <x v="0"/>
    <x v="7"/>
    <x v="6"/>
    <x v="2"/>
    <x v="2"/>
    <s v="Corporate"/>
    <s v="Distributor"/>
    <x v="3"/>
    <n v="2"/>
    <n v="5875.45"/>
    <n v="5"/>
    <n v="11163.35"/>
    <x v="3"/>
  </r>
  <r>
    <s v="ORD10924"/>
    <d v="2024-08-23T00:00:00"/>
    <x v="3"/>
    <x v="7"/>
    <x v="3"/>
    <x v="4"/>
    <x v="10"/>
    <s v="Home Office"/>
    <s v="Online"/>
    <x v="3"/>
    <n v="4"/>
    <n v="39955.800000000003"/>
    <n v="10"/>
    <n v="143840.87"/>
    <x v="3"/>
  </r>
  <r>
    <s v="ORD10931"/>
    <d v="2024-08-24T00:00:00"/>
    <x v="0"/>
    <x v="7"/>
    <x v="3"/>
    <x v="3"/>
    <x v="19"/>
    <s v="Consumer"/>
    <s v="Distributor"/>
    <x v="0"/>
    <n v="2"/>
    <n v="38959.54"/>
    <n v="5"/>
    <n v="74023.12"/>
    <x v="0"/>
  </r>
  <r>
    <s v="ORD10571"/>
    <d v="2024-08-25T00:00:00"/>
    <x v="4"/>
    <x v="7"/>
    <x v="3"/>
    <x v="1"/>
    <x v="14"/>
    <s v="Corporate"/>
    <s v="Online"/>
    <x v="4"/>
    <n v="5"/>
    <n v="2296.92"/>
    <n v="5"/>
    <n v="10910.38"/>
    <x v="2"/>
  </r>
  <r>
    <s v="ORD11203"/>
    <d v="2024-08-26T00:00:00"/>
    <x v="1"/>
    <x v="7"/>
    <x v="0"/>
    <x v="2"/>
    <x v="17"/>
    <s v="Home Office"/>
    <s v="Retail Store"/>
    <x v="4"/>
    <n v="2"/>
    <n v="6326.36"/>
    <n v="10"/>
    <n v="11387.45"/>
    <x v="2"/>
  </r>
  <r>
    <s v="ORD12011"/>
    <d v="2024-08-27T00:00:00"/>
    <x v="4"/>
    <x v="7"/>
    <x v="9"/>
    <x v="1"/>
    <x v="14"/>
    <s v="Consumer"/>
    <s v="Retail Store"/>
    <x v="0"/>
    <n v="4"/>
    <n v="2931.15"/>
    <n v="20"/>
    <n v="9379.68"/>
    <x v="0"/>
  </r>
  <r>
    <s v="ORD11630"/>
    <d v="2024-08-28T00:00:00"/>
    <x v="0"/>
    <x v="7"/>
    <x v="2"/>
    <x v="1"/>
    <x v="14"/>
    <s v="Corporate"/>
    <s v="Distributor"/>
    <x v="0"/>
    <n v="1"/>
    <n v="2660.59"/>
    <n v="0"/>
    <n v="2660.59"/>
    <x v="1"/>
  </r>
  <r>
    <s v="ORD11596"/>
    <d v="2024-08-29T00:00:00"/>
    <x v="2"/>
    <x v="7"/>
    <x v="4"/>
    <x v="4"/>
    <x v="12"/>
    <s v="Corporate"/>
    <s v="Distributor"/>
    <x v="1"/>
    <n v="2"/>
    <n v="35962.32"/>
    <n v="0"/>
    <n v="71924.63"/>
    <x v="1"/>
  </r>
  <r>
    <s v="ORD11332"/>
    <d v="2024-08-30T00:00:00"/>
    <x v="4"/>
    <x v="7"/>
    <x v="8"/>
    <x v="1"/>
    <x v="14"/>
    <s v="Home Office"/>
    <s v="Distributor"/>
    <x v="0"/>
    <n v="1"/>
    <n v="3021.08"/>
    <n v="15"/>
    <n v="2567.92"/>
    <x v="1"/>
  </r>
  <r>
    <s v="ORD11650"/>
    <d v="2024-08-31T00:00:00"/>
    <x v="4"/>
    <x v="7"/>
    <x v="1"/>
    <x v="0"/>
    <x v="18"/>
    <s v="Consumer"/>
    <s v="Retail Store"/>
    <x v="2"/>
    <n v="5"/>
    <n v="55778.01"/>
    <n v="20"/>
    <n v="223112.04"/>
    <x v="1"/>
  </r>
  <r>
    <s v="ORD10127"/>
    <d v="2024-09-01T00:00:00"/>
    <x v="2"/>
    <x v="8"/>
    <x v="3"/>
    <x v="3"/>
    <x v="15"/>
    <s v="Corporate"/>
    <s v="Online"/>
    <x v="2"/>
    <n v="1"/>
    <n v="24546.38"/>
    <n v="15"/>
    <n v="20864.43"/>
    <x v="3"/>
  </r>
  <r>
    <s v="ORD12204"/>
    <d v="2024-09-02T00:00:00"/>
    <x v="4"/>
    <x v="8"/>
    <x v="1"/>
    <x v="3"/>
    <x v="19"/>
    <s v="Small Business"/>
    <s v="Online"/>
    <x v="0"/>
    <n v="2"/>
    <n v="27821.95"/>
    <n v="20"/>
    <n v="44515.11"/>
    <x v="3"/>
  </r>
  <r>
    <s v="ORD11942"/>
    <d v="2024-09-03T00:00:00"/>
    <x v="2"/>
    <x v="8"/>
    <x v="8"/>
    <x v="2"/>
    <x v="2"/>
    <s v="Small Business"/>
    <s v="Retail Store"/>
    <x v="1"/>
    <n v="3"/>
    <n v="7385.48"/>
    <n v="5"/>
    <n v="21048.62"/>
    <x v="3"/>
  </r>
  <r>
    <s v="ORD11548"/>
    <d v="2024-09-04T00:00:00"/>
    <x v="4"/>
    <x v="8"/>
    <x v="9"/>
    <x v="3"/>
    <x v="3"/>
    <s v="Corporate"/>
    <s v="Retail Store"/>
    <x v="1"/>
    <n v="3"/>
    <n v="34090.82"/>
    <n v="10"/>
    <n v="92045.2"/>
    <x v="2"/>
  </r>
  <r>
    <s v="ORD12325"/>
    <d v="2024-09-05T00:00:00"/>
    <x v="3"/>
    <x v="8"/>
    <x v="9"/>
    <x v="3"/>
    <x v="15"/>
    <s v="Small Business"/>
    <s v="Retail Store"/>
    <x v="0"/>
    <n v="5"/>
    <n v="39378.050000000003"/>
    <n v="0"/>
    <n v="196890.26"/>
    <x v="1"/>
  </r>
  <r>
    <s v="ORD12430"/>
    <d v="2024-09-06T00:00:00"/>
    <x v="0"/>
    <x v="8"/>
    <x v="1"/>
    <x v="0"/>
    <x v="0"/>
    <s v="Home Office"/>
    <s v="Distributor"/>
    <x v="4"/>
    <n v="1"/>
    <n v="51099.7"/>
    <n v="5"/>
    <n v="48544.71"/>
    <x v="2"/>
  </r>
  <r>
    <s v="ORD11204"/>
    <d v="2024-09-07T00:00:00"/>
    <x v="2"/>
    <x v="8"/>
    <x v="7"/>
    <x v="0"/>
    <x v="8"/>
    <s v="Consumer"/>
    <s v="Online"/>
    <x v="1"/>
    <n v="1"/>
    <n v="71033.3"/>
    <n v="5"/>
    <n v="67481.63"/>
    <x v="0"/>
  </r>
  <r>
    <s v="ORD11950"/>
    <d v="2024-09-08T00:00:00"/>
    <x v="4"/>
    <x v="8"/>
    <x v="0"/>
    <x v="2"/>
    <x v="16"/>
    <s v="Home Office"/>
    <s v="Retail Store"/>
    <x v="3"/>
    <n v="5"/>
    <n v="7969.02"/>
    <n v="10"/>
    <n v="35860.589999999997"/>
    <x v="3"/>
  </r>
  <r>
    <s v="ORD10710"/>
    <d v="2024-09-09T00:00:00"/>
    <x v="0"/>
    <x v="8"/>
    <x v="5"/>
    <x v="4"/>
    <x v="12"/>
    <s v="Corporate"/>
    <s v="Distributor"/>
    <x v="3"/>
    <n v="5"/>
    <n v="33347.449999999997"/>
    <n v="0"/>
    <n v="166737.23000000001"/>
    <x v="1"/>
  </r>
  <r>
    <s v="ORD10109"/>
    <d v="2024-09-10T00:00:00"/>
    <x v="3"/>
    <x v="8"/>
    <x v="9"/>
    <x v="1"/>
    <x v="14"/>
    <s v="Corporate"/>
    <s v="Retail Store"/>
    <x v="1"/>
    <n v="5"/>
    <n v="3037.46"/>
    <n v="15"/>
    <n v="12909.19"/>
    <x v="2"/>
  </r>
  <r>
    <s v="ORD11164"/>
    <d v="2024-09-11T00:00:00"/>
    <x v="1"/>
    <x v="8"/>
    <x v="3"/>
    <x v="2"/>
    <x v="16"/>
    <s v="Consumer"/>
    <s v="Distributor"/>
    <x v="4"/>
    <n v="3"/>
    <n v="5252.39"/>
    <n v="15"/>
    <n v="13393.6"/>
    <x v="3"/>
  </r>
  <r>
    <s v="ORD11752"/>
    <d v="2024-09-12T00:00:00"/>
    <x v="2"/>
    <x v="8"/>
    <x v="3"/>
    <x v="2"/>
    <x v="11"/>
    <s v="Home Office"/>
    <s v="Retail Store"/>
    <x v="1"/>
    <n v="5"/>
    <n v="5018.03"/>
    <n v="10"/>
    <n v="22581.15"/>
    <x v="3"/>
  </r>
  <r>
    <s v="ORD11500"/>
    <d v="2024-09-13T00:00:00"/>
    <x v="2"/>
    <x v="8"/>
    <x v="4"/>
    <x v="2"/>
    <x v="17"/>
    <s v="Small Business"/>
    <s v="Retail Store"/>
    <x v="1"/>
    <n v="3"/>
    <n v="7984.93"/>
    <n v="0"/>
    <n v="23954.799999999999"/>
    <x v="2"/>
  </r>
  <r>
    <s v="ORD10611"/>
    <d v="2024-09-14T00:00:00"/>
    <x v="1"/>
    <x v="8"/>
    <x v="4"/>
    <x v="2"/>
    <x v="17"/>
    <s v="Consumer"/>
    <s v="Retail Store"/>
    <x v="4"/>
    <n v="4"/>
    <n v="5656.6"/>
    <n v="15"/>
    <n v="19232.43"/>
    <x v="1"/>
  </r>
  <r>
    <s v="ORD12236"/>
    <d v="2024-09-15T00:00:00"/>
    <x v="4"/>
    <x v="8"/>
    <x v="7"/>
    <x v="2"/>
    <x v="17"/>
    <s v="Home Office"/>
    <s v="Online"/>
    <x v="2"/>
    <n v="2"/>
    <n v="7576.86"/>
    <n v="10"/>
    <n v="13638.35"/>
    <x v="3"/>
  </r>
  <r>
    <s v="ORD10284"/>
    <d v="2024-09-16T00:00:00"/>
    <x v="3"/>
    <x v="8"/>
    <x v="0"/>
    <x v="2"/>
    <x v="2"/>
    <s v="Consumer"/>
    <s v="Distributor"/>
    <x v="2"/>
    <n v="5"/>
    <n v="5578.88"/>
    <n v="5"/>
    <n v="26499.66"/>
    <x v="2"/>
  </r>
  <r>
    <s v="ORD10780"/>
    <d v="2024-09-17T00:00:00"/>
    <x v="1"/>
    <x v="8"/>
    <x v="3"/>
    <x v="4"/>
    <x v="12"/>
    <s v="Consumer"/>
    <s v="Online"/>
    <x v="2"/>
    <n v="4"/>
    <n v="41620.26"/>
    <n v="15"/>
    <n v="141508.87"/>
    <x v="3"/>
  </r>
  <r>
    <s v="ORD12164"/>
    <d v="2024-09-18T00:00:00"/>
    <x v="2"/>
    <x v="8"/>
    <x v="1"/>
    <x v="4"/>
    <x v="5"/>
    <s v="Consumer"/>
    <s v="Online"/>
    <x v="0"/>
    <n v="3"/>
    <n v="38046.639999999999"/>
    <n v="0"/>
    <n v="114139.92"/>
    <x v="2"/>
  </r>
  <r>
    <s v="ORD11990"/>
    <d v="2024-09-19T00:00:00"/>
    <x v="1"/>
    <x v="8"/>
    <x v="2"/>
    <x v="1"/>
    <x v="1"/>
    <s v="Small Business"/>
    <s v="Retail Store"/>
    <x v="3"/>
    <n v="5"/>
    <n v="2521.6999999999998"/>
    <n v="10"/>
    <n v="11347.65"/>
    <x v="0"/>
  </r>
  <r>
    <s v="ORD10368"/>
    <d v="2024-09-20T00:00:00"/>
    <x v="2"/>
    <x v="8"/>
    <x v="9"/>
    <x v="2"/>
    <x v="11"/>
    <s v="Consumer"/>
    <s v="Retail Store"/>
    <x v="0"/>
    <n v="1"/>
    <n v="8037.6"/>
    <n v="15"/>
    <n v="6831.96"/>
    <x v="3"/>
  </r>
  <r>
    <s v="ORD11036"/>
    <d v="2024-09-21T00:00:00"/>
    <x v="3"/>
    <x v="8"/>
    <x v="1"/>
    <x v="4"/>
    <x v="5"/>
    <s v="Corporate"/>
    <s v="Distributor"/>
    <x v="3"/>
    <n v="2"/>
    <n v="50237.62"/>
    <n v="5"/>
    <n v="95451.47"/>
    <x v="2"/>
  </r>
  <r>
    <s v="ORD10537"/>
    <d v="2024-09-22T00:00:00"/>
    <x v="4"/>
    <x v="8"/>
    <x v="0"/>
    <x v="2"/>
    <x v="17"/>
    <s v="Small Business"/>
    <s v="Distributor"/>
    <x v="4"/>
    <n v="4"/>
    <n v="7084.92"/>
    <n v="15"/>
    <n v="24088.73"/>
    <x v="2"/>
  </r>
  <r>
    <s v="ORD11579"/>
    <d v="2024-09-23T00:00:00"/>
    <x v="2"/>
    <x v="8"/>
    <x v="8"/>
    <x v="4"/>
    <x v="5"/>
    <s v="Consumer"/>
    <s v="Online"/>
    <x v="0"/>
    <n v="5"/>
    <n v="45069.82"/>
    <n v="0"/>
    <n v="225349.12"/>
    <x v="3"/>
  </r>
  <r>
    <s v="ORD12381"/>
    <d v="2024-09-24T00:00:00"/>
    <x v="0"/>
    <x v="8"/>
    <x v="1"/>
    <x v="4"/>
    <x v="12"/>
    <s v="Small Business"/>
    <s v="Online"/>
    <x v="1"/>
    <n v="1"/>
    <n v="45014.46"/>
    <n v="5"/>
    <n v="42763.74"/>
    <x v="2"/>
  </r>
  <r>
    <s v="ORD11375"/>
    <d v="2024-09-25T00:00:00"/>
    <x v="3"/>
    <x v="8"/>
    <x v="9"/>
    <x v="3"/>
    <x v="3"/>
    <s v="Small Business"/>
    <s v="Retail Store"/>
    <x v="3"/>
    <n v="3"/>
    <n v="38377.040000000001"/>
    <n v="20"/>
    <n v="92104.9"/>
    <x v="3"/>
  </r>
  <r>
    <s v="ORD11342"/>
    <d v="2024-09-26T00:00:00"/>
    <x v="0"/>
    <x v="8"/>
    <x v="4"/>
    <x v="3"/>
    <x v="3"/>
    <s v="Home Office"/>
    <s v="Retail Store"/>
    <x v="0"/>
    <n v="3"/>
    <n v="30851.83"/>
    <n v="20"/>
    <n v="74044.39"/>
    <x v="0"/>
  </r>
  <r>
    <s v="ORD11835"/>
    <d v="2024-09-27T00:00:00"/>
    <x v="0"/>
    <x v="8"/>
    <x v="0"/>
    <x v="2"/>
    <x v="17"/>
    <s v="Small Business"/>
    <s v="Retail Store"/>
    <x v="3"/>
    <n v="2"/>
    <n v="8019.51"/>
    <n v="15"/>
    <n v="13633.17"/>
    <x v="3"/>
  </r>
  <r>
    <s v="ORD10544"/>
    <d v="2024-09-28T00:00:00"/>
    <x v="0"/>
    <x v="8"/>
    <x v="9"/>
    <x v="0"/>
    <x v="8"/>
    <s v="Small Business"/>
    <s v="Distributor"/>
    <x v="2"/>
    <n v="3"/>
    <n v="51849.65"/>
    <n v="10"/>
    <n v="139994.06"/>
    <x v="3"/>
  </r>
  <r>
    <s v="ORD11756"/>
    <d v="2024-09-29T00:00:00"/>
    <x v="2"/>
    <x v="8"/>
    <x v="2"/>
    <x v="1"/>
    <x v="1"/>
    <s v="Small Business"/>
    <s v="Online"/>
    <x v="3"/>
    <n v="2"/>
    <n v="2983.08"/>
    <n v="5"/>
    <n v="5667.85"/>
    <x v="3"/>
  </r>
  <r>
    <s v="ORD12141"/>
    <d v="2024-09-30T00:00:00"/>
    <x v="1"/>
    <x v="8"/>
    <x v="0"/>
    <x v="1"/>
    <x v="13"/>
    <s v="Corporate"/>
    <s v="Online"/>
    <x v="0"/>
    <n v="3"/>
    <n v="2895.46"/>
    <n v="0"/>
    <n v="8686.3799999999992"/>
    <x v="0"/>
  </r>
  <r>
    <s v="ORD11539"/>
    <d v="2024-10-01T00:00:00"/>
    <x v="3"/>
    <x v="9"/>
    <x v="8"/>
    <x v="1"/>
    <x v="13"/>
    <s v="Small Business"/>
    <s v="Distributor"/>
    <x v="0"/>
    <n v="4"/>
    <n v="2194.59"/>
    <n v="0"/>
    <n v="8778.36"/>
    <x v="1"/>
  </r>
  <r>
    <s v="ORD10783"/>
    <d v="2024-10-02T00:00:00"/>
    <x v="3"/>
    <x v="9"/>
    <x v="3"/>
    <x v="3"/>
    <x v="3"/>
    <s v="Home Office"/>
    <s v="Online"/>
    <x v="1"/>
    <n v="3"/>
    <n v="36859.050000000003"/>
    <n v="20"/>
    <n v="88461.72"/>
    <x v="1"/>
  </r>
  <r>
    <s v="ORD10966"/>
    <d v="2024-10-03T00:00:00"/>
    <x v="4"/>
    <x v="9"/>
    <x v="0"/>
    <x v="0"/>
    <x v="6"/>
    <s v="Home Office"/>
    <s v="Distributor"/>
    <x v="4"/>
    <n v="3"/>
    <n v="56658.68"/>
    <n v="5"/>
    <n v="161477.24"/>
    <x v="1"/>
  </r>
  <r>
    <s v="ORD10941"/>
    <d v="2024-10-04T00:00:00"/>
    <x v="3"/>
    <x v="9"/>
    <x v="0"/>
    <x v="0"/>
    <x v="6"/>
    <s v="Home Office"/>
    <s v="Online"/>
    <x v="0"/>
    <n v="1"/>
    <n v="67170.98"/>
    <n v="15"/>
    <n v="57095.33"/>
    <x v="3"/>
  </r>
  <r>
    <s v="ORD10766"/>
    <d v="2024-10-05T00:00:00"/>
    <x v="2"/>
    <x v="9"/>
    <x v="5"/>
    <x v="4"/>
    <x v="5"/>
    <s v="Consumer"/>
    <s v="Online"/>
    <x v="0"/>
    <n v="3"/>
    <n v="31973.61"/>
    <n v="15"/>
    <n v="81532.710000000006"/>
    <x v="0"/>
  </r>
  <r>
    <s v="ORD11105"/>
    <d v="2024-10-06T00:00:00"/>
    <x v="4"/>
    <x v="9"/>
    <x v="6"/>
    <x v="2"/>
    <x v="2"/>
    <s v="Home Office"/>
    <s v="Distributor"/>
    <x v="1"/>
    <n v="5"/>
    <n v="7833"/>
    <n v="10"/>
    <n v="35248.519999999997"/>
    <x v="3"/>
  </r>
  <r>
    <s v="ORD10428"/>
    <d v="2024-10-07T00:00:00"/>
    <x v="2"/>
    <x v="9"/>
    <x v="7"/>
    <x v="1"/>
    <x v="13"/>
    <s v="Consumer"/>
    <s v="Distributor"/>
    <x v="3"/>
    <n v="4"/>
    <n v="2807.9"/>
    <n v="0"/>
    <n v="11231.62"/>
    <x v="3"/>
  </r>
  <r>
    <s v="ORD11003"/>
    <d v="2024-10-08T00:00:00"/>
    <x v="3"/>
    <x v="9"/>
    <x v="9"/>
    <x v="0"/>
    <x v="6"/>
    <s v="Consumer"/>
    <s v="Online"/>
    <x v="3"/>
    <n v="2"/>
    <n v="61299.19"/>
    <n v="10"/>
    <n v="110338.54"/>
    <x v="1"/>
  </r>
  <r>
    <s v="ORD10411"/>
    <d v="2024-10-09T00:00:00"/>
    <x v="0"/>
    <x v="9"/>
    <x v="9"/>
    <x v="2"/>
    <x v="2"/>
    <s v="Consumer"/>
    <s v="Retail Store"/>
    <x v="3"/>
    <n v="3"/>
    <n v="7360.51"/>
    <n v="5"/>
    <n v="20977.439999999999"/>
    <x v="2"/>
  </r>
  <r>
    <s v="ORD10593"/>
    <d v="2024-10-10T00:00:00"/>
    <x v="3"/>
    <x v="9"/>
    <x v="4"/>
    <x v="2"/>
    <x v="2"/>
    <s v="Home Office"/>
    <s v="Online"/>
    <x v="2"/>
    <n v="5"/>
    <n v="7060.03"/>
    <n v="0"/>
    <n v="35300.15"/>
    <x v="3"/>
  </r>
  <r>
    <s v="ORD11661"/>
    <d v="2024-10-11T00:00:00"/>
    <x v="1"/>
    <x v="9"/>
    <x v="3"/>
    <x v="2"/>
    <x v="17"/>
    <s v="Home Office"/>
    <s v="Online"/>
    <x v="0"/>
    <n v="1"/>
    <n v="4904.3500000000004"/>
    <n v="10"/>
    <n v="4413.91"/>
    <x v="0"/>
  </r>
  <r>
    <s v="ORD10976"/>
    <d v="2024-10-12T00:00:00"/>
    <x v="0"/>
    <x v="9"/>
    <x v="8"/>
    <x v="2"/>
    <x v="11"/>
    <s v="Consumer"/>
    <s v="Retail Store"/>
    <x v="4"/>
    <n v="3"/>
    <n v="7924.3"/>
    <n v="15"/>
    <n v="20206.95"/>
    <x v="3"/>
  </r>
  <r>
    <s v="ORD10914"/>
    <d v="2024-10-13T00:00:00"/>
    <x v="2"/>
    <x v="9"/>
    <x v="6"/>
    <x v="4"/>
    <x v="10"/>
    <s v="Consumer"/>
    <s v="Online"/>
    <x v="0"/>
    <n v="1"/>
    <n v="34422.910000000003"/>
    <n v="0"/>
    <n v="34422.910000000003"/>
    <x v="2"/>
  </r>
  <r>
    <s v="ORD11076"/>
    <d v="2024-10-14T00:00:00"/>
    <x v="3"/>
    <x v="9"/>
    <x v="1"/>
    <x v="3"/>
    <x v="19"/>
    <s v="Small Business"/>
    <s v="Retail Store"/>
    <x v="3"/>
    <n v="2"/>
    <n v="37875.19"/>
    <n v="15"/>
    <n v="64387.82"/>
    <x v="3"/>
  </r>
  <r>
    <s v="ORD10376"/>
    <d v="2024-10-15T00:00:00"/>
    <x v="3"/>
    <x v="9"/>
    <x v="5"/>
    <x v="2"/>
    <x v="17"/>
    <s v="Consumer"/>
    <s v="Online"/>
    <x v="3"/>
    <n v="3"/>
    <n v="6702.96"/>
    <n v="5"/>
    <n v="19103.43"/>
    <x v="3"/>
  </r>
  <r>
    <s v="ORD11643"/>
    <d v="2024-10-16T00:00:00"/>
    <x v="1"/>
    <x v="9"/>
    <x v="8"/>
    <x v="2"/>
    <x v="16"/>
    <s v="Small Business"/>
    <s v="Online"/>
    <x v="1"/>
    <n v="3"/>
    <n v="5323.89"/>
    <n v="20"/>
    <n v="12777.34"/>
    <x v="1"/>
  </r>
  <r>
    <s v="ORD11611"/>
    <d v="2024-10-17T00:00:00"/>
    <x v="2"/>
    <x v="9"/>
    <x v="0"/>
    <x v="1"/>
    <x v="1"/>
    <s v="Small Business"/>
    <s v="Retail Store"/>
    <x v="4"/>
    <n v="3"/>
    <n v="2681.7"/>
    <n v="10"/>
    <n v="7240.6"/>
    <x v="3"/>
  </r>
  <r>
    <s v="ORD10763"/>
    <d v="2024-10-18T00:00:00"/>
    <x v="0"/>
    <x v="9"/>
    <x v="5"/>
    <x v="3"/>
    <x v="19"/>
    <s v="Consumer"/>
    <s v="Online"/>
    <x v="1"/>
    <n v="2"/>
    <n v="33911.760000000002"/>
    <n v="10"/>
    <n v="61041.17"/>
    <x v="2"/>
  </r>
  <r>
    <s v="ORD11926"/>
    <d v="2024-10-19T00:00:00"/>
    <x v="4"/>
    <x v="9"/>
    <x v="8"/>
    <x v="3"/>
    <x v="7"/>
    <s v="Small Business"/>
    <s v="Distributor"/>
    <x v="2"/>
    <n v="3"/>
    <n v="28195.47"/>
    <n v="0"/>
    <n v="84586.4"/>
    <x v="3"/>
  </r>
  <r>
    <s v="ORD10354"/>
    <d v="2024-10-20T00:00:00"/>
    <x v="4"/>
    <x v="9"/>
    <x v="1"/>
    <x v="0"/>
    <x v="0"/>
    <s v="Consumer"/>
    <s v="Retail Store"/>
    <x v="2"/>
    <n v="1"/>
    <n v="66775.839999999997"/>
    <n v="5"/>
    <n v="63437.04"/>
    <x v="3"/>
  </r>
  <r>
    <s v="ORD10120"/>
    <d v="2024-10-21T00:00:00"/>
    <x v="0"/>
    <x v="9"/>
    <x v="4"/>
    <x v="2"/>
    <x v="16"/>
    <s v="Small Business"/>
    <s v="Distributor"/>
    <x v="4"/>
    <n v="2"/>
    <n v="7695.55"/>
    <n v="10"/>
    <n v="13851.99"/>
    <x v="2"/>
  </r>
  <r>
    <s v="ORD11968"/>
    <d v="2024-10-22T00:00:00"/>
    <x v="1"/>
    <x v="9"/>
    <x v="5"/>
    <x v="2"/>
    <x v="17"/>
    <s v="Home Office"/>
    <s v="Online"/>
    <x v="4"/>
    <n v="3"/>
    <n v="6578.71"/>
    <n v="0"/>
    <n v="19736.13"/>
    <x v="3"/>
  </r>
  <r>
    <s v="ORD12377"/>
    <d v="2024-10-23T00:00:00"/>
    <x v="1"/>
    <x v="9"/>
    <x v="2"/>
    <x v="0"/>
    <x v="6"/>
    <s v="Consumer"/>
    <s v="Retail Store"/>
    <x v="0"/>
    <n v="4"/>
    <n v="67024.479999999996"/>
    <n v="0"/>
    <n v="268097.94"/>
    <x v="0"/>
  </r>
  <r>
    <s v="ORD11202"/>
    <d v="2024-10-24T00:00:00"/>
    <x v="1"/>
    <x v="9"/>
    <x v="0"/>
    <x v="3"/>
    <x v="7"/>
    <s v="Small Business"/>
    <s v="Online"/>
    <x v="0"/>
    <n v="5"/>
    <n v="34082.93"/>
    <n v="15"/>
    <n v="144852.47"/>
    <x v="3"/>
  </r>
  <r>
    <s v="ORD12461"/>
    <d v="2024-10-25T00:00:00"/>
    <x v="0"/>
    <x v="9"/>
    <x v="3"/>
    <x v="0"/>
    <x v="8"/>
    <s v="Corporate"/>
    <s v="Online"/>
    <x v="4"/>
    <n v="5"/>
    <n v="45215.57"/>
    <n v="20"/>
    <n v="180862.29"/>
    <x v="1"/>
  </r>
  <r>
    <s v="ORD12366"/>
    <d v="2024-10-26T00:00:00"/>
    <x v="0"/>
    <x v="9"/>
    <x v="3"/>
    <x v="4"/>
    <x v="12"/>
    <s v="Corporate"/>
    <s v="Distributor"/>
    <x v="3"/>
    <n v="5"/>
    <n v="39560.42"/>
    <n v="10"/>
    <n v="178021.88"/>
    <x v="3"/>
  </r>
  <r>
    <s v="ORD10001"/>
    <d v="2024-10-27T00:00:00"/>
    <x v="3"/>
    <x v="9"/>
    <x v="6"/>
    <x v="0"/>
    <x v="6"/>
    <s v="Corporate"/>
    <s v="Distributor"/>
    <x v="0"/>
    <n v="5"/>
    <n v="52687.88"/>
    <n v="5"/>
    <n v="250267.42"/>
    <x v="3"/>
  </r>
  <r>
    <s v="ORD10267"/>
    <d v="2024-10-28T00:00:00"/>
    <x v="3"/>
    <x v="9"/>
    <x v="8"/>
    <x v="2"/>
    <x v="17"/>
    <s v="Consumer"/>
    <s v="Retail Store"/>
    <x v="0"/>
    <n v="4"/>
    <n v="5373.85"/>
    <n v="5"/>
    <n v="20420.63"/>
    <x v="1"/>
  </r>
  <r>
    <s v="ORD11432"/>
    <d v="2024-10-29T00:00:00"/>
    <x v="3"/>
    <x v="9"/>
    <x v="3"/>
    <x v="0"/>
    <x v="0"/>
    <s v="Home Office"/>
    <s v="Online"/>
    <x v="2"/>
    <n v="5"/>
    <n v="59128.75"/>
    <n v="5"/>
    <n v="280861.57"/>
    <x v="1"/>
  </r>
  <r>
    <s v="ORD10597"/>
    <d v="2024-10-30T00:00:00"/>
    <x v="4"/>
    <x v="9"/>
    <x v="2"/>
    <x v="1"/>
    <x v="4"/>
    <s v="Small Business"/>
    <s v="Retail Store"/>
    <x v="0"/>
    <n v="3"/>
    <n v="2954.17"/>
    <n v="0"/>
    <n v="8862.52"/>
    <x v="0"/>
  </r>
  <r>
    <s v="ORD11079"/>
    <d v="2024-10-31T00:00:00"/>
    <x v="3"/>
    <x v="9"/>
    <x v="0"/>
    <x v="2"/>
    <x v="17"/>
    <s v="Small Business"/>
    <s v="Retail Store"/>
    <x v="4"/>
    <n v="3"/>
    <n v="6972.16"/>
    <n v="10"/>
    <n v="18824.830000000002"/>
    <x v="2"/>
  </r>
  <r>
    <s v="ORD11988"/>
    <d v="2024-11-01T00:00:00"/>
    <x v="2"/>
    <x v="10"/>
    <x v="6"/>
    <x v="4"/>
    <x v="10"/>
    <s v="Corporate"/>
    <s v="Online"/>
    <x v="0"/>
    <n v="1"/>
    <n v="40562.85"/>
    <n v="5"/>
    <n v="38534.699999999997"/>
    <x v="0"/>
  </r>
  <r>
    <s v="ORD12265"/>
    <d v="2024-11-02T00:00:00"/>
    <x v="1"/>
    <x v="10"/>
    <x v="0"/>
    <x v="0"/>
    <x v="18"/>
    <s v="Consumer"/>
    <s v="Distributor"/>
    <x v="1"/>
    <n v="3"/>
    <n v="52003.97"/>
    <n v="0"/>
    <n v="156011.91"/>
    <x v="1"/>
  </r>
  <r>
    <s v="ORD10951"/>
    <d v="2024-11-03T00:00:00"/>
    <x v="1"/>
    <x v="10"/>
    <x v="8"/>
    <x v="1"/>
    <x v="13"/>
    <s v="Corporate"/>
    <s v="Distributor"/>
    <x v="2"/>
    <n v="4"/>
    <n v="3094.57"/>
    <n v="0"/>
    <n v="12378.29"/>
    <x v="3"/>
  </r>
  <r>
    <s v="ORD10646"/>
    <d v="2024-11-04T00:00:00"/>
    <x v="4"/>
    <x v="10"/>
    <x v="0"/>
    <x v="4"/>
    <x v="5"/>
    <s v="Small Business"/>
    <s v="Online"/>
    <x v="1"/>
    <n v="3"/>
    <n v="43444.38"/>
    <n v="20"/>
    <n v="104266.52"/>
    <x v="1"/>
  </r>
  <r>
    <s v="ORD11438"/>
    <d v="2024-11-05T00:00:00"/>
    <x v="3"/>
    <x v="10"/>
    <x v="4"/>
    <x v="3"/>
    <x v="15"/>
    <s v="Small Business"/>
    <s v="Retail Store"/>
    <x v="4"/>
    <n v="4"/>
    <n v="31997.39"/>
    <n v="10"/>
    <n v="115190.6"/>
    <x v="1"/>
  </r>
  <r>
    <s v="ORD11097"/>
    <d v="2024-11-06T00:00:00"/>
    <x v="1"/>
    <x v="10"/>
    <x v="6"/>
    <x v="2"/>
    <x v="16"/>
    <s v="Home Office"/>
    <s v="Retail Store"/>
    <x v="0"/>
    <n v="1"/>
    <n v="5977.11"/>
    <n v="0"/>
    <n v="5977.11"/>
    <x v="2"/>
  </r>
  <r>
    <s v="ORD10475"/>
    <d v="2024-11-07T00:00:00"/>
    <x v="0"/>
    <x v="10"/>
    <x v="7"/>
    <x v="0"/>
    <x v="8"/>
    <s v="Consumer"/>
    <s v="Distributor"/>
    <x v="2"/>
    <n v="5"/>
    <n v="58115.47"/>
    <n v="15"/>
    <n v="246990.73"/>
    <x v="3"/>
  </r>
  <r>
    <s v="ORD10169"/>
    <d v="2024-11-08T00:00:00"/>
    <x v="3"/>
    <x v="10"/>
    <x v="4"/>
    <x v="1"/>
    <x v="4"/>
    <s v="Consumer"/>
    <s v="Online"/>
    <x v="0"/>
    <n v="2"/>
    <n v="1934.48"/>
    <n v="15"/>
    <n v="3288.62"/>
    <x v="2"/>
  </r>
  <r>
    <s v="ORD11787"/>
    <d v="2024-11-09T00:00:00"/>
    <x v="1"/>
    <x v="10"/>
    <x v="6"/>
    <x v="3"/>
    <x v="3"/>
    <s v="Consumer"/>
    <s v="Online"/>
    <x v="2"/>
    <n v="2"/>
    <n v="26996.55"/>
    <n v="15"/>
    <n v="45894.14"/>
    <x v="3"/>
  </r>
  <r>
    <s v="ORD12063"/>
    <d v="2024-11-10T00:00:00"/>
    <x v="0"/>
    <x v="10"/>
    <x v="7"/>
    <x v="1"/>
    <x v="13"/>
    <s v="Corporate"/>
    <s v="Distributor"/>
    <x v="2"/>
    <n v="4"/>
    <n v="2254.11"/>
    <n v="5"/>
    <n v="8565.6200000000008"/>
    <x v="2"/>
  </r>
  <r>
    <s v="ORD12154"/>
    <d v="2024-11-11T00:00:00"/>
    <x v="4"/>
    <x v="10"/>
    <x v="8"/>
    <x v="0"/>
    <x v="6"/>
    <s v="Corporate"/>
    <s v="Distributor"/>
    <x v="4"/>
    <n v="1"/>
    <n v="62539.09"/>
    <n v="5"/>
    <n v="59412.13"/>
    <x v="2"/>
  </r>
  <r>
    <s v="ORD10153"/>
    <d v="2024-11-12T00:00:00"/>
    <x v="1"/>
    <x v="10"/>
    <x v="0"/>
    <x v="2"/>
    <x v="11"/>
    <s v="Home Office"/>
    <s v="Distributor"/>
    <x v="3"/>
    <n v="1"/>
    <n v="5712.58"/>
    <n v="15"/>
    <n v="4855.6899999999996"/>
    <x v="1"/>
  </r>
  <r>
    <s v="ORD11414"/>
    <d v="2024-11-13T00:00:00"/>
    <x v="2"/>
    <x v="10"/>
    <x v="0"/>
    <x v="1"/>
    <x v="1"/>
    <s v="Corporate"/>
    <s v="Retail Store"/>
    <x v="3"/>
    <n v="1"/>
    <n v="2897.52"/>
    <n v="5"/>
    <n v="2752.65"/>
    <x v="3"/>
  </r>
  <r>
    <s v="ORD11289"/>
    <d v="2024-11-14T00:00:00"/>
    <x v="2"/>
    <x v="10"/>
    <x v="8"/>
    <x v="1"/>
    <x v="1"/>
    <s v="Corporate"/>
    <s v="Distributor"/>
    <x v="0"/>
    <n v="2"/>
    <n v="2869.7"/>
    <n v="0"/>
    <n v="5739.41"/>
    <x v="3"/>
  </r>
  <r>
    <s v="ORD11236"/>
    <d v="2024-11-15T00:00:00"/>
    <x v="0"/>
    <x v="10"/>
    <x v="5"/>
    <x v="2"/>
    <x v="17"/>
    <s v="Consumer"/>
    <s v="Online"/>
    <x v="1"/>
    <n v="5"/>
    <n v="5902.4"/>
    <n v="0"/>
    <n v="29512.02"/>
    <x v="3"/>
  </r>
  <r>
    <s v="ORD11395"/>
    <d v="2024-11-16T00:00:00"/>
    <x v="3"/>
    <x v="10"/>
    <x v="1"/>
    <x v="2"/>
    <x v="16"/>
    <s v="Corporate"/>
    <s v="Online"/>
    <x v="1"/>
    <n v="1"/>
    <n v="5258.68"/>
    <n v="15"/>
    <n v="4469.88"/>
    <x v="2"/>
  </r>
  <r>
    <s v="ORD12185"/>
    <d v="2024-11-17T00:00:00"/>
    <x v="3"/>
    <x v="10"/>
    <x v="6"/>
    <x v="2"/>
    <x v="2"/>
    <s v="Small Business"/>
    <s v="Online"/>
    <x v="1"/>
    <n v="4"/>
    <n v="8094.03"/>
    <n v="10"/>
    <n v="29138.51"/>
    <x v="0"/>
  </r>
  <r>
    <s v="ORD10714"/>
    <d v="2024-11-18T00:00:00"/>
    <x v="0"/>
    <x v="10"/>
    <x v="5"/>
    <x v="0"/>
    <x v="8"/>
    <s v="Consumer"/>
    <s v="Retail Store"/>
    <x v="1"/>
    <n v="1"/>
    <n v="60598.38"/>
    <n v="0"/>
    <n v="60598.38"/>
    <x v="3"/>
  </r>
  <r>
    <s v="ORD10220"/>
    <d v="2024-11-19T00:00:00"/>
    <x v="4"/>
    <x v="10"/>
    <x v="7"/>
    <x v="0"/>
    <x v="0"/>
    <s v="Corporate"/>
    <s v="Distributor"/>
    <x v="1"/>
    <n v="5"/>
    <n v="49792.47"/>
    <n v="20"/>
    <n v="199169.89"/>
    <x v="3"/>
  </r>
  <r>
    <s v="ORD11405"/>
    <d v="2024-11-20T00:00:00"/>
    <x v="3"/>
    <x v="10"/>
    <x v="2"/>
    <x v="4"/>
    <x v="10"/>
    <s v="Consumer"/>
    <s v="Online"/>
    <x v="0"/>
    <n v="1"/>
    <n v="36639.279999999999"/>
    <n v="10"/>
    <n v="32975.35"/>
    <x v="3"/>
  </r>
  <r>
    <s v="ORD11107"/>
    <d v="2024-11-21T00:00:00"/>
    <x v="2"/>
    <x v="10"/>
    <x v="4"/>
    <x v="3"/>
    <x v="7"/>
    <s v="Corporate"/>
    <s v="Distributor"/>
    <x v="4"/>
    <n v="3"/>
    <n v="33886.14"/>
    <n v="0"/>
    <n v="101658.41"/>
    <x v="3"/>
  </r>
  <r>
    <s v="ORD10881"/>
    <d v="2024-11-22T00:00:00"/>
    <x v="2"/>
    <x v="10"/>
    <x v="0"/>
    <x v="2"/>
    <x v="2"/>
    <s v="Consumer"/>
    <s v="Retail Store"/>
    <x v="4"/>
    <n v="5"/>
    <n v="5142.1000000000004"/>
    <n v="5"/>
    <n v="24424.959999999999"/>
    <x v="3"/>
  </r>
  <r>
    <s v="ORD10882"/>
    <d v="2024-11-23T00:00:00"/>
    <x v="4"/>
    <x v="10"/>
    <x v="9"/>
    <x v="4"/>
    <x v="12"/>
    <s v="Corporate"/>
    <s v="Online"/>
    <x v="1"/>
    <n v="2"/>
    <n v="36477.54"/>
    <n v="20"/>
    <n v="58364.06"/>
    <x v="3"/>
  </r>
  <r>
    <s v="ORD10612"/>
    <d v="2024-11-24T00:00:00"/>
    <x v="2"/>
    <x v="10"/>
    <x v="9"/>
    <x v="3"/>
    <x v="15"/>
    <s v="Consumer"/>
    <s v="Retail Store"/>
    <x v="1"/>
    <n v="3"/>
    <n v="26242.73"/>
    <n v="20"/>
    <n v="62982.559999999998"/>
    <x v="1"/>
  </r>
  <r>
    <s v="ORD11980"/>
    <d v="2024-11-25T00:00:00"/>
    <x v="1"/>
    <x v="10"/>
    <x v="0"/>
    <x v="2"/>
    <x v="11"/>
    <s v="Small Business"/>
    <s v="Online"/>
    <x v="3"/>
    <n v="4"/>
    <n v="6423.02"/>
    <n v="0"/>
    <n v="25692.07"/>
    <x v="0"/>
  </r>
  <r>
    <s v="ORD11277"/>
    <d v="2024-11-26T00:00:00"/>
    <x v="1"/>
    <x v="10"/>
    <x v="4"/>
    <x v="2"/>
    <x v="17"/>
    <s v="Consumer"/>
    <s v="Retail Store"/>
    <x v="3"/>
    <n v="2"/>
    <n v="6744.34"/>
    <n v="5"/>
    <n v="12814.24"/>
    <x v="3"/>
  </r>
  <r>
    <s v="ORD11895"/>
    <d v="2024-11-27T00:00:00"/>
    <x v="4"/>
    <x v="10"/>
    <x v="8"/>
    <x v="2"/>
    <x v="2"/>
    <s v="Corporate"/>
    <s v="Online"/>
    <x v="3"/>
    <n v="4"/>
    <n v="6070.65"/>
    <n v="15"/>
    <n v="20640.2"/>
    <x v="3"/>
  </r>
  <r>
    <s v="ORD12351"/>
    <d v="2024-11-28T00:00:00"/>
    <x v="4"/>
    <x v="10"/>
    <x v="8"/>
    <x v="1"/>
    <x v="4"/>
    <s v="Small Business"/>
    <s v="Retail Store"/>
    <x v="3"/>
    <n v="1"/>
    <n v="2871.89"/>
    <n v="0"/>
    <n v="2871.89"/>
    <x v="2"/>
  </r>
  <r>
    <s v="ORD11150"/>
    <d v="2024-11-29T00:00:00"/>
    <x v="4"/>
    <x v="10"/>
    <x v="5"/>
    <x v="1"/>
    <x v="13"/>
    <s v="Small Business"/>
    <s v="Online"/>
    <x v="4"/>
    <n v="2"/>
    <n v="2928.84"/>
    <n v="0"/>
    <n v="5857.67"/>
    <x v="3"/>
  </r>
  <r>
    <s v="ORD10765"/>
    <d v="2024-11-30T00:00:00"/>
    <x v="0"/>
    <x v="10"/>
    <x v="5"/>
    <x v="2"/>
    <x v="17"/>
    <s v="Consumer"/>
    <s v="Retail Store"/>
    <x v="0"/>
    <n v="5"/>
    <n v="5234.05"/>
    <n v="10"/>
    <n v="23553.23"/>
    <x v="0"/>
  </r>
  <r>
    <s v="ORD10792"/>
    <d v="2024-12-01T00:00:00"/>
    <x v="3"/>
    <x v="11"/>
    <x v="7"/>
    <x v="4"/>
    <x v="9"/>
    <s v="Small Business"/>
    <s v="Retail Store"/>
    <x v="1"/>
    <n v="1"/>
    <n v="48033.27"/>
    <n v="0"/>
    <n v="48033.27"/>
    <x v="3"/>
  </r>
  <r>
    <s v="ORD10096"/>
    <d v="2024-12-02T00:00:00"/>
    <x v="0"/>
    <x v="11"/>
    <x v="2"/>
    <x v="0"/>
    <x v="18"/>
    <s v="Small Business"/>
    <s v="Distributor"/>
    <x v="3"/>
    <n v="3"/>
    <n v="48273.05"/>
    <n v="10"/>
    <n v="130337.24"/>
    <x v="2"/>
  </r>
  <r>
    <s v="ORD11083"/>
    <d v="2024-12-03T00:00:00"/>
    <x v="4"/>
    <x v="11"/>
    <x v="2"/>
    <x v="0"/>
    <x v="6"/>
    <s v="Small Business"/>
    <s v="Retail Store"/>
    <x v="0"/>
    <n v="3"/>
    <n v="59528.28"/>
    <n v="5"/>
    <n v="169655.59"/>
    <x v="0"/>
  </r>
  <r>
    <s v="ORD10476"/>
    <d v="2024-12-04T00:00:00"/>
    <x v="2"/>
    <x v="11"/>
    <x v="5"/>
    <x v="3"/>
    <x v="7"/>
    <s v="Corporate"/>
    <s v="Retail Store"/>
    <x v="2"/>
    <n v="3"/>
    <n v="29064.81"/>
    <n v="5"/>
    <n v="82834.710000000006"/>
    <x v="3"/>
  </r>
  <r>
    <s v="ORD11030"/>
    <d v="2024-12-05T00:00:00"/>
    <x v="2"/>
    <x v="11"/>
    <x v="1"/>
    <x v="1"/>
    <x v="14"/>
    <s v="Small Business"/>
    <s v="Online"/>
    <x v="3"/>
    <n v="1"/>
    <n v="2469.12"/>
    <n v="20"/>
    <n v="1975.3"/>
    <x v="1"/>
  </r>
  <r>
    <s v="ORD11713"/>
    <d v="2024-12-06T00:00:00"/>
    <x v="0"/>
    <x v="11"/>
    <x v="6"/>
    <x v="3"/>
    <x v="7"/>
    <s v="Consumer"/>
    <s v="Distributor"/>
    <x v="4"/>
    <n v="4"/>
    <n v="27824.19"/>
    <n v="20"/>
    <n v="89037.42"/>
    <x v="1"/>
  </r>
  <r>
    <s v="ORD10372"/>
    <d v="2024-12-07T00:00:00"/>
    <x v="2"/>
    <x v="11"/>
    <x v="2"/>
    <x v="0"/>
    <x v="6"/>
    <s v="Small Business"/>
    <s v="Online"/>
    <x v="0"/>
    <n v="2"/>
    <n v="55772.22"/>
    <n v="20"/>
    <n v="89235.55"/>
    <x v="3"/>
  </r>
  <r>
    <s v="ORD10872"/>
    <d v="2024-12-08T00:00:00"/>
    <x v="2"/>
    <x v="11"/>
    <x v="6"/>
    <x v="2"/>
    <x v="16"/>
    <s v="Home Office"/>
    <s v="Distributor"/>
    <x v="4"/>
    <n v="1"/>
    <n v="5838.12"/>
    <n v="10"/>
    <n v="5254.31"/>
    <x v="1"/>
  </r>
  <r>
    <s v="ORD10573"/>
    <d v="2024-12-09T00:00:00"/>
    <x v="1"/>
    <x v="11"/>
    <x v="1"/>
    <x v="3"/>
    <x v="3"/>
    <s v="Small Business"/>
    <s v="Online"/>
    <x v="0"/>
    <n v="4"/>
    <n v="34158.74"/>
    <n v="10"/>
    <n v="122971.46"/>
    <x v="3"/>
  </r>
  <r>
    <s v="ORD10787"/>
    <d v="2024-12-10T00:00:00"/>
    <x v="0"/>
    <x v="11"/>
    <x v="5"/>
    <x v="0"/>
    <x v="8"/>
    <s v="Corporate"/>
    <s v="Distributor"/>
    <x v="3"/>
    <n v="5"/>
    <n v="62955.41"/>
    <n v="0"/>
    <n v="314777.07"/>
    <x v="2"/>
  </r>
  <r>
    <s v="ORD10444"/>
    <d v="2024-12-11T00:00:00"/>
    <x v="0"/>
    <x v="11"/>
    <x v="4"/>
    <x v="2"/>
    <x v="11"/>
    <s v="Corporate"/>
    <s v="Retail Store"/>
    <x v="3"/>
    <n v="3"/>
    <n v="5459.98"/>
    <n v="5"/>
    <n v="15560.95"/>
    <x v="3"/>
  </r>
  <r>
    <s v="ORD11948"/>
    <d v="2024-12-12T00:00:00"/>
    <x v="2"/>
    <x v="11"/>
    <x v="5"/>
    <x v="4"/>
    <x v="10"/>
    <s v="Small Business"/>
    <s v="Retail Store"/>
    <x v="3"/>
    <n v="1"/>
    <n v="34533.120000000003"/>
    <n v="0"/>
    <n v="34533.120000000003"/>
    <x v="0"/>
  </r>
  <r>
    <s v="ORD11465"/>
    <d v="2024-12-13T00:00:00"/>
    <x v="3"/>
    <x v="11"/>
    <x v="9"/>
    <x v="0"/>
    <x v="18"/>
    <s v="Consumer"/>
    <s v="Distributor"/>
    <x v="3"/>
    <n v="3"/>
    <n v="70755.679999999993"/>
    <n v="10"/>
    <n v="191040.34"/>
    <x v="2"/>
  </r>
  <r>
    <s v="ORD11668"/>
    <d v="2024-12-14T00:00:00"/>
    <x v="0"/>
    <x v="11"/>
    <x v="0"/>
    <x v="1"/>
    <x v="14"/>
    <s v="Corporate"/>
    <s v="Online"/>
    <x v="3"/>
    <n v="2"/>
    <n v="2294.2800000000002"/>
    <n v="20"/>
    <n v="3670.85"/>
    <x v="3"/>
  </r>
  <r>
    <s v="ORD11524"/>
    <d v="2024-12-15T00:00:00"/>
    <x v="2"/>
    <x v="11"/>
    <x v="2"/>
    <x v="3"/>
    <x v="15"/>
    <s v="Corporate"/>
    <s v="Distributor"/>
    <x v="4"/>
    <n v="5"/>
    <n v="37189.599999999999"/>
    <n v="5"/>
    <n v="176650.58"/>
    <x v="3"/>
  </r>
  <r>
    <s v="ORD12478"/>
    <d v="2024-12-16T00:00:00"/>
    <x v="3"/>
    <x v="11"/>
    <x v="8"/>
    <x v="3"/>
    <x v="19"/>
    <s v="Home Office"/>
    <s v="Retail Store"/>
    <x v="4"/>
    <n v="4"/>
    <n v="33932.17"/>
    <n v="10"/>
    <n v="122155.82"/>
    <x v="1"/>
  </r>
  <r>
    <s v="ORD10298"/>
    <d v="2024-12-17T00:00:00"/>
    <x v="4"/>
    <x v="11"/>
    <x v="9"/>
    <x v="1"/>
    <x v="13"/>
    <s v="Corporate"/>
    <s v="Online"/>
    <x v="2"/>
    <n v="1"/>
    <n v="2903.89"/>
    <n v="5"/>
    <n v="2758.69"/>
    <x v="0"/>
  </r>
  <r>
    <s v="ORD10582"/>
    <d v="2024-12-18T00:00:00"/>
    <x v="0"/>
    <x v="11"/>
    <x v="2"/>
    <x v="0"/>
    <x v="18"/>
    <s v="Small Business"/>
    <s v="Retail Store"/>
    <x v="0"/>
    <n v="4"/>
    <n v="59280.08"/>
    <n v="10"/>
    <n v="213408.28"/>
    <x v="3"/>
  </r>
  <r>
    <s v="ORD11635"/>
    <d v="2024-12-19T00:00:00"/>
    <x v="2"/>
    <x v="11"/>
    <x v="1"/>
    <x v="2"/>
    <x v="17"/>
    <s v="Corporate"/>
    <s v="Online"/>
    <x v="3"/>
    <n v="1"/>
    <n v="7342.45"/>
    <n v="15"/>
    <n v="6241.08"/>
    <x v="3"/>
  </r>
  <r>
    <s v="ORD10703"/>
    <d v="2024-12-20T00:00:00"/>
    <x v="3"/>
    <x v="11"/>
    <x v="9"/>
    <x v="2"/>
    <x v="17"/>
    <s v="Small Business"/>
    <s v="Online"/>
    <x v="2"/>
    <n v="4"/>
    <n v="7436.89"/>
    <n v="15"/>
    <n v="25285.42"/>
    <x v="1"/>
  </r>
  <r>
    <s v="ORD10659"/>
    <d v="2024-12-21T00:00:00"/>
    <x v="0"/>
    <x v="11"/>
    <x v="1"/>
    <x v="4"/>
    <x v="12"/>
    <s v="Home Office"/>
    <s v="Online"/>
    <x v="2"/>
    <n v="3"/>
    <n v="38728.85"/>
    <n v="5"/>
    <n v="110377.22"/>
    <x v="1"/>
  </r>
  <r>
    <s v="ORD11470"/>
    <d v="2024-12-22T00:00:00"/>
    <x v="4"/>
    <x v="11"/>
    <x v="0"/>
    <x v="4"/>
    <x v="10"/>
    <s v="Small Business"/>
    <s v="Online"/>
    <x v="3"/>
    <n v="2"/>
    <n v="41966.75"/>
    <n v="15"/>
    <n v="71343.47"/>
    <x v="3"/>
  </r>
  <r>
    <s v="ORD10613"/>
    <d v="2024-12-23T00:00:00"/>
    <x v="2"/>
    <x v="11"/>
    <x v="0"/>
    <x v="3"/>
    <x v="19"/>
    <s v="Consumer"/>
    <s v="Online"/>
    <x v="3"/>
    <n v="3"/>
    <n v="31576.27"/>
    <n v="15"/>
    <n v="80519.490000000005"/>
    <x v="0"/>
  </r>
  <r>
    <s v="ORD10102"/>
    <d v="2024-12-24T00:00:00"/>
    <x v="1"/>
    <x v="11"/>
    <x v="7"/>
    <x v="1"/>
    <x v="14"/>
    <s v="Corporate"/>
    <s v="Online"/>
    <x v="2"/>
    <n v="4"/>
    <n v="2108.13"/>
    <n v="20"/>
    <n v="6746.02"/>
    <x v="0"/>
  </r>
  <r>
    <s v="ORD12018"/>
    <d v="2024-12-25T00:00:00"/>
    <x v="3"/>
    <x v="11"/>
    <x v="8"/>
    <x v="2"/>
    <x v="11"/>
    <s v="Small Business"/>
    <s v="Retail Store"/>
    <x v="4"/>
    <n v="2"/>
    <n v="7497.89"/>
    <n v="10"/>
    <n v="13496.21"/>
    <x v="1"/>
  </r>
  <r>
    <s v="ORD12421"/>
    <d v="2024-12-26T00:00:00"/>
    <x v="1"/>
    <x v="11"/>
    <x v="2"/>
    <x v="2"/>
    <x v="17"/>
    <s v="Small Business"/>
    <s v="Online"/>
    <x v="4"/>
    <n v="2"/>
    <n v="6019.21"/>
    <n v="5"/>
    <n v="11436.49"/>
    <x v="0"/>
  </r>
  <r>
    <s v="ORD12175"/>
    <d v="2024-12-27T00:00:00"/>
    <x v="3"/>
    <x v="11"/>
    <x v="2"/>
    <x v="4"/>
    <x v="9"/>
    <s v="Consumer"/>
    <s v="Online"/>
    <x v="1"/>
    <n v="5"/>
    <n v="51286.65"/>
    <n v="15"/>
    <n v="217968.28"/>
    <x v="0"/>
  </r>
  <r>
    <s v="ORD11398"/>
    <d v="2024-12-28T00:00:00"/>
    <x v="0"/>
    <x v="11"/>
    <x v="7"/>
    <x v="4"/>
    <x v="12"/>
    <s v="Consumer"/>
    <s v="Online"/>
    <x v="2"/>
    <n v="5"/>
    <n v="43788.45"/>
    <n v="5"/>
    <n v="207995.14"/>
    <x v="2"/>
  </r>
  <r>
    <s v="ORD11885"/>
    <d v="2024-12-29T00:00:00"/>
    <x v="4"/>
    <x v="11"/>
    <x v="5"/>
    <x v="2"/>
    <x v="2"/>
    <s v="Home Office"/>
    <s v="Retail Store"/>
    <x v="3"/>
    <n v="4"/>
    <n v="5108.92"/>
    <n v="10"/>
    <n v="18392.099999999999"/>
    <x v="3"/>
  </r>
  <r>
    <s v="ORD10999"/>
    <d v="2024-12-30T00:00:00"/>
    <x v="1"/>
    <x v="11"/>
    <x v="8"/>
    <x v="4"/>
    <x v="10"/>
    <s v="Small Business"/>
    <s v="Online"/>
    <x v="0"/>
    <n v="3"/>
    <n v="45033.43"/>
    <n v="0"/>
    <n v="135100.29"/>
    <x v="1"/>
  </r>
  <r>
    <s v="ORD11784"/>
    <d v="2024-12-31T00:00:00"/>
    <x v="4"/>
    <x v="11"/>
    <x v="2"/>
    <x v="4"/>
    <x v="12"/>
    <s v="Consumer"/>
    <s v="Online"/>
    <x v="2"/>
    <n v="1"/>
    <n v="44540.87"/>
    <n v="5"/>
    <n v="42313.83"/>
    <x v="3"/>
  </r>
  <r>
    <s v="ORD11562"/>
    <d v="2025-01-01T00:00:00"/>
    <x v="1"/>
    <x v="0"/>
    <x v="6"/>
    <x v="2"/>
    <x v="2"/>
    <s v="Consumer"/>
    <s v="Online"/>
    <x v="4"/>
    <n v="1"/>
    <n v="6544.41"/>
    <n v="5"/>
    <n v="6217.19"/>
    <x v="3"/>
  </r>
  <r>
    <s v="ORD11742"/>
    <d v="2025-01-02T00:00:00"/>
    <x v="2"/>
    <x v="0"/>
    <x v="4"/>
    <x v="4"/>
    <x v="9"/>
    <s v="Small Business"/>
    <s v="Distributor"/>
    <x v="4"/>
    <n v="3"/>
    <n v="44459.81"/>
    <n v="0"/>
    <n v="133379.43"/>
    <x v="0"/>
  </r>
  <r>
    <s v="ORD11646"/>
    <d v="2025-01-03T00:00:00"/>
    <x v="1"/>
    <x v="0"/>
    <x v="0"/>
    <x v="4"/>
    <x v="10"/>
    <s v="Corporate"/>
    <s v="Retail Store"/>
    <x v="2"/>
    <n v="3"/>
    <n v="47501.83"/>
    <n v="15"/>
    <n v="121129.67"/>
    <x v="3"/>
  </r>
  <r>
    <s v="ORD11660"/>
    <d v="2025-01-04T00:00:00"/>
    <x v="2"/>
    <x v="0"/>
    <x v="0"/>
    <x v="4"/>
    <x v="5"/>
    <s v="Consumer"/>
    <s v="Retail Store"/>
    <x v="4"/>
    <n v="2"/>
    <n v="32558.6"/>
    <n v="20"/>
    <n v="52093.760000000002"/>
    <x v="3"/>
  </r>
  <r>
    <s v="ORD10487"/>
    <d v="2025-01-05T00:00:00"/>
    <x v="2"/>
    <x v="0"/>
    <x v="9"/>
    <x v="0"/>
    <x v="18"/>
    <s v="Home Office"/>
    <s v="Retail Store"/>
    <x v="1"/>
    <n v="3"/>
    <n v="57251.34"/>
    <n v="5"/>
    <n v="163166.31"/>
    <x v="3"/>
  </r>
  <r>
    <s v="ORD12476"/>
    <d v="2025-01-06T00:00:00"/>
    <x v="0"/>
    <x v="0"/>
    <x v="1"/>
    <x v="4"/>
    <x v="12"/>
    <s v="Corporate"/>
    <s v="Retail Store"/>
    <x v="0"/>
    <n v="4"/>
    <n v="32889.980000000003"/>
    <n v="5"/>
    <n v="124981.91"/>
    <x v="3"/>
  </r>
  <r>
    <s v="ORD10740"/>
    <d v="2025-01-07T00:00:00"/>
    <x v="1"/>
    <x v="0"/>
    <x v="8"/>
    <x v="1"/>
    <x v="4"/>
    <s v="Small Business"/>
    <s v="Retail Store"/>
    <x v="4"/>
    <n v="2"/>
    <n v="2576.6799999999998"/>
    <n v="10"/>
    <n v="4638.0200000000004"/>
    <x v="1"/>
  </r>
  <r>
    <s v="ORD10749"/>
    <d v="2025-01-08T00:00:00"/>
    <x v="4"/>
    <x v="0"/>
    <x v="9"/>
    <x v="4"/>
    <x v="9"/>
    <s v="Small Business"/>
    <s v="Online"/>
    <x v="3"/>
    <n v="4"/>
    <n v="39154.19"/>
    <n v="20"/>
    <n v="125293.4"/>
    <x v="3"/>
  </r>
  <r>
    <s v="ORD11896"/>
    <d v="2025-01-09T00:00:00"/>
    <x v="3"/>
    <x v="0"/>
    <x v="6"/>
    <x v="3"/>
    <x v="3"/>
    <s v="Small Business"/>
    <s v="Online"/>
    <x v="0"/>
    <n v="1"/>
    <n v="36680.129999999997"/>
    <n v="0"/>
    <n v="36680.129999999997"/>
    <x v="3"/>
  </r>
  <r>
    <s v="ORD12072"/>
    <d v="2025-01-10T00:00:00"/>
    <x v="2"/>
    <x v="0"/>
    <x v="5"/>
    <x v="0"/>
    <x v="18"/>
    <s v="Corporate"/>
    <s v="Online"/>
    <x v="2"/>
    <n v="2"/>
    <n v="65654.490000000005"/>
    <n v="5"/>
    <n v="124743.53"/>
    <x v="2"/>
  </r>
  <r>
    <s v="ORD11417"/>
    <d v="2025-01-11T00:00:00"/>
    <x v="4"/>
    <x v="0"/>
    <x v="2"/>
    <x v="0"/>
    <x v="0"/>
    <s v="Small Business"/>
    <s v="Retail Store"/>
    <x v="2"/>
    <n v="4"/>
    <n v="71760.47"/>
    <n v="5"/>
    <n v="272689.78000000003"/>
    <x v="2"/>
  </r>
  <r>
    <s v="ORD12246"/>
    <d v="2025-01-12T00:00:00"/>
    <x v="4"/>
    <x v="0"/>
    <x v="0"/>
    <x v="2"/>
    <x v="17"/>
    <s v="Consumer"/>
    <s v="Online"/>
    <x v="4"/>
    <n v="3"/>
    <n v="6942.16"/>
    <n v="0"/>
    <n v="20826.47"/>
    <x v="3"/>
  </r>
  <r>
    <s v="ORD11512"/>
    <d v="2025-01-13T00:00:00"/>
    <x v="3"/>
    <x v="0"/>
    <x v="1"/>
    <x v="3"/>
    <x v="19"/>
    <s v="Consumer"/>
    <s v="Retail Store"/>
    <x v="2"/>
    <n v="4"/>
    <n v="30107.02"/>
    <n v="5"/>
    <n v="114406.69"/>
    <x v="3"/>
  </r>
  <r>
    <s v="ORD10068"/>
    <d v="2025-01-14T00:00:00"/>
    <x v="0"/>
    <x v="0"/>
    <x v="2"/>
    <x v="4"/>
    <x v="12"/>
    <s v="Small Business"/>
    <s v="Retail Store"/>
    <x v="4"/>
    <n v="3"/>
    <n v="47504.480000000003"/>
    <n v="0"/>
    <n v="142513.43"/>
    <x v="3"/>
  </r>
  <r>
    <s v="ORD12479"/>
    <d v="2025-01-15T00:00:00"/>
    <x v="2"/>
    <x v="0"/>
    <x v="2"/>
    <x v="1"/>
    <x v="14"/>
    <s v="Corporate"/>
    <s v="Retail Store"/>
    <x v="3"/>
    <n v="3"/>
    <n v="2298.36"/>
    <n v="0"/>
    <n v="6895.08"/>
    <x v="1"/>
  </r>
  <r>
    <s v="ORD10680"/>
    <d v="2025-01-16T00:00:00"/>
    <x v="1"/>
    <x v="0"/>
    <x v="1"/>
    <x v="0"/>
    <x v="6"/>
    <s v="Small Business"/>
    <s v="Distributor"/>
    <x v="1"/>
    <n v="4"/>
    <n v="44027.02"/>
    <n v="15"/>
    <n v="149691.85999999999"/>
    <x v="3"/>
  </r>
  <r>
    <s v="ORD10925"/>
    <d v="2025-01-17T00:00:00"/>
    <x v="0"/>
    <x v="0"/>
    <x v="1"/>
    <x v="0"/>
    <x v="0"/>
    <s v="Consumer"/>
    <s v="Distributor"/>
    <x v="4"/>
    <n v="4"/>
    <n v="49178.89"/>
    <n v="15"/>
    <n v="167208.23000000001"/>
    <x v="3"/>
  </r>
  <r>
    <s v="ORD11496"/>
    <d v="2025-01-18T00:00:00"/>
    <x v="4"/>
    <x v="0"/>
    <x v="3"/>
    <x v="3"/>
    <x v="15"/>
    <s v="Small Business"/>
    <s v="Distributor"/>
    <x v="1"/>
    <n v="4"/>
    <n v="37123.339999999997"/>
    <n v="10"/>
    <n v="133644.01"/>
    <x v="3"/>
  </r>
  <r>
    <s v="ORD12500"/>
    <d v="2025-01-19T00:00:00"/>
    <x v="3"/>
    <x v="0"/>
    <x v="0"/>
    <x v="3"/>
    <x v="19"/>
    <s v="Small Business"/>
    <s v="Online"/>
    <x v="2"/>
    <n v="4"/>
    <n v="32827.620000000003"/>
    <n v="5"/>
    <n v="124744.94"/>
    <x v="0"/>
  </r>
  <r>
    <s v="ORD10147"/>
    <d v="2025-01-20T00:00:00"/>
    <x v="4"/>
    <x v="0"/>
    <x v="2"/>
    <x v="2"/>
    <x v="16"/>
    <s v="Small Business"/>
    <s v="Retail Store"/>
    <x v="3"/>
    <n v="4"/>
    <n v="5081.26"/>
    <n v="0"/>
    <n v="20325.03"/>
    <x v="2"/>
  </r>
  <r>
    <s v="ORD10733"/>
    <d v="2025-01-21T00:00:00"/>
    <x v="4"/>
    <x v="0"/>
    <x v="6"/>
    <x v="3"/>
    <x v="7"/>
    <s v="Consumer"/>
    <s v="Distributor"/>
    <x v="2"/>
    <n v="3"/>
    <n v="28769.23"/>
    <n v="10"/>
    <n v="77676.92"/>
    <x v="3"/>
  </r>
  <r>
    <s v="ORD10258"/>
    <d v="2025-01-22T00:00:00"/>
    <x v="0"/>
    <x v="0"/>
    <x v="5"/>
    <x v="3"/>
    <x v="3"/>
    <s v="Home Office"/>
    <s v="Retail Store"/>
    <x v="2"/>
    <n v="2"/>
    <n v="39618.910000000003"/>
    <n v="15"/>
    <n v="67352.149999999994"/>
    <x v="3"/>
  </r>
  <r>
    <s v="ORD11507"/>
    <d v="2025-01-23T00:00:00"/>
    <x v="0"/>
    <x v="0"/>
    <x v="6"/>
    <x v="2"/>
    <x v="11"/>
    <s v="Small Business"/>
    <s v="Distributor"/>
    <x v="4"/>
    <n v="5"/>
    <n v="5444.82"/>
    <n v="5"/>
    <n v="25862.880000000001"/>
    <x v="3"/>
  </r>
  <r>
    <s v="ORD12136"/>
    <d v="2025-01-24T00:00:00"/>
    <x v="2"/>
    <x v="0"/>
    <x v="4"/>
    <x v="0"/>
    <x v="0"/>
    <s v="Home Office"/>
    <s v="Distributor"/>
    <x v="1"/>
    <n v="2"/>
    <n v="68659.56"/>
    <n v="0"/>
    <n v="137319.10999999999"/>
    <x v="2"/>
  </r>
  <r>
    <s v="ORD10724"/>
    <d v="2025-01-25T00:00:00"/>
    <x v="4"/>
    <x v="0"/>
    <x v="6"/>
    <x v="1"/>
    <x v="4"/>
    <s v="Consumer"/>
    <s v="Online"/>
    <x v="3"/>
    <n v="5"/>
    <n v="2188.11"/>
    <n v="5"/>
    <n v="10393.530000000001"/>
    <x v="2"/>
  </r>
  <r>
    <s v="ORD12301"/>
    <d v="2025-01-26T00:00:00"/>
    <x v="2"/>
    <x v="0"/>
    <x v="6"/>
    <x v="1"/>
    <x v="14"/>
    <s v="Corporate"/>
    <s v="Distributor"/>
    <x v="2"/>
    <n v="1"/>
    <n v="2323.37"/>
    <n v="0"/>
    <n v="2323.37"/>
    <x v="3"/>
  </r>
  <r>
    <s v="ORD11987"/>
    <d v="2025-01-27T00:00:00"/>
    <x v="4"/>
    <x v="0"/>
    <x v="9"/>
    <x v="3"/>
    <x v="7"/>
    <s v="Corporate"/>
    <s v="Online"/>
    <x v="1"/>
    <n v="2"/>
    <n v="35366.269999999997"/>
    <n v="5"/>
    <n v="67195.92"/>
    <x v="3"/>
  </r>
  <r>
    <s v="ORD12345"/>
    <d v="2025-01-28T00:00:00"/>
    <x v="0"/>
    <x v="0"/>
    <x v="9"/>
    <x v="1"/>
    <x v="4"/>
    <s v="Consumer"/>
    <s v="Distributor"/>
    <x v="0"/>
    <n v="5"/>
    <n v="2037.48"/>
    <n v="0"/>
    <n v="10187.41"/>
    <x v="0"/>
  </r>
  <r>
    <s v="ORD12163"/>
    <d v="2025-01-29T00:00:00"/>
    <x v="3"/>
    <x v="0"/>
    <x v="7"/>
    <x v="4"/>
    <x v="12"/>
    <s v="Corporate"/>
    <s v="Distributor"/>
    <x v="4"/>
    <n v="3"/>
    <n v="34467.199999999997"/>
    <n v="5"/>
    <n v="98231.52"/>
    <x v="1"/>
  </r>
  <r>
    <s v="ORD10728"/>
    <d v="2025-01-30T00:00:00"/>
    <x v="1"/>
    <x v="0"/>
    <x v="4"/>
    <x v="1"/>
    <x v="1"/>
    <s v="Consumer"/>
    <s v="Retail Store"/>
    <x v="1"/>
    <n v="3"/>
    <n v="2637.38"/>
    <n v="15"/>
    <n v="6725.32"/>
    <x v="3"/>
  </r>
  <r>
    <s v="ORD11670"/>
    <d v="2025-01-31T00:00:00"/>
    <x v="2"/>
    <x v="0"/>
    <x v="7"/>
    <x v="4"/>
    <x v="5"/>
    <s v="Consumer"/>
    <s v="Retail Store"/>
    <x v="0"/>
    <n v="4"/>
    <n v="32699.17"/>
    <n v="10"/>
    <n v="117717.02"/>
    <x v="3"/>
  </r>
  <r>
    <s v="ORD10282"/>
    <d v="2025-02-01T00:00:00"/>
    <x v="4"/>
    <x v="1"/>
    <x v="8"/>
    <x v="1"/>
    <x v="1"/>
    <s v="Consumer"/>
    <s v="Distributor"/>
    <x v="3"/>
    <n v="1"/>
    <n v="3018.29"/>
    <n v="10"/>
    <n v="2716.46"/>
    <x v="3"/>
  </r>
  <r>
    <s v="ORD10953"/>
    <d v="2025-02-02T00:00:00"/>
    <x v="0"/>
    <x v="1"/>
    <x v="2"/>
    <x v="3"/>
    <x v="3"/>
    <s v="Home Office"/>
    <s v="Online"/>
    <x v="3"/>
    <n v="2"/>
    <n v="28360.23"/>
    <n v="5"/>
    <n v="53884.43"/>
    <x v="3"/>
  </r>
  <r>
    <s v="ORD11740"/>
    <d v="2025-02-03T00:00:00"/>
    <x v="0"/>
    <x v="1"/>
    <x v="6"/>
    <x v="2"/>
    <x v="11"/>
    <s v="Home Office"/>
    <s v="Distributor"/>
    <x v="4"/>
    <n v="4"/>
    <n v="6255.47"/>
    <n v="20"/>
    <n v="20017.490000000002"/>
    <x v="3"/>
  </r>
  <r>
    <s v="ORD10328"/>
    <d v="2025-02-04T00:00:00"/>
    <x v="3"/>
    <x v="1"/>
    <x v="6"/>
    <x v="4"/>
    <x v="12"/>
    <s v="Consumer"/>
    <s v="Distributor"/>
    <x v="1"/>
    <n v="4"/>
    <n v="50181.97"/>
    <n v="20"/>
    <n v="160582.29"/>
    <x v="3"/>
  </r>
  <r>
    <s v="ORD11460"/>
    <d v="2025-02-05T00:00:00"/>
    <x v="4"/>
    <x v="1"/>
    <x v="3"/>
    <x v="4"/>
    <x v="10"/>
    <s v="Small Business"/>
    <s v="Distributor"/>
    <x v="1"/>
    <n v="4"/>
    <n v="31627.96"/>
    <n v="0"/>
    <n v="126511.83"/>
    <x v="3"/>
  </r>
  <r>
    <s v="ORD11353"/>
    <d v="2025-02-06T00:00:00"/>
    <x v="0"/>
    <x v="1"/>
    <x v="4"/>
    <x v="0"/>
    <x v="8"/>
    <s v="Home Office"/>
    <s v="Retail Store"/>
    <x v="2"/>
    <n v="1"/>
    <n v="49340.24"/>
    <n v="10"/>
    <n v="44406.21"/>
    <x v="2"/>
  </r>
  <r>
    <s v="ORD12462"/>
    <d v="2025-02-07T00:00:00"/>
    <x v="1"/>
    <x v="1"/>
    <x v="8"/>
    <x v="4"/>
    <x v="12"/>
    <s v="Corporate"/>
    <s v="Retail Store"/>
    <x v="0"/>
    <n v="4"/>
    <n v="39859.33"/>
    <n v="10"/>
    <n v="143493.6"/>
    <x v="0"/>
  </r>
  <r>
    <s v="ORD11060"/>
    <d v="2025-02-08T00:00:00"/>
    <x v="2"/>
    <x v="1"/>
    <x v="9"/>
    <x v="2"/>
    <x v="2"/>
    <s v="Home Office"/>
    <s v="Retail Store"/>
    <x v="4"/>
    <n v="4"/>
    <n v="5023.33"/>
    <n v="15"/>
    <n v="17079.32"/>
    <x v="3"/>
  </r>
  <r>
    <s v="ORD11924"/>
    <d v="2025-02-09T00:00:00"/>
    <x v="3"/>
    <x v="1"/>
    <x v="3"/>
    <x v="0"/>
    <x v="6"/>
    <s v="Small Business"/>
    <s v="Distributor"/>
    <x v="4"/>
    <n v="2"/>
    <n v="69468.289999999994"/>
    <n v="5"/>
    <n v="131989.74"/>
    <x v="3"/>
  </r>
  <r>
    <s v="ORD11704"/>
    <d v="2025-02-10T00:00:00"/>
    <x v="4"/>
    <x v="1"/>
    <x v="7"/>
    <x v="1"/>
    <x v="1"/>
    <s v="Home Office"/>
    <s v="Online"/>
    <x v="0"/>
    <n v="2"/>
    <n v="2242.29"/>
    <n v="0"/>
    <n v="4484.57"/>
    <x v="3"/>
  </r>
  <r>
    <s v="ORD11014"/>
    <d v="2025-02-11T00:00:00"/>
    <x v="1"/>
    <x v="1"/>
    <x v="1"/>
    <x v="3"/>
    <x v="15"/>
    <s v="Corporate"/>
    <s v="Retail Store"/>
    <x v="0"/>
    <n v="2"/>
    <n v="31939.24"/>
    <n v="5"/>
    <n v="60684.55"/>
    <x v="3"/>
  </r>
  <r>
    <s v="ORD12495"/>
    <d v="2025-02-12T00:00:00"/>
    <x v="2"/>
    <x v="1"/>
    <x v="9"/>
    <x v="4"/>
    <x v="12"/>
    <s v="Small Business"/>
    <s v="Distributor"/>
    <x v="2"/>
    <n v="1"/>
    <n v="39994.28"/>
    <n v="20"/>
    <n v="31995.43"/>
    <x v="3"/>
  </r>
  <r>
    <s v="ORD11453"/>
    <d v="2025-02-13T00:00:00"/>
    <x v="4"/>
    <x v="1"/>
    <x v="3"/>
    <x v="1"/>
    <x v="1"/>
    <s v="Consumer"/>
    <s v="Online"/>
    <x v="4"/>
    <n v="4"/>
    <n v="2198.85"/>
    <n v="10"/>
    <n v="7915.85"/>
    <x v="1"/>
  </r>
  <r>
    <s v="ORD10236"/>
    <d v="2025-02-14T00:00:00"/>
    <x v="4"/>
    <x v="1"/>
    <x v="7"/>
    <x v="1"/>
    <x v="4"/>
    <s v="Consumer"/>
    <s v="Distributor"/>
    <x v="2"/>
    <n v="1"/>
    <n v="2205.7399999999998"/>
    <n v="20"/>
    <n v="1764.59"/>
    <x v="0"/>
  </r>
  <r>
    <s v="ORD11913"/>
    <d v="2025-02-15T00:00:00"/>
    <x v="4"/>
    <x v="1"/>
    <x v="6"/>
    <x v="3"/>
    <x v="7"/>
    <s v="Small Business"/>
    <s v="Distributor"/>
    <x v="0"/>
    <n v="2"/>
    <n v="27601.360000000001"/>
    <n v="5"/>
    <n v="52442.58"/>
    <x v="0"/>
  </r>
  <r>
    <s v="ORD11928"/>
    <d v="2025-02-16T00:00:00"/>
    <x v="0"/>
    <x v="1"/>
    <x v="8"/>
    <x v="4"/>
    <x v="12"/>
    <s v="Home Office"/>
    <s v="Retail Store"/>
    <x v="4"/>
    <n v="3"/>
    <n v="43843.92"/>
    <n v="0"/>
    <n v="131531.76"/>
    <x v="1"/>
  </r>
  <r>
    <s v="ORD11181"/>
    <d v="2025-02-17T00:00:00"/>
    <x v="0"/>
    <x v="1"/>
    <x v="4"/>
    <x v="0"/>
    <x v="18"/>
    <s v="Corporate"/>
    <s v="Distributor"/>
    <x v="0"/>
    <n v="2"/>
    <n v="53594.17"/>
    <n v="15"/>
    <n v="91110.09"/>
    <x v="3"/>
  </r>
  <r>
    <s v="ORD11561"/>
    <d v="2025-02-18T00:00:00"/>
    <x v="0"/>
    <x v="1"/>
    <x v="7"/>
    <x v="0"/>
    <x v="0"/>
    <s v="Small Business"/>
    <s v="Online"/>
    <x v="2"/>
    <n v="3"/>
    <n v="46106.39"/>
    <n v="15"/>
    <n v="117571.3"/>
    <x v="3"/>
  </r>
  <r>
    <s v="ORD10469"/>
    <d v="2025-02-19T00:00:00"/>
    <x v="4"/>
    <x v="1"/>
    <x v="0"/>
    <x v="2"/>
    <x v="2"/>
    <s v="Consumer"/>
    <s v="Distributor"/>
    <x v="1"/>
    <n v="5"/>
    <n v="7061.29"/>
    <n v="15"/>
    <n v="30010.47"/>
    <x v="1"/>
  </r>
  <r>
    <s v="ORD11272"/>
    <d v="2025-02-20T00:00:00"/>
    <x v="1"/>
    <x v="1"/>
    <x v="5"/>
    <x v="1"/>
    <x v="13"/>
    <s v="Small Business"/>
    <s v="Retail Store"/>
    <x v="1"/>
    <n v="2"/>
    <n v="1984.91"/>
    <n v="5"/>
    <n v="3771.32"/>
    <x v="3"/>
  </r>
  <r>
    <s v="ORD11848"/>
    <d v="2025-02-21T00:00:00"/>
    <x v="3"/>
    <x v="1"/>
    <x v="5"/>
    <x v="4"/>
    <x v="12"/>
    <s v="Corporate"/>
    <s v="Retail Store"/>
    <x v="1"/>
    <n v="3"/>
    <n v="40865.75"/>
    <n v="10"/>
    <n v="110337.52"/>
    <x v="1"/>
  </r>
  <r>
    <s v="ORD10594"/>
    <d v="2025-02-22T00:00:00"/>
    <x v="2"/>
    <x v="1"/>
    <x v="9"/>
    <x v="2"/>
    <x v="2"/>
    <s v="Small Business"/>
    <s v="Online"/>
    <x v="1"/>
    <n v="1"/>
    <n v="4893.91"/>
    <n v="10"/>
    <n v="4404.5200000000004"/>
    <x v="3"/>
  </r>
  <r>
    <s v="ORD12001"/>
    <d v="2025-02-23T00:00:00"/>
    <x v="0"/>
    <x v="1"/>
    <x v="5"/>
    <x v="1"/>
    <x v="13"/>
    <s v="Consumer"/>
    <s v="Distributor"/>
    <x v="1"/>
    <n v="5"/>
    <n v="2710.45"/>
    <n v="5"/>
    <n v="12874.62"/>
    <x v="0"/>
  </r>
  <r>
    <s v="ORD10709"/>
    <d v="2025-02-24T00:00:00"/>
    <x v="0"/>
    <x v="1"/>
    <x v="7"/>
    <x v="1"/>
    <x v="13"/>
    <s v="Small Business"/>
    <s v="Distributor"/>
    <x v="1"/>
    <n v="2"/>
    <n v="2563.4499999999998"/>
    <n v="5"/>
    <n v="4870.55"/>
    <x v="3"/>
  </r>
  <r>
    <s v="ORD11069"/>
    <d v="2025-02-25T00:00:00"/>
    <x v="4"/>
    <x v="1"/>
    <x v="6"/>
    <x v="1"/>
    <x v="13"/>
    <s v="Corporate"/>
    <s v="Retail Store"/>
    <x v="0"/>
    <n v="4"/>
    <n v="3065.32"/>
    <n v="10"/>
    <n v="11035.14"/>
    <x v="2"/>
  </r>
  <r>
    <s v="ORD12419"/>
    <d v="2025-02-26T00:00:00"/>
    <x v="3"/>
    <x v="1"/>
    <x v="1"/>
    <x v="0"/>
    <x v="8"/>
    <s v="Small Business"/>
    <s v="Online"/>
    <x v="2"/>
    <n v="1"/>
    <n v="45955.24"/>
    <n v="0"/>
    <n v="45955.24"/>
    <x v="2"/>
  </r>
  <r>
    <s v="ORD10422"/>
    <d v="2025-02-27T00:00:00"/>
    <x v="4"/>
    <x v="1"/>
    <x v="5"/>
    <x v="2"/>
    <x v="2"/>
    <s v="Consumer"/>
    <s v="Distributor"/>
    <x v="0"/>
    <n v="2"/>
    <n v="5010.3500000000004"/>
    <n v="0"/>
    <n v="10020.700000000001"/>
    <x v="3"/>
  </r>
  <r>
    <s v="ORD10975"/>
    <d v="2025-02-28T00:00:00"/>
    <x v="4"/>
    <x v="1"/>
    <x v="6"/>
    <x v="0"/>
    <x v="0"/>
    <s v="Consumer"/>
    <s v="Online"/>
    <x v="3"/>
    <n v="4"/>
    <n v="72432.41"/>
    <n v="10"/>
    <n v="260756.67"/>
    <x v="0"/>
  </r>
  <r>
    <s v="ORD12308"/>
    <d v="2025-03-01T00:00:00"/>
    <x v="1"/>
    <x v="2"/>
    <x v="5"/>
    <x v="0"/>
    <x v="6"/>
    <s v="Consumer"/>
    <s v="Online"/>
    <x v="2"/>
    <n v="5"/>
    <n v="66338.42"/>
    <n v="10"/>
    <n v="298522.88"/>
    <x v="3"/>
  </r>
  <r>
    <s v="ORD12202"/>
    <d v="2025-03-02T00:00:00"/>
    <x v="1"/>
    <x v="2"/>
    <x v="9"/>
    <x v="4"/>
    <x v="12"/>
    <s v="Small Business"/>
    <s v="Distributor"/>
    <x v="3"/>
    <n v="1"/>
    <n v="39347.300000000003"/>
    <n v="0"/>
    <n v="39347.300000000003"/>
    <x v="3"/>
  </r>
  <r>
    <s v="ORD11045"/>
    <d v="2025-03-03T00:00:00"/>
    <x v="3"/>
    <x v="2"/>
    <x v="8"/>
    <x v="0"/>
    <x v="18"/>
    <s v="Corporate"/>
    <s v="Online"/>
    <x v="4"/>
    <n v="5"/>
    <n v="66780.06"/>
    <n v="0"/>
    <n v="333900.28000000003"/>
    <x v="3"/>
  </r>
  <r>
    <s v="ORD10917"/>
    <d v="2025-03-04T00:00:00"/>
    <x v="3"/>
    <x v="2"/>
    <x v="2"/>
    <x v="1"/>
    <x v="1"/>
    <s v="Home Office"/>
    <s v="Retail Store"/>
    <x v="1"/>
    <n v="5"/>
    <n v="2969.11"/>
    <n v="10"/>
    <n v="13360.97"/>
    <x v="3"/>
  </r>
  <r>
    <s v="ORD10066"/>
    <d v="2025-03-05T00:00:00"/>
    <x v="4"/>
    <x v="2"/>
    <x v="3"/>
    <x v="3"/>
    <x v="3"/>
    <s v="Consumer"/>
    <s v="Online"/>
    <x v="4"/>
    <n v="2"/>
    <n v="32720.94"/>
    <n v="10"/>
    <n v="58897.69"/>
    <x v="3"/>
  </r>
  <r>
    <s v="ORD11724"/>
    <d v="2025-03-06T00:00:00"/>
    <x v="1"/>
    <x v="2"/>
    <x v="7"/>
    <x v="4"/>
    <x v="9"/>
    <s v="Small Business"/>
    <s v="Retail Store"/>
    <x v="4"/>
    <n v="5"/>
    <n v="34890.080000000002"/>
    <n v="20"/>
    <n v="139560.34"/>
    <x v="3"/>
  </r>
  <r>
    <s v="ORD11891"/>
    <d v="2025-03-07T00:00:00"/>
    <x v="2"/>
    <x v="2"/>
    <x v="4"/>
    <x v="1"/>
    <x v="4"/>
    <s v="Home Office"/>
    <s v="Retail Store"/>
    <x v="0"/>
    <n v="5"/>
    <n v="2446.4"/>
    <n v="15"/>
    <n v="10397.209999999999"/>
    <x v="2"/>
  </r>
  <r>
    <s v="ORD11944"/>
    <d v="2025-03-08T00:00:00"/>
    <x v="3"/>
    <x v="2"/>
    <x v="8"/>
    <x v="0"/>
    <x v="0"/>
    <s v="Corporate"/>
    <s v="Distributor"/>
    <x v="0"/>
    <n v="2"/>
    <n v="44514.27"/>
    <n v="20"/>
    <n v="71222.83"/>
    <x v="1"/>
  </r>
  <r>
    <s v="ORD12079"/>
    <d v="2025-03-09T00:00:00"/>
    <x v="4"/>
    <x v="2"/>
    <x v="5"/>
    <x v="2"/>
    <x v="16"/>
    <s v="Corporate"/>
    <s v="Retail Store"/>
    <x v="1"/>
    <n v="2"/>
    <n v="6154.18"/>
    <n v="5"/>
    <n v="11692.94"/>
    <x v="0"/>
  </r>
  <r>
    <s v="ORD10451"/>
    <d v="2025-03-10T00:00:00"/>
    <x v="0"/>
    <x v="2"/>
    <x v="3"/>
    <x v="4"/>
    <x v="12"/>
    <s v="Consumer"/>
    <s v="Distributor"/>
    <x v="1"/>
    <n v="1"/>
    <n v="42950.53"/>
    <n v="5"/>
    <n v="40803"/>
    <x v="3"/>
  </r>
  <r>
    <s v="ORD11850"/>
    <d v="2025-03-11T00:00:00"/>
    <x v="4"/>
    <x v="2"/>
    <x v="3"/>
    <x v="0"/>
    <x v="6"/>
    <s v="Home Office"/>
    <s v="Distributor"/>
    <x v="4"/>
    <n v="4"/>
    <n v="45723.26"/>
    <n v="5"/>
    <n v="173748.39"/>
    <x v="3"/>
  </r>
  <r>
    <s v="ORD11334"/>
    <d v="2025-03-12T00:00:00"/>
    <x v="1"/>
    <x v="2"/>
    <x v="1"/>
    <x v="4"/>
    <x v="10"/>
    <s v="Corporate"/>
    <s v="Distributor"/>
    <x v="4"/>
    <n v="1"/>
    <n v="47385.87"/>
    <n v="5"/>
    <n v="45016.58"/>
    <x v="3"/>
  </r>
  <r>
    <s v="ORD11625"/>
    <d v="2025-03-13T00:00:00"/>
    <x v="1"/>
    <x v="2"/>
    <x v="4"/>
    <x v="4"/>
    <x v="12"/>
    <s v="Home Office"/>
    <s v="Retail Store"/>
    <x v="2"/>
    <n v="1"/>
    <n v="44655.54"/>
    <n v="10"/>
    <n v="40189.99"/>
    <x v="3"/>
  </r>
  <r>
    <s v="ORD11212"/>
    <d v="2025-03-14T00:00:00"/>
    <x v="0"/>
    <x v="2"/>
    <x v="4"/>
    <x v="1"/>
    <x v="4"/>
    <s v="Home Office"/>
    <s v="Distributor"/>
    <x v="2"/>
    <n v="4"/>
    <n v="2386.06"/>
    <n v="0"/>
    <n v="9544.25"/>
    <x v="3"/>
  </r>
  <r>
    <s v="ORD11837"/>
    <d v="2025-03-15T00:00:00"/>
    <x v="4"/>
    <x v="2"/>
    <x v="8"/>
    <x v="4"/>
    <x v="10"/>
    <s v="Small Business"/>
    <s v="Online"/>
    <x v="4"/>
    <n v="4"/>
    <n v="34501.370000000003"/>
    <n v="10"/>
    <n v="124204.92"/>
    <x v="3"/>
  </r>
  <r>
    <s v="ORD12194"/>
    <d v="2025-03-16T00:00:00"/>
    <x v="0"/>
    <x v="2"/>
    <x v="2"/>
    <x v="1"/>
    <x v="13"/>
    <s v="Home Office"/>
    <s v="Retail Store"/>
    <x v="0"/>
    <n v="1"/>
    <n v="2415.4699999999998"/>
    <n v="15"/>
    <n v="2053.15"/>
    <x v="0"/>
  </r>
  <r>
    <s v="ORD12362"/>
    <d v="2025-03-17T00:00:00"/>
    <x v="4"/>
    <x v="2"/>
    <x v="0"/>
    <x v="2"/>
    <x v="16"/>
    <s v="Consumer"/>
    <s v="Online"/>
    <x v="4"/>
    <n v="3"/>
    <n v="6520.1"/>
    <n v="20"/>
    <n v="15648.23"/>
    <x v="3"/>
  </r>
  <r>
    <s v="ORD11172"/>
    <d v="2025-03-18T00:00:00"/>
    <x v="0"/>
    <x v="2"/>
    <x v="3"/>
    <x v="0"/>
    <x v="8"/>
    <s v="Consumer"/>
    <s v="Distributor"/>
    <x v="2"/>
    <n v="2"/>
    <n v="53309.08"/>
    <n v="0"/>
    <n v="106618.16"/>
    <x v="3"/>
  </r>
  <r>
    <s v="ORD10130"/>
    <d v="2025-03-19T00:00:00"/>
    <x v="2"/>
    <x v="2"/>
    <x v="7"/>
    <x v="0"/>
    <x v="0"/>
    <s v="Small Business"/>
    <s v="Online"/>
    <x v="3"/>
    <n v="2"/>
    <n v="53138.17"/>
    <n v="15"/>
    <n v="90334.89"/>
    <x v="0"/>
  </r>
  <r>
    <s v="ORD10009"/>
    <d v="2025-03-20T00:00:00"/>
    <x v="2"/>
    <x v="2"/>
    <x v="8"/>
    <x v="2"/>
    <x v="11"/>
    <s v="Consumer"/>
    <s v="Retail Store"/>
    <x v="3"/>
    <n v="5"/>
    <n v="5259.09"/>
    <n v="20"/>
    <n v="21036.37"/>
    <x v="2"/>
  </r>
  <r>
    <s v="ORD10634"/>
    <d v="2025-03-21T00:00:00"/>
    <x v="2"/>
    <x v="2"/>
    <x v="7"/>
    <x v="1"/>
    <x v="1"/>
    <s v="Corporate"/>
    <s v="Retail Store"/>
    <x v="1"/>
    <n v="4"/>
    <n v="2445.77"/>
    <n v="0"/>
    <n v="9783.08"/>
    <x v="1"/>
  </r>
  <r>
    <s v="ORD10224"/>
    <d v="2025-03-22T00:00:00"/>
    <x v="1"/>
    <x v="2"/>
    <x v="8"/>
    <x v="1"/>
    <x v="13"/>
    <s v="Corporate"/>
    <s v="Distributor"/>
    <x v="3"/>
    <n v="1"/>
    <n v="2204.2399999999998"/>
    <n v="20"/>
    <n v="1763.4"/>
    <x v="2"/>
  </r>
  <r>
    <s v="ORD12370"/>
    <d v="2025-03-23T00:00:00"/>
    <x v="4"/>
    <x v="2"/>
    <x v="5"/>
    <x v="0"/>
    <x v="6"/>
    <s v="Home Office"/>
    <s v="Online"/>
    <x v="3"/>
    <n v="1"/>
    <n v="60238.48"/>
    <n v="15"/>
    <n v="51202.71"/>
    <x v="2"/>
  </r>
  <r>
    <s v="ORD11870"/>
    <d v="2025-03-24T00:00:00"/>
    <x v="1"/>
    <x v="2"/>
    <x v="0"/>
    <x v="2"/>
    <x v="17"/>
    <s v="Small Business"/>
    <s v="Online"/>
    <x v="1"/>
    <n v="1"/>
    <n v="5565.6"/>
    <n v="0"/>
    <n v="5565.6"/>
    <x v="3"/>
  </r>
  <r>
    <s v="ORD10531"/>
    <d v="2025-03-25T00:00:00"/>
    <x v="4"/>
    <x v="2"/>
    <x v="0"/>
    <x v="3"/>
    <x v="3"/>
    <s v="Corporate"/>
    <s v="Distributor"/>
    <x v="0"/>
    <n v="2"/>
    <n v="35661.07"/>
    <n v="15"/>
    <n v="60623.83"/>
    <x v="3"/>
  </r>
  <r>
    <s v="ORD10457"/>
    <d v="2025-03-26T00:00:00"/>
    <x v="1"/>
    <x v="2"/>
    <x v="2"/>
    <x v="1"/>
    <x v="1"/>
    <s v="Corporate"/>
    <s v="Distributor"/>
    <x v="0"/>
    <n v="3"/>
    <n v="2079.6799999999998"/>
    <n v="15"/>
    <n v="5303.18"/>
    <x v="3"/>
  </r>
  <r>
    <s v="ORD10474"/>
    <d v="2025-03-27T00:00:00"/>
    <x v="3"/>
    <x v="2"/>
    <x v="1"/>
    <x v="4"/>
    <x v="9"/>
    <s v="Consumer"/>
    <s v="Online"/>
    <x v="1"/>
    <n v="5"/>
    <n v="39640.36"/>
    <n v="5"/>
    <n v="188291.72"/>
    <x v="3"/>
  </r>
  <r>
    <s v="ORD12454"/>
    <d v="2025-03-28T00:00:00"/>
    <x v="0"/>
    <x v="2"/>
    <x v="1"/>
    <x v="4"/>
    <x v="5"/>
    <s v="Corporate"/>
    <s v="Online"/>
    <x v="3"/>
    <n v="4"/>
    <n v="44544.45"/>
    <n v="0"/>
    <n v="178177.78"/>
    <x v="3"/>
  </r>
  <r>
    <s v="ORD11407"/>
    <d v="2025-03-29T00:00:00"/>
    <x v="0"/>
    <x v="2"/>
    <x v="4"/>
    <x v="1"/>
    <x v="14"/>
    <s v="Consumer"/>
    <s v="Retail Store"/>
    <x v="1"/>
    <n v="2"/>
    <n v="2115.6"/>
    <n v="5"/>
    <n v="4019.64"/>
    <x v="1"/>
  </r>
  <r>
    <s v="ORD12259"/>
    <d v="2025-03-30T00:00:00"/>
    <x v="2"/>
    <x v="2"/>
    <x v="4"/>
    <x v="4"/>
    <x v="12"/>
    <s v="Corporate"/>
    <s v="Online"/>
    <x v="3"/>
    <n v="1"/>
    <n v="44733.120000000003"/>
    <n v="0"/>
    <n v="44733.120000000003"/>
    <x v="1"/>
  </r>
  <r>
    <s v="ORD10789"/>
    <d v="2025-03-31T00:00:00"/>
    <x v="0"/>
    <x v="2"/>
    <x v="6"/>
    <x v="1"/>
    <x v="14"/>
    <s v="Corporate"/>
    <s v="Online"/>
    <x v="4"/>
    <n v="4"/>
    <n v="2976.11"/>
    <n v="5"/>
    <n v="11309.2"/>
    <x v="3"/>
  </r>
  <r>
    <s v="ORD11118"/>
    <d v="2025-04-01T00:00:00"/>
    <x v="0"/>
    <x v="3"/>
    <x v="3"/>
    <x v="0"/>
    <x v="8"/>
    <s v="Consumer"/>
    <s v="Retail Store"/>
    <x v="4"/>
    <n v="3"/>
    <n v="44718.64"/>
    <n v="5"/>
    <n v="127448.14"/>
    <x v="0"/>
  </r>
  <r>
    <s v="ORD11314"/>
    <d v="2025-04-02T00:00:00"/>
    <x v="4"/>
    <x v="3"/>
    <x v="9"/>
    <x v="1"/>
    <x v="1"/>
    <s v="Consumer"/>
    <s v="Retail Store"/>
    <x v="1"/>
    <n v="3"/>
    <n v="3064.14"/>
    <n v="10"/>
    <n v="8273.19"/>
    <x v="0"/>
  </r>
  <r>
    <s v="ORD11644"/>
    <d v="2025-04-03T00:00:00"/>
    <x v="3"/>
    <x v="3"/>
    <x v="8"/>
    <x v="2"/>
    <x v="2"/>
    <s v="Corporate"/>
    <s v="Online"/>
    <x v="2"/>
    <n v="5"/>
    <n v="6533.63"/>
    <n v="5"/>
    <n v="31034.74"/>
    <x v="1"/>
  </r>
  <r>
    <s v="ORD10205"/>
    <d v="2025-04-04T00:00:00"/>
    <x v="1"/>
    <x v="3"/>
    <x v="7"/>
    <x v="4"/>
    <x v="10"/>
    <s v="Corporate"/>
    <s v="Online"/>
    <x v="1"/>
    <n v="1"/>
    <n v="37682.03"/>
    <n v="20"/>
    <n v="30145.62"/>
    <x v="3"/>
  </r>
  <r>
    <s v="ORD10698"/>
    <d v="2025-04-05T00:00:00"/>
    <x v="3"/>
    <x v="3"/>
    <x v="2"/>
    <x v="4"/>
    <x v="9"/>
    <s v="Small Business"/>
    <s v="Retail Store"/>
    <x v="3"/>
    <n v="5"/>
    <n v="42806.57"/>
    <n v="0"/>
    <n v="214032.85"/>
    <x v="0"/>
  </r>
  <r>
    <s v="ORD12131"/>
    <d v="2025-04-06T00:00:00"/>
    <x v="2"/>
    <x v="3"/>
    <x v="2"/>
    <x v="1"/>
    <x v="1"/>
    <s v="Small Business"/>
    <s v="Retail Store"/>
    <x v="4"/>
    <n v="5"/>
    <n v="2261.29"/>
    <n v="5"/>
    <n v="10741.12"/>
    <x v="0"/>
  </r>
  <r>
    <s v="ORD11457"/>
    <d v="2025-04-07T00:00:00"/>
    <x v="3"/>
    <x v="3"/>
    <x v="6"/>
    <x v="4"/>
    <x v="5"/>
    <s v="Home Office"/>
    <s v="Retail Store"/>
    <x v="3"/>
    <n v="3"/>
    <n v="40138.019999999997"/>
    <n v="0"/>
    <n v="120414.07"/>
    <x v="3"/>
  </r>
  <r>
    <s v="ORD10993"/>
    <d v="2025-04-08T00:00:00"/>
    <x v="3"/>
    <x v="3"/>
    <x v="6"/>
    <x v="1"/>
    <x v="14"/>
    <s v="Consumer"/>
    <s v="Online"/>
    <x v="1"/>
    <n v="5"/>
    <n v="2776.23"/>
    <n v="5"/>
    <n v="13187.09"/>
    <x v="3"/>
  </r>
  <r>
    <s v="ORD11191"/>
    <d v="2025-04-09T00:00:00"/>
    <x v="3"/>
    <x v="3"/>
    <x v="7"/>
    <x v="2"/>
    <x v="2"/>
    <s v="Corporate"/>
    <s v="Retail Store"/>
    <x v="1"/>
    <n v="1"/>
    <n v="5858.99"/>
    <n v="0"/>
    <n v="5858.99"/>
    <x v="2"/>
  </r>
  <r>
    <s v="ORD10307"/>
    <d v="2025-04-10T00:00:00"/>
    <x v="1"/>
    <x v="3"/>
    <x v="2"/>
    <x v="0"/>
    <x v="0"/>
    <s v="Small Business"/>
    <s v="Distributor"/>
    <x v="1"/>
    <n v="4"/>
    <n v="69822.83"/>
    <n v="10"/>
    <n v="251362.19"/>
    <x v="1"/>
  </r>
  <r>
    <s v="ORD11256"/>
    <d v="2025-04-11T00:00:00"/>
    <x v="4"/>
    <x v="3"/>
    <x v="9"/>
    <x v="0"/>
    <x v="18"/>
    <s v="Corporate"/>
    <s v="Distributor"/>
    <x v="0"/>
    <n v="1"/>
    <n v="71063.05"/>
    <n v="0"/>
    <n v="71063.05"/>
    <x v="2"/>
  </r>
  <r>
    <s v="ORD11261"/>
    <d v="2025-04-12T00:00:00"/>
    <x v="2"/>
    <x v="3"/>
    <x v="5"/>
    <x v="3"/>
    <x v="3"/>
    <s v="Home Office"/>
    <s v="Distributor"/>
    <x v="2"/>
    <n v="5"/>
    <n v="29936.75"/>
    <n v="0"/>
    <n v="149683.73000000001"/>
    <x v="0"/>
  </r>
  <r>
    <s v="ORD11171"/>
    <d v="2025-04-13T00:00:00"/>
    <x v="2"/>
    <x v="3"/>
    <x v="3"/>
    <x v="1"/>
    <x v="14"/>
    <s v="Home Office"/>
    <s v="Online"/>
    <x v="0"/>
    <n v="5"/>
    <n v="1966.18"/>
    <n v="15"/>
    <n v="8356.26"/>
    <x v="2"/>
  </r>
  <r>
    <s v="ORD11068"/>
    <d v="2025-04-14T00:00:00"/>
    <x v="3"/>
    <x v="3"/>
    <x v="5"/>
    <x v="1"/>
    <x v="13"/>
    <s v="Small Business"/>
    <s v="Retail Store"/>
    <x v="3"/>
    <n v="1"/>
    <n v="2312.46"/>
    <n v="10"/>
    <n v="2081.21"/>
    <x v="3"/>
  </r>
  <r>
    <s v="ORD10877"/>
    <d v="2025-04-15T00:00:00"/>
    <x v="1"/>
    <x v="3"/>
    <x v="8"/>
    <x v="1"/>
    <x v="13"/>
    <s v="Consumer"/>
    <s v="Distributor"/>
    <x v="4"/>
    <n v="3"/>
    <n v="2016.94"/>
    <n v="5"/>
    <n v="5748.28"/>
    <x v="0"/>
  </r>
  <r>
    <s v="ORD11416"/>
    <d v="2025-04-16T00:00:00"/>
    <x v="1"/>
    <x v="3"/>
    <x v="8"/>
    <x v="2"/>
    <x v="17"/>
    <s v="Consumer"/>
    <s v="Retail Store"/>
    <x v="3"/>
    <n v="3"/>
    <n v="6883.92"/>
    <n v="15"/>
    <n v="17554"/>
    <x v="1"/>
  </r>
  <r>
    <s v="ORD10569"/>
    <d v="2025-04-17T00:00:00"/>
    <x v="4"/>
    <x v="3"/>
    <x v="2"/>
    <x v="3"/>
    <x v="7"/>
    <s v="Small Business"/>
    <s v="Distributor"/>
    <x v="2"/>
    <n v="1"/>
    <n v="36458.050000000003"/>
    <n v="10"/>
    <n v="32812.25"/>
    <x v="2"/>
  </r>
  <r>
    <s v="ORD12412"/>
    <d v="2025-04-18T00:00:00"/>
    <x v="4"/>
    <x v="3"/>
    <x v="1"/>
    <x v="2"/>
    <x v="11"/>
    <s v="Small Business"/>
    <s v="Retail Store"/>
    <x v="2"/>
    <n v="1"/>
    <n v="6611.58"/>
    <n v="5"/>
    <n v="6281"/>
    <x v="0"/>
  </r>
  <r>
    <s v="ORD11018"/>
    <d v="2025-04-19T00:00:00"/>
    <x v="0"/>
    <x v="3"/>
    <x v="1"/>
    <x v="4"/>
    <x v="12"/>
    <s v="Corporate"/>
    <s v="Retail Store"/>
    <x v="1"/>
    <n v="1"/>
    <n v="34378.199999999997"/>
    <n v="5"/>
    <n v="32659.29"/>
    <x v="3"/>
  </r>
  <r>
    <s v="ORD11651"/>
    <d v="2025-04-20T00:00:00"/>
    <x v="3"/>
    <x v="3"/>
    <x v="9"/>
    <x v="3"/>
    <x v="15"/>
    <s v="Consumer"/>
    <s v="Distributor"/>
    <x v="0"/>
    <n v="4"/>
    <n v="31399.78"/>
    <n v="15"/>
    <n v="106759.27"/>
    <x v="1"/>
  </r>
  <r>
    <s v="ORD12087"/>
    <d v="2025-04-21T00:00:00"/>
    <x v="4"/>
    <x v="3"/>
    <x v="0"/>
    <x v="2"/>
    <x v="17"/>
    <s v="Home Office"/>
    <s v="Distributor"/>
    <x v="4"/>
    <n v="2"/>
    <n v="7508.91"/>
    <n v="0"/>
    <n v="15017.82"/>
    <x v="0"/>
  </r>
  <r>
    <s v="ORD10268"/>
    <d v="2025-04-22T00:00:00"/>
    <x v="3"/>
    <x v="3"/>
    <x v="9"/>
    <x v="4"/>
    <x v="9"/>
    <s v="Home Office"/>
    <s v="Retail Store"/>
    <x v="4"/>
    <n v="3"/>
    <n v="43013.05"/>
    <n v="5"/>
    <n v="122587.2"/>
    <x v="0"/>
  </r>
  <r>
    <s v="ORD10059"/>
    <d v="2025-04-23T00:00:00"/>
    <x v="3"/>
    <x v="3"/>
    <x v="1"/>
    <x v="0"/>
    <x v="18"/>
    <s v="Corporate"/>
    <s v="Distributor"/>
    <x v="4"/>
    <n v="1"/>
    <n v="44509.04"/>
    <n v="0"/>
    <n v="44509.04"/>
    <x v="3"/>
  </r>
  <r>
    <s v="ORD10091"/>
    <d v="2025-04-24T00:00:00"/>
    <x v="1"/>
    <x v="3"/>
    <x v="2"/>
    <x v="2"/>
    <x v="11"/>
    <s v="Home Office"/>
    <s v="Online"/>
    <x v="3"/>
    <n v="1"/>
    <n v="7813.96"/>
    <n v="5"/>
    <n v="7423.26"/>
    <x v="2"/>
  </r>
  <r>
    <s v="ORD10349"/>
    <d v="2025-04-25T00:00:00"/>
    <x v="4"/>
    <x v="3"/>
    <x v="2"/>
    <x v="3"/>
    <x v="19"/>
    <s v="Home Office"/>
    <s v="Retail Store"/>
    <x v="3"/>
    <n v="5"/>
    <n v="38754.839999999997"/>
    <n v="10"/>
    <n v="174396.79"/>
    <x v="1"/>
  </r>
  <r>
    <s v="ORD10310"/>
    <d v="2025-04-26T00:00:00"/>
    <x v="2"/>
    <x v="3"/>
    <x v="9"/>
    <x v="0"/>
    <x v="6"/>
    <s v="Consumer"/>
    <s v="Online"/>
    <x v="1"/>
    <n v="4"/>
    <n v="45320.24"/>
    <n v="0"/>
    <n v="181280.95"/>
    <x v="3"/>
  </r>
  <r>
    <s v="ORD12098"/>
    <d v="2025-04-27T00:00:00"/>
    <x v="0"/>
    <x v="3"/>
    <x v="3"/>
    <x v="4"/>
    <x v="12"/>
    <s v="Consumer"/>
    <s v="Retail Store"/>
    <x v="2"/>
    <n v="1"/>
    <n v="40920.69"/>
    <n v="10"/>
    <n v="36828.620000000003"/>
    <x v="3"/>
  </r>
  <r>
    <s v="ORD10821"/>
    <d v="2025-04-28T00:00:00"/>
    <x v="4"/>
    <x v="3"/>
    <x v="0"/>
    <x v="0"/>
    <x v="8"/>
    <s v="Small Business"/>
    <s v="Retail Store"/>
    <x v="0"/>
    <n v="4"/>
    <n v="69735.91"/>
    <n v="10"/>
    <n v="251049.29"/>
    <x v="3"/>
  </r>
  <r>
    <s v="ORD12420"/>
    <d v="2025-04-29T00:00:00"/>
    <x v="0"/>
    <x v="3"/>
    <x v="5"/>
    <x v="3"/>
    <x v="19"/>
    <s v="Home Office"/>
    <s v="Online"/>
    <x v="2"/>
    <n v="3"/>
    <n v="35086.699999999997"/>
    <n v="10"/>
    <n v="94734.080000000002"/>
    <x v="0"/>
  </r>
  <r>
    <s v="ORD10790"/>
    <d v="2025-04-30T00:00:00"/>
    <x v="1"/>
    <x v="3"/>
    <x v="9"/>
    <x v="1"/>
    <x v="4"/>
    <s v="Corporate"/>
    <s v="Distributor"/>
    <x v="2"/>
    <n v="4"/>
    <n v="2048.14"/>
    <n v="5"/>
    <n v="7782.93"/>
    <x v="3"/>
  </r>
  <r>
    <s v="ORD11629"/>
    <d v="2025-05-01T00:00:00"/>
    <x v="1"/>
    <x v="4"/>
    <x v="8"/>
    <x v="4"/>
    <x v="12"/>
    <s v="Small Business"/>
    <s v="Retail Store"/>
    <x v="1"/>
    <n v="1"/>
    <n v="49338.45"/>
    <n v="20"/>
    <n v="39470.76"/>
    <x v="1"/>
  </r>
  <r>
    <s v="ORD11739"/>
    <d v="2025-05-02T00:00:00"/>
    <x v="2"/>
    <x v="4"/>
    <x v="2"/>
    <x v="1"/>
    <x v="13"/>
    <s v="Small Business"/>
    <s v="Retail Store"/>
    <x v="2"/>
    <n v="1"/>
    <n v="2846.36"/>
    <n v="5"/>
    <n v="2704.04"/>
    <x v="3"/>
  </r>
  <r>
    <s v="ORD12105"/>
    <d v="2025-05-03T00:00:00"/>
    <x v="3"/>
    <x v="4"/>
    <x v="2"/>
    <x v="1"/>
    <x v="13"/>
    <s v="Home Office"/>
    <s v="Online"/>
    <x v="0"/>
    <n v="3"/>
    <n v="2992.41"/>
    <n v="5"/>
    <n v="8528.36"/>
    <x v="3"/>
  </r>
  <r>
    <s v="ORD11312"/>
    <d v="2025-05-04T00:00:00"/>
    <x v="2"/>
    <x v="4"/>
    <x v="1"/>
    <x v="2"/>
    <x v="2"/>
    <s v="Home Office"/>
    <s v="Online"/>
    <x v="4"/>
    <n v="1"/>
    <n v="6843.57"/>
    <n v="0"/>
    <n v="6843.57"/>
    <x v="3"/>
  </r>
  <r>
    <s v="ORD11290"/>
    <d v="2025-05-05T00:00:00"/>
    <x v="2"/>
    <x v="4"/>
    <x v="2"/>
    <x v="3"/>
    <x v="7"/>
    <s v="Home Office"/>
    <s v="Distributor"/>
    <x v="1"/>
    <n v="5"/>
    <n v="26484.240000000002"/>
    <n v="5"/>
    <n v="125800.15"/>
    <x v="3"/>
  </r>
  <r>
    <s v="ORD11967"/>
    <d v="2025-05-06T00:00:00"/>
    <x v="2"/>
    <x v="4"/>
    <x v="4"/>
    <x v="4"/>
    <x v="12"/>
    <s v="Consumer"/>
    <s v="Retail Store"/>
    <x v="3"/>
    <n v="3"/>
    <n v="48914.239999999998"/>
    <n v="0"/>
    <n v="146742.72"/>
    <x v="3"/>
  </r>
  <r>
    <s v="ORD10161"/>
    <d v="2025-05-07T00:00:00"/>
    <x v="2"/>
    <x v="4"/>
    <x v="2"/>
    <x v="4"/>
    <x v="12"/>
    <s v="Home Office"/>
    <s v="Distributor"/>
    <x v="2"/>
    <n v="1"/>
    <n v="47043.92"/>
    <n v="10"/>
    <n v="42339.53"/>
    <x v="3"/>
  </r>
  <r>
    <s v="ORD10131"/>
    <d v="2025-05-08T00:00:00"/>
    <x v="3"/>
    <x v="4"/>
    <x v="3"/>
    <x v="1"/>
    <x v="14"/>
    <s v="Consumer"/>
    <s v="Retail Store"/>
    <x v="1"/>
    <n v="4"/>
    <n v="3025.58"/>
    <n v="15"/>
    <n v="10286.959999999999"/>
    <x v="3"/>
  </r>
  <r>
    <s v="ORD10201"/>
    <d v="2025-05-09T00:00:00"/>
    <x v="4"/>
    <x v="4"/>
    <x v="3"/>
    <x v="0"/>
    <x v="0"/>
    <s v="Corporate"/>
    <s v="Retail Store"/>
    <x v="1"/>
    <n v="4"/>
    <n v="59605.29"/>
    <n v="5"/>
    <n v="226500.09"/>
    <x v="3"/>
  </r>
  <r>
    <s v="ORD12205"/>
    <d v="2025-05-10T00:00:00"/>
    <x v="3"/>
    <x v="4"/>
    <x v="9"/>
    <x v="3"/>
    <x v="15"/>
    <s v="Home Office"/>
    <s v="Retail Store"/>
    <x v="4"/>
    <n v="1"/>
    <n v="38826.54"/>
    <n v="15"/>
    <n v="33002.559999999998"/>
    <x v="2"/>
  </r>
  <r>
    <s v="ORD10887"/>
    <d v="2025-05-11T00:00:00"/>
    <x v="1"/>
    <x v="4"/>
    <x v="0"/>
    <x v="1"/>
    <x v="13"/>
    <s v="Corporate"/>
    <s v="Distributor"/>
    <x v="2"/>
    <n v="4"/>
    <n v="3124.63"/>
    <n v="15"/>
    <n v="10623.74"/>
    <x v="2"/>
  </r>
  <r>
    <s v="ORD10565"/>
    <d v="2025-05-12T00:00:00"/>
    <x v="0"/>
    <x v="4"/>
    <x v="8"/>
    <x v="1"/>
    <x v="13"/>
    <s v="Corporate"/>
    <s v="Online"/>
    <x v="4"/>
    <n v="1"/>
    <n v="2033.6"/>
    <n v="0"/>
    <n v="2033.6"/>
    <x v="3"/>
  </r>
  <r>
    <s v="ORD10853"/>
    <d v="2025-05-13T00:00:00"/>
    <x v="2"/>
    <x v="4"/>
    <x v="1"/>
    <x v="0"/>
    <x v="18"/>
    <s v="Consumer"/>
    <s v="Retail Store"/>
    <x v="0"/>
    <n v="5"/>
    <n v="71445.070000000007"/>
    <n v="0"/>
    <n v="357225.36"/>
    <x v="2"/>
  </r>
  <r>
    <s v="ORD12482"/>
    <d v="2025-05-14T00:00:00"/>
    <x v="4"/>
    <x v="4"/>
    <x v="7"/>
    <x v="2"/>
    <x v="2"/>
    <s v="Consumer"/>
    <s v="Retail Store"/>
    <x v="0"/>
    <n v="3"/>
    <n v="6883.24"/>
    <n v="5"/>
    <n v="19617.240000000002"/>
    <x v="2"/>
  </r>
  <r>
    <s v="ORD10308"/>
    <d v="2025-05-15T00:00:00"/>
    <x v="1"/>
    <x v="4"/>
    <x v="3"/>
    <x v="4"/>
    <x v="9"/>
    <s v="Consumer"/>
    <s v="Online"/>
    <x v="3"/>
    <n v="5"/>
    <n v="39737.269999999997"/>
    <n v="5"/>
    <n v="188752.03"/>
    <x v="3"/>
  </r>
  <r>
    <s v="ORD12149"/>
    <d v="2025-05-16T00:00:00"/>
    <x v="1"/>
    <x v="4"/>
    <x v="8"/>
    <x v="1"/>
    <x v="14"/>
    <s v="Corporate"/>
    <s v="Online"/>
    <x v="2"/>
    <n v="1"/>
    <n v="2501.34"/>
    <n v="10"/>
    <n v="2251.21"/>
    <x v="3"/>
  </r>
  <r>
    <s v="ORD11708"/>
    <d v="2025-05-17T00:00:00"/>
    <x v="0"/>
    <x v="4"/>
    <x v="9"/>
    <x v="4"/>
    <x v="12"/>
    <s v="Small Business"/>
    <s v="Online"/>
    <x v="2"/>
    <n v="4"/>
    <n v="32000.47"/>
    <n v="0"/>
    <n v="128001.88"/>
    <x v="3"/>
  </r>
  <r>
    <s v="ORD11666"/>
    <d v="2025-05-18T00:00:00"/>
    <x v="0"/>
    <x v="4"/>
    <x v="5"/>
    <x v="4"/>
    <x v="12"/>
    <s v="Consumer"/>
    <s v="Distributor"/>
    <x v="4"/>
    <n v="4"/>
    <n v="46929.85"/>
    <n v="10"/>
    <n v="168947.45"/>
    <x v="3"/>
  </r>
  <r>
    <s v="ORD11296"/>
    <d v="2025-05-19T00:00:00"/>
    <x v="3"/>
    <x v="4"/>
    <x v="6"/>
    <x v="4"/>
    <x v="12"/>
    <s v="Consumer"/>
    <s v="Retail Store"/>
    <x v="4"/>
    <n v="5"/>
    <n v="34090.9"/>
    <n v="0"/>
    <n v="170454.48"/>
    <x v="3"/>
  </r>
  <r>
    <s v="ORD12411"/>
    <d v="2025-05-20T00:00:00"/>
    <x v="1"/>
    <x v="4"/>
    <x v="6"/>
    <x v="2"/>
    <x v="16"/>
    <s v="Consumer"/>
    <s v="Retail Store"/>
    <x v="3"/>
    <n v="4"/>
    <n v="5504.34"/>
    <n v="15"/>
    <n v="18714.740000000002"/>
    <x v="1"/>
  </r>
  <r>
    <s v="ORD12473"/>
    <d v="2025-05-21T00:00:00"/>
    <x v="3"/>
    <x v="4"/>
    <x v="5"/>
    <x v="2"/>
    <x v="11"/>
    <s v="Consumer"/>
    <s v="Online"/>
    <x v="3"/>
    <n v="2"/>
    <n v="6799.58"/>
    <n v="5"/>
    <n v="12919.21"/>
    <x v="3"/>
  </r>
  <r>
    <s v="ORD10178"/>
    <d v="2025-05-22T00:00:00"/>
    <x v="0"/>
    <x v="4"/>
    <x v="5"/>
    <x v="4"/>
    <x v="10"/>
    <s v="Home Office"/>
    <s v="Retail Store"/>
    <x v="4"/>
    <n v="4"/>
    <n v="43322.03"/>
    <n v="20"/>
    <n v="138630.48000000001"/>
    <x v="3"/>
  </r>
  <r>
    <s v="ORD11511"/>
    <d v="2025-05-23T00:00:00"/>
    <x v="3"/>
    <x v="4"/>
    <x v="4"/>
    <x v="1"/>
    <x v="4"/>
    <s v="Home Office"/>
    <s v="Online"/>
    <x v="4"/>
    <n v="3"/>
    <n v="2036.41"/>
    <n v="10"/>
    <n v="5498.31"/>
    <x v="2"/>
  </r>
  <r>
    <s v="ORD11547"/>
    <d v="2025-05-24T00:00:00"/>
    <x v="1"/>
    <x v="4"/>
    <x v="4"/>
    <x v="0"/>
    <x v="0"/>
    <s v="Home Office"/>
    <s v="Retail Store"/>
    <x v="1"/>
    <n v="5"/>
    <n v="58040.02"/>
    <n v="15"/>
    <n v="246670.1"/>
    <x v="3"/>
  </r>
  <r>
    <s v="ORD12471"/>
    <d v="2025-05-25T00:00:00"/>
    <x v="2"/>
    <x v="4"/>
    <x v="2"/>
    <x v="4"/>
    <x v="10"/>
    <s v="Small Business"/>
    <s v="Distributor"/>
    <x v="1"/>
    <n v="3"/>
    <n v="33147.79"/>
    <n v="5"/>
    <n v="94471.21"/>
    <x v="0"/>
  </r>
  <r>
    <s v="ORD11168"/>
    <d v="2025-05-26T00:00:00"/>
    <x v="3"/>
    <x v="4"/>
    <x v="0"/>
    <x v="2"/>
    <x v="11"/>
    <s v="Consumer"/>
    <s v="Distributor"/>
    <x v="4"/>
    <n v="2"/>
    <n v="6634.3"/>
    <n v="5"/>
    <n v="12605.17"/>
    <x v="3"/>
  </r>
  <r>
    <s v="ORD10125"/>
    <d v="2025-05-27T00:00:00"/>
    <x v="3"/>
    <x v="4"/>
    <x v="8"/>
    <x v="2"/>
    <x v="17"/>
    <s v="Consumer"/>
    <s v="Retail Store"/>
    <x v="2"/>
    <n v="4"/>
    <n v="7597.55"/>
    <n v="15"/>
    <n v="25831.67"/>
    <x v="3"/>
  </r>
  <r>
    <s v="ORD12220"/>
    <d v="2025-05-28T00:00:00"/>
    <x v="0"/>
    <x v="4"/>
    <x v="9"/>
    <x v="1"/>
    <x v="14"/>
    <s v="Consumer"/>
    <s v="Retail Store"/>
    <x v="2"/>
    <n v="2"/>
    <n v="3048.75"/>
    <n v="0"/>
    <n v="6097.5"/>
    <x v="0"/>
  </r>
  <r>
    <s v="ORD10103"/>
    <d v="2025-05-29T00:00:00"/>
    <x v="0"/>
    <x v="4"/>
    <x v="6"/>
    <x v="0"/>
    <x v="18"/>
    <s v="Small Business"/>
    <s v="Online"/>
    <x v="1"/>
    <n v="5"/>
    <n v="70054.720000000001"/>
    <n v="10"/>
    <n v="315246.23"/>
    <x v="3"/>
  </r>
  <r>
    <s v="ORD10782"/>
    <d v="2025-05-30T00:00:00"/>
    <x v="3"/>
    <x v="4"/>
    <x v="6"/>
    <x v="3"/>
    <x v="3"/>
    <s v="Corporate"/>
    <s v="Retail Store"/>
    <x v="0"/>
    <n v="1"/>
    <n v="28651.61"/>
    <n v="10"/>
    <n v="25786.45"/>
    <x v="0"/>
  </r>
  <r>
    <s v="ORD11733"/>
    <d v="2025-05-31T00:00:00"/>
    <x v="2"/>
    <x v="4"/>
    <x v="8"/>
    <x v="1"/>
    <x v="14"/>
    <s v="Home Office"/>
    <s v="Distributor"/>
    <x v="0"/>
    <n v="4"/>
    <n v="3106.05"/>
    <n v="5"/>
    <n v="11802.98"/>
    <x v="3"/>
  </r>
  <r>
    <s v="ORD10797"/>
    <d v="2025-06-01T00:00:00"/>
    <x v="2"/>
    <x v="5"/>
    <x v="4"/>
    <x v="3"/>
    <x v="7"/>
    <s v="Small Business"/>
    <s v="Retail Store"/>
    <x v="3"/>
    <n v="4"/>
    <n v="27841.47"/>
    <n v="5"/>
    <n v="105797.59"/>
    <x v="3"/>
  </r>
  <r>
    <s v="ORD11901"/>
    <d v="2025-06-02T00:00:00"/>
    <x v="4"/>
    <x v="5"/>
    <x v="1"/>
    <x v="1"/>
    <x v="1"/>
    <s v="Consumer"/>
    <s v="Online"/>
    <x v="2"/>
    <n v="4"/>
    <n v="1894.67"/>
    <n v="5"/>
    <n v="7199.76"/>
    <x v="2"/>
  </r>
  <r>
    <s v="ORD11475"/>
    <d v="2025-06-03T00:00:00"/>
    <x v="3"/>
    <x v="5"/>
    <x v="1"/>
    <x v="0"/>
    <x v="0"/>
    <s v="Small Business"/>
    <s v="Online"/>
    <x v="0"/>
    <n v="1"/>
    <n v="66556.62"/>
    <n v="0"/>
    <n v="66556.62"/>
    <x v="0"/>
  </r>
  <r>
    <s v="ORD12015"/>
    <d v="2025-06-04T00:00:00"/>
    <x v="3"/>
    <x v="5"/>
    <x v="5"/>
    <x v="2"/>
    <x v="16"/>
    <s v="Consumer"/>
    <s v="Distributor"/>
    <x v="3"/>
    <n v="1"/>
    <n v="7753.48"/>
    <n v="0"/>
    <n v="7753.48"/>
    <x v="0"/>
  </r>
  <r>
    <s v="ORD10697"/>
    <d v="2025-06-05T00:00:00"/>
    <x v="3"/>
    <x v="5"/>
    <x v="8"/>
    <x v="1"/>
    <x v="4"/>
    <s v="Corporate"/>
    <s v="Distributor"/>
    <x v="2"/>
    <n v="2"/>
    <n v="2316.0100000000002"/>
    <n v="15"/>
    <n v="3937.22"/>
    <x v="3"/>
  </r>
  <r>
    <s v="ORD10256"/>
    <d v="2025-06-06T00:00:00"/>
    <x v="0"/>
    <x v="5"/>
    <x v="4"/>
    <x v="4"/>
    <x v="12"/>
    <s v="Small Business"/>
    <s v="Retail Store"/>
    <x v="2"/>
    <n v="1"/>
    <n v="43663.77"/>
    <n v="5"/>
    <n v="41480.589999999997"/>
    <x v="2"/>
  </r>
  <r>
    <s v="ORD10079"/>
    <d v="2025-06-07T00:00:00"/>
    <x v="4"/>
    <x v="5"/>
    <x v="3"/>
    <x v="0"/>
    <x v="18"/>
    <s v="Corporate"/>
    <s v="Online"/>
    <x v="1"/>
    <n v="1"/>
    <n v="59212.56"/>
    <n v="5"/>
    <n v="56251.93"/>
    <x v="3"/>
  </r>
  <r>
    <s v="ORD10737"/>
    <d v="2025-06-08T00:00:00"/>
    <x v="0"/>
    <x v="5"/>
    <x v="8"/>
    <x v="3"/>
    <x v="7"/>
    <s v="Corporate"/>
    <s v="Retail Store"/>
    <x v="1"/>
    <n v="1"/>
    <n v="27155.19"/>
    <n v="10"/>
    <n v="24439.68"/>
    <x v="3"/>
  </r>
  <r>
    <s v="ORD10851"/>
    <d v="2025-06-09T00:00:00"/>
    <x v="4"/>
    <x v="5"/>
    <x v="0"/>
    <x v="3"/>
    <x v="15"/>
    <s v="Corporate"/>
    <s v="Online"/>
    <x v="2"/>
    <n v="4"/>
    <n v="25235.360000000001"/>
    <n v="5"/>
    <n v="95894.35"/>
    <x v="0"/>
  </r>
  <r>
    <s v="ORD11283"/>
    <d v="2025-06-10T00:00:00"/>
    <x v="0"/>
    <x v="5"/>
    <x v="3"/>
    <x v="4"/>
    <x v="5"/>
    <s v="Small Business"/>
    <s v="Retail Store"/>
    <x v="2"/>
    <n v="4"/>
    <n v="43939.43"/>
    <n v="0"/>
    <n v="175757.72"/>
    <x v="3"/>
  </r>
  <r>
    <s v="ORD10623"/>
    <d v="2025-06-11T00:00:00"/>
    <x v="2"/>
    <x v="5"/>
    <x v="8"/>
    <x v="3"/>
    <x v="15"/>
    <s v="Small Business"/>
    <s v="Online"/>
    <x v="2"/>
    <n v="1"/>
    <n v="28303.79"/>
    <n v="0"/>
    <n v="28303.79"/>
    <x v="3"/>
  </r>
  <r>
    <s v="ORD10117"/>
    <d v="2025-06-12T00:00:00"/>
    <x v="1"/>
    <x v="5"/>
    <x v="3"/>
    <x v="0"/>
    <x v="18"/>
    <s v="Small Business"/>
    <s v="Online"/>
    <x v="1"/>
    <n v="1"/>
    <n v="56640.160000000003"/>
    <n v="20"/>
    <n v="45312.12"/>
    <x v="3"/>
  </r>
  <r>
    <s v="ORD10631"/>
    <d v="2025-06-13T00:00:00"/>
    <x v="4"/>
    <x v="5"/>
    <x v="4"/>
    <x v="0"/>
    <x v="8"/>
    <s v="Small Business"/>
    <s v="Retail Store"/>
    <x v="0"/>
    <n v="3"/>
    <n v="47170.78"/>
    <n v="15"/>
    <n v="120285.5"/>
    <x v="1"/>
  </r>
  <r>
    <s v="ORD10497"/>
    <d v="2025-06-14T00:00:00"/>
    <x v="3"/>
    <x v="5"/>
    <x v="1"/>
    <x v="3"/>
    <x v="15"/>
    <s v="Home Office"/>
    <s v="Online"/>
    <x v="1"/>
    <n v="1"/>
    <n v="39040.26"/>
    <n v="5"/>
    <n v="37088.25"/>
    <x v="1"/>
  </r>
  <r>
    <s v="ORD12255"/>
    <d v="2025-06-15T00:00:00"/>
    <x v="2"/>
    <x v="5"/>
    <x v="9"/>
    <x v="0"/>
    <x v="6"/>
    <s v="Small Business"/>
    <s v="Online"/>
    <x v="1"/>
    <n v="2"/>
    <n v="66940.89"/>
    <n v="0"/>
    <n v="133881.78"/>
    <x v="3"/>
  </r>
  <r>
    <s v="ORD11001"/>
    <d v="2025-06-16T00:00:00"/>
    <x v="0"/>
    <x v="5"/>
    <x v="4"/>
    <x v="0"/>
    <x v="6"/>
    <s v="Small Business"/>
    <s v="Distributor"/>
    <x v="1"/>
    <n v="4"/>
    <n v="52167.42"/>
    <n v="15"/>
    <n v="177369.22"/>
    <x v="0"/>
  </r>
  <r>
    <s v="ORD11017"/>
    <d v="2025-06-17T00:00:00"/>
    <x v="4"/>
    <x v="5"/>
    <x v="8"/>
    <x v="2"/>
    <x v="17"/>
    <s v="Consumer"/>
    <s v="Retail Store"/>
    <x v="2"/>
    <n v="4"/>
    <n v="6827.02"/>
    <n v="10"/>
    <n v="24577.26"/>
    <x v="1"/>
  </r>
  <r>
    <s v="ORD10388"/>
    <d v="2025-06-18T00:00:00"/>
    <x v="1"/>
    <x v="5"/>
    <x v="8"/>
    <x v="2"/>
    <x v="17"/>
    <s v="Consumer"/>
    <s v="Distributor"/>
    <x v="2"/>
    <n v="2"/>
    <n v="5947.62"/>
    <n v="5"/>
    <n v="11300.48"/>
    <x v="0"/>
  </r>
  <r>
    <s v="ORD10192"/>
    <d v="2025-06-19T00:00:00"/>
    <x v="4"/>
    <x v="5"/>
    <x v="6"/>
    <x v="0"/>
    <x v="0"/>
    <s v="Home Office"/>
    <s v="Online"/>
    <x v="1"/>
    <n v="2"/>
    <n v="69670.399999999994"/>
    <n v="5"/>
    <n v="132373.76000000001"/>
    <x v="0"/>
  </r>
  <r>
    <s v="ORD10595"/>
    <d v="2025-06-20T00:00:00"/>
    <x v="1"/>
    <x v="5"/>
    <x v="7"/>
    <x v="1"/>
    <x v="4"/>
    <s v="Consumer"/>
    <s v="Online"/>
    <x v="0"/>
    <n v="5"/>
    <n v="2214.9699999999998"/>
    <n v="10"/>
    <n v="9967.3700000000008"/>
    <x v="2"/>
  </r>
  <r>
    <s v="ORD10827"/>
    <d v="2025-06-21T00:00:00"/>
    <x v="0"/>
    <x v="5"/>
    <x v="4"/>
    <x v="0"/>
    <x v="0"/>
    <s v="Home Office"/>
    <s v="Retail Store"/>
    <x v="0"/>
    <n v="5"/>
    <n v="49285.18"/>
    <n v="15"/>
    <n v="209462.02"/>
    <x v="0"/>
  </r>
  <r>
    <s v="ORD11177"/>
    <d v="2025-06-22T00:00:00"/>
    <x v="1"/>
    <x v="5"/>
    <x v="5"/>
    <x v="1"/>
    <x v="4"/>
    <s v="Home Office"/>
    <s v="Online"/>
    <x v="0"/>
    <n v="2"/>
    <n v="2766.18"/>
    <n v="5"/>
    <n v="5255.73"/>
    <x v="3"/>
  </r>
  <r>
    <s v="ORD10617"/>
    <d v="2025-06-23T00:00:00"/>
    <x v="2"/>
    <x v="5"/>
    <x v="0"/>
    <x v="1"/>
    <x v="4"/>
    <s v="Home Office"/>
    <s v="Retail Store"/>
    <x v="1"/>
    <n v="3"/>
    <n v="2478.84"/>
    <n v="20"/>
    <n v="5949.22"/>
    <x v="2"/>
  </r>
  <r>
    <s v="ORD10137"/>
    <d v="2025-06-24T00:00:00"/>
    <x v="3"/>
    <x v="5"/>
    <x v="0"/>
    <x v="3"/>
    <x v="19"/>
    <s v="Small Business"/>
    <s v="Retail Store"/>
    <x v="4"/>
    <n v="3"/>
    <n v="35386.29"/>
    <n v="0"/>
    <n v="106158.87"/>
    <x v="3"/>
  </r>
  <r>
    <s v="ORD11352"/>
    <d v="2025-06-25T00:00:00"/>
    <x v="4"/>
    <x v="5"/>
    <x v="6"/>
    <x v="3"/>
    <x v="7"/>
    <s v="Consumer"/>
    <s v="Online"/>
    <x v="2"/>
    <n v="3"/>
    <n v="33095.75"/>
    <n v="15"/>
    <n v="84394.16"/>
    <x v="2"/>
  </r>
  <r>
    <s v="ORD12296"/>
    <d v="2025-06-26T00:00:00"/>
    <x v="1"/>
    <x v="5"/>
    <x v="3"/>
    <x v="2"/>
    <x v="2"/>
    <s v="Home Office"/>
    <s v="Online"/>
    <x v="0"/>
    <n v="5"/>
    <n v="5981.98"/>
    <n v="5"/>
    <n v="28414.38"/>
    <x v="0"/>
  </r>
  <r>
    <s v="ORD11328"/>
    <d v="2025-06-27T00:00:00"/>
    <x v="3"/>
    <x v="5"/>
    <x v="1"/>
    <x v="1"/>
    <x v="1"/>
    <s v="Corporate"/>
    <s v="Online"/>
    <x v="1"/>
    <n v="5"/>
    <n v="2778.77"/>
    <n v="15"/>
    <n v="11809.77"/>
    <x v="3"/>
  </r>
  <r>
    <s v="ORD10848"/>
    <d v="2025-06-28T00:00:00"/>
    <x v="1"/>
    <x v="5"/>
    <x v="4"/>
    <x v="3"/>
    <x v="15"/>
    <s v="Small Business"/>
    <s v="Distributor"/>
    <x v="4"/>
    <n v="2"/>
    <n v="28758.23"/>
    <n v="0"/>
    <n v="57516.46"/>
    <x v="3"/>
  </r>
  <r>
    <s v="ORD10043"/>
    <d v="2025-06-29T00:00:00"/>
    <x v="1"/>
    <x v="5"/>
    <x v="5"/>
    <x v="0"/>
    <x v="8"/>
    <s v="Home Office"/>
    <s v="Retail Store"/>
    <x v="2"/>
    <n v="2"/>
    <n v="49032.76"/>
    <n v="15"/>
    <n v="83355.69"/>
    <x v="0"/>
  </r>
  <r>
    <s v="ORD11087"/>
    <d v="2025-06-30T00:00:00"/>
    <x v="4"/>
    <x v="5"/>
    <x v="9"/>
    <x v="3"/>
    <x v="19"/>
    <s v="Corporate"/>
    <s v="Distributor"/>
    <x v="4"/>
    <n v="1"/>
    <n v="26969.759999999998"/>
    <n v="5"/>
    <n v="25621.27"/>
    <x v="3"/>
  </r>
  <r>
    <s v="ORD10356"/>
    <d v="2025-07-01T00:00:00"/>
    <x v="4"/>
    <x v="6"/>
    <x v="4"/>
    <x v="4"/>
    <x v="12"/>
    <s v="Home Office"/>
    <s v="Online"/>
    <x v="4"/>
    <n v="4"/>
    <n v="44168.03"/>
    <n v="5"/>
    <n v="167838.51"/>
    <x v="3"/>
  </r>
  <r>
    <s v="ORD12427"/>
    <d v="2025-07-02T00:00:00"/>
    <x v="2"/>
    <x v="6"/>
    <x v="3"/>
    <x v="1"/>
    <x v="4"/>
    <s v="Home Office"/>
    <s v="Online"/>
    <x v="4"/>
    <n v="4"/>
    <n v="2613.6799999999998"/>
    <n v="20"/>
    <n v="8363.76"/>
    <x v="3"/>
  </r>
  <r>
    <s v="ORD10801"/>
    <d v="2025-07-03T00:00:00"/>
    <x v="3"/>
    <x v="6"/>
    <x v="9"/>
    <x v="3"/>
    <x v="7"/>
    <s v="Consumer"/>
    <s v="Online"/>
    <x v="4"/>
    <n v="5"/>
    <n v="37863.050000000003"/>
    <n v="15"/>
    <n v="160917.95000000001"/>
    <x v="2"/>
  </r>
  <r>
    <s v="ORD10199"/>
    <d v="2025-07-04T00:00:00"/>
    <x v="3"/>
    <x v="6"/>
    <x v="8"/>
    <x v="1"/>
    <x v="4"/>
    <s v="Consumer"/>
    <s v="Retail Store"/>
    <x v="1"/>
    <n v="4"/>
    <n v="2207.35"/>
    <n v="20"/>
    <n v="7063.52"/>
    <x v="3"/>
  </r>
  <r>
    <s v="ORD12014"/>
    <d v="2025-07-05T00:00:00"/>
    <x v="0"/>
    <x v="6"/>
    <x v="8"/>
    <x v="2"/>
    <x v="17"/>
    <s v="Consumer"/>
    <s v="Distributor"/>
    <x v="2"/>
    <n v="1"/>
    <n v="6765.08"/>
    <n v="10"/>
    <n v="6088.57"/>
    <x v="1"/>
  </r>
  <r>
    <s v="ORD12037"/>
    <d v="2025-07-06T00:00:00"/>
    <x v="2"/>
    <x v="6"/>
    <x v="0"/>
    <x v="4"/>
    <x v="10"/>
    <s v="Corporate"/>
    <s v="Online"/>
    <x v="3"/>
    <n v="5"/>
    <n v="43254.96"/>
    <n v="5"/>
    <n v="205461.05"/>
    <x v="2"/>
  </r>
  <r>
    <s v="ORD12314"/>
    <d v="2025-07-07T00:00:00"/>
    <x v="4"/>
    <x v="6"/>
    <x v="2"/>
    <x v="3"/>
    <x v="19"/>
    <s v="Home Office"/>
    <s v="Online"/>
    <x v="3"/>
    <n v="1"/>
    <n v="26339.61"/>
    <n v="10"/>
    <n v="23705.65"/>
    <x v="1"/>
  </r>
  <r>
    <s v="ORD11074"/>
    <d v="2025-07-08T00:00:00"/>
    <x v="1"/>
    <x v="6"/>
    <x v="5"/>
    <x v="3"/>
    <x v="3"/>
    <s v="Small Business"/>
    <s v="Retail Store"/>
    <x v="3"/>
    <n v="1"/>
    <n v="25514.16"/>
    <n v="15"/>
    <n v="21687.040000000001"/>
    <x v="0"/>
  </r>
  <r>
    <s v="ORD11324"/>
    <d v="2025-07-09T00:00:00"/>
    <x v="2"/>
    <x v="6"/>
    <x v="8"/>
    <x v="4"/>
    <x v="9"/>
    <s v="Small Business"/>
    <s v="Retail Store"/>
    <x v="0"/>
    <n v="4"/>
    <n v="50842.14"/>
    <n v="5"/>
    <n v="193200.14"/>
    <x v="3"/>
  </r>
  <r>
    <s v="ORD11409"/>
    <d v="2025-07-10T00:00:00"/>
    <x v="4"/>
    <x v="6"/>
    <x v="3"/>
    <x v="4"/>
    <x v="12"/>
    <s v="Small Business"/>
    <s v="Online"/>
    <x v="3"/>
    <n v="4"/>
    <n v="36660.629999999997"/>
    <n v="10"/>
    <n v="131978.26999999999"/>
    <x v="0"/>
  </r>
  <r>
    <s v="ORD10222"/>
    <d v="2025-07-11T00:00:00"/>
    <x v="3"/>
    <x v="6"/>
    <x v="7"/>
    <x v="2"/>
    <x v="17"/>
    <s v="Corporate"/>
    <s v="Distributor"/>
    <x v="0"/>
    <n v="5"/>
    <n v="5041.55"/>
    <n v="5"/>
    <n v="23947.38"/>
    <x v="2"/>
  </r>
  <r>
    <s v="ORD11265"/>
    <d v="2025-07-12T00:00:00"/>
    <x v="1"/>
    <x v="6"/>
    <x v="0"/>
    <x v="2"/>
    <x v="17"/>
    <s v="Corporate"/>
    <s v="Distributor"/>
    <x v="2"/>
    <n v="2"/>
    <n v="7305.46"/>
    <n v="15"/>
    <n v="12419.28"/>
    <x v="3"/>
  </r>
  <r>
    <s v="ORD11321"/>
    <d v="2025-07-13T00:00:00"/>
    <x v="2"/>
    <x v="6"/>
    <x v="9"/>
    <x v="3"/>
    <x v="3"/>
    <s v="Corporate"/>
    <s v="Retail Store"/>
    <x v="0"/>
    <n v="5"/>
    <n v="27965.13"/>
    <n v="15"/>
    <n v="118851.8"/>
    <x v="3"/>
  </r>
  <r>
    <s v="ORD11433"/>
    <d v="2025-07-14T00:00:00"/>
    <x v="4"/>
    <x v="6"/>
    <x v="3"/>
    <x v="0"/>
    <x v="18"/>
    <s v="Home Office"/>
    <s v="Online"/>
    <x v="4"/>
    <n v="3"/>
    <n v="65237.86"/>
    <n v="15"/>
    <n v="166356.54999999999"/>
    <x v="1"/>
  </r>
  <r>
    <s v="ORD10977"/>
    <d v="2025-07-15T00:00:00"/>
    <x v="3"/>
    <x v="6"/>
    <x v="6"/>
    <x v="0"/>
    <x v="0"/>
    <s v="Consumer"/>
    <s v="Online"/>
    <x v="3"/>
    <n v="2"/>
    <n v="66069.600000000006"/>
    <n v="0"/>
    <n v="132139.21"/>
    <x v="2"/>
  </r>
  <r>
    <s v="ORD10371"/>
    <d v="2025-07-16T00:00:00"/>
    <x v="1"/>
    <x v="6"/>
    <x v="8"/>
    <x v="0"/>
    <x v="6"/>
    <s v="Corporate"/>
    <s v="Retail Store"/>
    <x v="1"/>
    <n v="1"/>
    <n v="65333.52"/>
    <n v="15"/>
    <n v="55533.49"/>
    <x v="3"/>
  </r>
  <r>
    <s v="ORD11612"/>
    <d v="2025-07-17T00:00:00"/>
    <x v="1"/>
    <x v="6"/>
    <x v="5"/>
    <x v="2"/>
    <x v="2"/>
    <s v="Small Business"/>
    <s v="Distributor"/>
    <x v="0"/>
    <n v="2"/>
    <n v="5861.82"/>
    <n v="10"/>
    <n v="10551.27"/>
    <x v="3"/>
  </r>
  <r>
    <s v="ORD11545"/>
    <d v="2025-07-18T00:00:00"/>
    <x v="3"/>
    <x v="6"/>
    <x v="3"/>
    <x v="3"/>
    <x v="3"/>
    <s v="Home Office"/>
    <s v="Retail Store"/>
    <x v="0"/>
    <n v="3"/>
    <n v="29151.01"/>
    <n v="10"/>
    <n v="78707.73"/>
    <x v="1"/>
  </r>
  <r>
    <s v="ORD10947"/>
    <d v="2025-07-19T00:00:00"/>
    <x v="2"/>
    <x v="6"/>
    <x v="0"/>
    <x v="2"/>
    <x v="11"/>
    <s v="Corporate"/>
    <s v="Retail Store"/>
    <x v="0"/>
    <n v="2"/>
    <n v="6247.52"/>
    <n v="0"/>
    <n v="12495.03"/>
    <x v="3"/>
  </r>
  <r>
    <s v="ORD11122"/>
    <d v="2025-07-20T00:00:00"/>
    <x v="1"/>
    <x v="6"/>
    <x v="1"/>
    <x v="0"/>
    <x v="6"/>
    <s v="Home Office"/>
    <s v="Online"/>
    <x v="0"/>
    <n v="4"/>
    <n v="71251.990000000005"/>
    <n v="5"/>
    <n v="270757.58"/>
    <x v="3"/>
  </r>
  <r>
    <s v="ORD12179"/>
    <d v="2025-07-21T00:00:00"/>
    <x v="2"/>
    <x v="6"/>
    <x v="4"/>
    <x v="1"/>
    <x v="13"/>
    <s v="Home Office"/>
    <s v="Distributor"/>
    <x v="2"/>
    <n v="5"/>
    <n v="2663.2"/>
    <n v="0"/>
    <n v="13315.99"/>
    <x v="3"/>
  </r>
  <r>
    <s v="ORD11974"/>
    <d v="2025-07-22T00:00:00"/>
    <x v="3"/>
    <x v="6"/>
    <x v="5"/>
    <x v="0"/>
    <x v="8"/>
    <s v="Corporate"/>
    <s v="Online"/>
    <x v="0"/>
    <n v="4"/>
    <n v="60028.18"/>
    <n v="0"/>
    <n v="240112.74"/>
    <x v="2"/>
  </r>
  <r>
    <s v="ORD10506"/>
    <d v="2025-07-23T00:00:00"/>
    <x v="1"/>
    <x v="6"/>
    <x v="6"/>
    <x v="0"/>
    <x v="6"/>
    <s v="Corporate"/>
    <s v="Distributor"/>
    <x v="0"/>
    <n v="1"/>
    <n v="65459.43"/>
    <n v="10"/>
    <n v="58913.49"/>
    <x v="3"/>
  </r>
  <r>
    <s v="ORD11649"/>
    <d v="2025-07-24T00:00:00"/>
    <x v="4"/>
    <x v="6"/>
    <x v="5"/>
    <x v="4"/>
    <x v="9"/>
    <s v="Consumer"/>
    <s v="Retail Store"/>
    <x v="1"/>
    <n v="5"/>
    <n v="31784.41"/>
    <n v="10"/>
    <n v="143029.87"/>
    <x v="3"/>
  </r>
  <r>
    <s v="ORD10289"/>
    <d v="2025-07-25T00:00:00"/>
    <x v="3"/>
    <x v="6"/>
    <x v="1"/>
    <x v="2"/>
    <x v="11"/>
    <s v="Small Business"/>
    <s v="Online"/>
    <x v="2"/>
    <n v="2"/>
    <n v="7550.28"/>
    <n v="15"/>
    <n v="12835.48"/>
    <x v="3"/>
  </r>
  <r>
    <s v="ORD11701"/>
    <d v="2025-07-26T00:00:00"/>
    <x v="3"/>
    <x v="6"/>
    <x v="3"/>
    <x v="4"/>
    <x v="12"/>
    <s v="Small Business"/>
    <s v="Retail Store"/>
    <x v="2"/>
    <n v="5"/>
    <n v="52360.97"/>
    <n v="0"/>
    <n v="261804.86"/>
    <x v="3"/>
  </r>
  <r>
    <s v="ORD12221"/>
    <d v="2025-07-27T00:00:00"/>
    <x v="3"/>
    <x v="6"/>
    <x v="4"/>
    <x v="4"/>
    <x v="9"/>
    <s v="Small Business"/>
    <s v="Distributor"/>
    <x v="1"/>
    <n v="3"/>
    <n v="49916.31"/>
    <n v="10"/>
    <n v="134774.04999999999"/>
    <x v="0"/>
  </r>
  <r>
    <s v="ORD10150"/>
    <d v="2025-07-28T00:00:00"/>
    <x v="4"/>
    <x v="6"/>
    <x v="7"/>
    <x v="2"/>
    <x v="2"/>
    <s v="Home Office"/>
    <s v="Distributor"/>
    <x v="4"/>
    <n v="1"/>
    <n v="6329.22"/>
    <n v="0"/>
    <n v="6329.22"/>
    <x v="0"/>
  </r>
  <r>
    <s v="ORD10608"/>
    <d v="2025-07-29T00:00:00"/>
    <x v="2"/>
    <x v="6"/>
    <x v="4"/>
    <x v="4"/>
    <x v="12"/>
    <s v="Corporate"/>
    <s v="Retail Store"/>
    <x v="2"/>
    <n v="5"/>
    <n v="36404.639999999999"/>
    <n v="5"/>
    <n v="172922.06"/>
    <x v="3"/>
  </r>
  <r>
    <s v="ORD12493"/>
    <d v="2025-07-30T00:00:00"/>
    <x v="1"/>
    <x v="6"/>
    <x v="8"/>
    <x v="0"/>
    <x v="0"/>
    <s v="Consumer"/>
    <s v="Online"/>
    <x v="1"/>
    <n v="5"/>
    <n v="60390.77"/>
    <n v="5"/>
    <n v="286856.14"/>
    <x v="1"/>
  </r>
  <r>
    <s v="ORD11129"/>
    <d v="2025-07-31T00:00:00"/>
    <x v="0"/>
    <x v="6"/>
    <x v="8"/>
    <x v="2"/>
    <x v="17"/>
    <s v="Corporate"/>
    <s v="Retail Store"/>
    <x v="4"/>
    <n v="2"/>
    <n v="5535.06"/>
    <n v="0"/>
    <n v="11070.12"/>
    <x v="2"/>
  </r>
  <r>
    <s v="ORD12080"/>
    <d v="2025-08-01T00:00:00"/>
    <x v="2"/>
    <x v="7"/>
    <x v="1"/>
    <x v="2"/>
    <x v="17"/>
    <s v="Home Office"/>
    <s v="Distributor"/>
    <x v="2"/>
    <n v="1"/>
    <n v="7101.71"/>
    <n v="10"/>
    <n v="6391.54"/>
    <x v="3"/>
  </r>
  <r>
    <s v="ORD12107"/>
    <d v="2025-08-02T00:00:00"/>
    <x v="1"/>
    <x v="7"/>
    <x v="4"/>
    <x v="0"/>
    <x v="6"/>
    <s v="Consumer"/>
    <s v="Distributor"/>
    <x v="3"/>
    <n v="5"/>
    <n v="50916.77"/>
    <n v="0"/>
    <n v="254583.86"/>
    <x v="3"/>
  </r>
  <r>
    <s v="ORD11935"/>
    <d v="2025-08-03T00:00:00"/>
    <x v="0"/>
    <x v="7"/>
    <x v="0"/>
    <x v="1"/>
    <x v="14"/>
    <s v="Small Business"/>
    <s v="Distributor"/>
    <x v="3"/>
    <n v="1"/>
    <n v="2757.95"/>
    <n v="5"/>
    <n v="2620.06"/>
    <x v="3"/>
  </r>
  <r>
    <s v="ORD11385"/>
    <d v="2025-08-04T00:00:00"/>
    <x v="1"/>
    <x v="7"/>
    <x v="1"/>
    <x v="3"/>
    <x v="15"/>
    <s v="Corporate"/>
    <s v="Retail Store"/>
    <x v="4"/>
    <n v="5"/>
    <n v="30582.43"/>
    <n v="0"/>
    <n v="152912.17000000001"/>
    <x v="1"/>
  </r>
  <r>
    <s v="ORD12443"/>
    <d v="2025-08-05T00:00:00"/>
    <x v="2"/>
    <x v="7"/>
    <x v="1"/>
    <x v="1"/>
    <x v="14"/>
    <s v="Home Office"/>
    <s v="Distributor"/>
    <x v="4"/>
    <n v="4"/>
    <n v="2075.69"/>
    <n v="0"/>
    <n v="8302.7800000000007"/>
    <x v="3"/>
  </r>
  <r>
    <s v="ORD11326"/>
    <d v="2025-08-06T00:00:00"/>
    <x v="3"/>
    <x v="7"/>
    <x v="9"/>
    <x v="3"/>
    <x v="7"/>
    <s v="Home Office"/>
    <s v="Distributor"/>
    <x v="1"/>
    <n v="2"/>
    <n v="30957.91"/>
    <n v="15"/>
    <n v="52628.44"/>
    <x v="0"/>
  </r>
  <r>
    <s v="ORD11898"/>
    <d v="2025-08-07T00:00:00"/>
    <x v="1"/>
    <x v="7"/>
    <x v="4"/>
    <x v="2"/>
    <x v="16"/>
    <s v="Small Business"/>
    <s v="Online"/>
    <x v="4"/>
    <n v="3"/>
    <n v="5075.0200000000004"/>
    <n v="10"/>
    <n v="13702.55"/>
    <x v="3"/>
  </r>
  <r>
    <s v="ORD11754"/>
    <d v="2025-08-08T00:00:00"/>
    <x v="0"/>
    <x v="7"/>
    <x v="2"/>
    <x v="2"/>
    <x v="16"/>
    <s v="Small Business"/>
    <s v="Retail Store"/>
    <x v="1"/>
    <n v="5"/>
    <n v="7934.24"/>
    <n v="5"/>
    <n v="37687.620000000003"/>
    <x v="3"/>
  </r>
  <r>
    <s v="ORD12297"/>
    <d v="2025-08-09T00:00:00"/>
    <x v="3"/>
    <x v="7"/>
    <x v="0"/>
    <x v="4"/>
    <x v="5"/>
    <s v="Consumer"/>
    <s v="Retail Store"/>
    <x v="4"/>
    <n v="1"/>
    <n v="48478.33"/>
    <n v="15"/>
    <n v="41206.58"/>
    <x v="3"/>
  </r>
  <r>
    <s v="ORD11805"/>
    <d v="2025-08-10T00:00:00"/>
    <x v="4"/>
    <x v="7"/>
    <x v="7"/>
    <x v="3"/>
    <x v="7"/>
    <s v="Home Office"/>
    <s v="Distributor"/>
    <x v="3"/>
    <n v="5"/>
    <n v="38929.629999999997"/>
    <n v="0"/>
    <n v="194648.17"/>
    <x v="1"/>
  </r>
  <r>
    <s v="ORD11746"/>
    <d v="2025-08-11T00:00:00"/>
    <x v="2"/>
    <x v="7"/>
    <x v="1"/>
    <x v="2"/>
    <x v="2"/>
    <s v="Consumer"/>
    <s v="Distributor"/>
    <x v="1"/>
    <n v="2"/>
    <n v="5159.51"/>
    <n v="10"/>
    <n v="9287.11"/>
    <x v="3"/>
  </r>
  <r>
    <s v="ORD11187"/>
    <d v="2025-08-12T00:00:00"/>
    <x v="2"/>
    <x v="7"/>
    <x v="9"/>
    <x v="2"/>
    <x v="2"/>
    <s v="Small Business"/>
    <s v="Online"/>
    <x v="3"/>
    <n v="3"/>
    <n v="7656.33"/>
    <n v="10"/>
    <n v="20672.099999999999"/>
    <x v="3"/>
  </r>
  <r>
    <s v="ORD11078"/>
    <d v="2025-08-13T00:00:00"/>
    <x v="1"/>
    <x v="7"/>
    <x v="6"/>
    <x v="1"/>
    <x v="13"/>
    <s v="Small Business"/>
    <s v="Retail Store"/>
    <x v="0"/>
    <n v="2"/>
    <n v="2557.84"/>
    <n v="15"/>
    <n v="4348.33"/>
    <x v="0"/>
  </r>
  <r>
    <s v="ORD12101"/>
    <d v="2025-08-14T00:00:00"/>
    <x v="3"/>
    <x v="7"/>
    <x v="2"/>
    <x v="3"/>
    <x v="3"/>
    <s v="Corporate"/>
    <s v="Online"/>
    <x v="2"/>
    <n v="5"/>
    <n v="28708.82"/>
    <n v="10"/>
    <n v="129189.69"/>
    <x v="3"/>
  </r>
  <r>
    <s v="ORD11594"/>
    <d v="2025-08-15T00:00:00"/>
    <x v="4"/>
    <x v="7"/>
    <x v="5"/>
    <x v="4"/>
    <x v="10"/>
    <s v="Home Office"/>
    <s v="Distributor"/>
    <x v="1"/>
    <n v="3"/>
    <n v="44603.78"/>
    <n v="0"/>
    <n v="133811.32999999999"/>
    <x v="3"/>
  </r>
  <r>
    <s v="ORD10369"/>
    <d v="2025-08-16T00:00:00"/>
    <x v="0"/>
    <x v="7"/>
    <x v="9"/>
    <x v="4"/>
    <x v="12"/>
    <s v="Home Office"/>
    <s v="Distributor"/>
    <x v="4"/>
    <n v="2"/>
    <n v="33920.71"/>
    <n v="0"/>
    <n v="67841.42"/>
    <x v="2"/>
  </r>
  <r>
    <s v="ORD11270"/>
    <d v="2025-08-17T00:00:00"/>
    <x v="2"/>
    <x v="7"/>
    <x v="8"/>
    <x v="3"/>
    <x v="7"/>
    <s v="Corporate"/>
    <s v="Distributor"/>
    <x v="1"/>
    <n v="3"/>
    <n v="38034.720000000001"/>
    <n v="0"/>
    <n v="114104.15"/>
    <x v="3"/>
  </r>
  <r>
    <s v="ORD10635"/>
    <d v="2025-08-18T00:00:00"/>
    <x v="1"/>
    <x v="7"/>
    <x v="3"/>
    <x v="2"/>
    <x v="17"/>
    <s v="Consumer"/>
    <s v="Retail Store"/>
    <x v="1"/>
    <n v="1"/>
    <n v="5743.84"/>
    <n v="5"/>
    <n v="5456.65"/>
    <x v="2"/>
  </r>
  <r>
    <s v="ORD10439"/>
    <d v="2025-08-19T00:00:00"/>
    <x v="0"/>
    <x v="7"/>
    <x v="0"/>
    <x v="0"/>
    <x v="0"/>
    <s v="Small Business"/>
    <s v="Distributor"/>
    <x v="3"/>
    <n v="4"/>
    <n v="43744.06"/>
    <n v="10"/>
    <n v="157478.62"/>
    <x v="3"/>
  </r>
  <r>
    <s v="ORD11583"/>
    <d v="2025-08-20T00:00:00"/>
    <x v="1"/>
    <x v="7"/>
    <x v="8"/>
    <x v="0"/>
    <x v="6"/>
    <s v="Corporate"/>
    <s v="Online"/>
    <x v="2"/>
    <n v="1"/>
    <n v="65110.75"/>
    <n v="15"/>
    <n v="55344.14"/>
    <x v="1"/>
  </r>
  <r>
    <s v="ORD11527"/>
    <d v="2025-08-21T00:00:00"/>
    <x v="3"/>
    <x v="7"/>
    <x v="5"/>
    <x v="1"/>
    <x v="14"/>
    <s v="Consumer"/>
    <s v="Retail Store"/>
    <x v="3"/>
    <n v="4"/>
    <n v="2066.13"/>
    <n v="10"/>
    <n v="7438.09"/>
    <x v="0"/>
  </r>
  <r>
    <s v="ORD10263"/>
    <d v="2025-08-22T00:00:00"/>
    <x v="4"/>
    <x v="7"/>
    <x v="0"/>
    <x v="2"/>
    <x v="16"/>
    <s v="Consumer"/>
    <s v="Online"/>
    <x v="4"/>
    <n v="1"/>
    <n v="7107.1"/>
    <n v="5"/>
    <n v="6751.75"/>
    <x v="0"/>
  </r>
  <r>
    <s v="ORD12171"/>
    <d v="2025-08-23T00:00:00"/>
    <x v="2"/>
    <x v="7"/>
    <x v="1"/>
    <x v="2"/>
    <x v="16"/>
    <s v="Home Office"/>
    <s v="Distributor"/>
    <x v="0"/>
    <n v="2"/>
    <n v="6170.87"/>
    <n v="15"/>
    <n v="10490.48"/>
    <x v="3"/>
  </r>
  <r>
    <s v="ORD12084"/>
    <d v="2025-08-24T00:00:00"/>
    <x v="1"/>
    <x v="7"/>
    <x v="0"/>
    <x v="1"/>
    <x v="13"/>
    <s v="Consumer"/>
    <s v="Distributor"/>
    <x v="3"/>
    <n v="2"/>
    <n v="3001.33"/>
    <n v="0"/>
    <n v="6002.66"/>
    <x v="0"/>
  </r>
  <r>
    <s v="ORD11962"/>
    <d v="2025-08-25T00:00:00"/>
    <x v="2"/>
    <x v="7"/>
    <x v="7"/>
    <x v="4"/>
    <x v="9"/>
    <s v="Small Business"/>
    <s v="Distributor"/>
    <x v="3"/>
    <n v="2"/>
    <n v="34791.1"/>
    <n v="5"/>
    <n v="66103.100000000006"/>
    <x v="3"/>
  </r>
  <r>
    <s v="ORD12363"/>
    <d v="2025-08-26T00:00:00"/>
    <x v="4"/>
    <x v="7"/>
    <x v="7"/>
    <x v="1"/>
    <x v="13"/>
    <s v="Home Office"/>
    <s v="Distributor"/>
    <x v="3"/>
    <n v="1"/>
    <n v="2056.67"/>
    <n v="10"/>
    <n v="1851"/>
    <x v="3"/>
  </r>
  <r>
    <s v="ORD12426"/>
    <d v="2025-08-27T00:00:00"/>
    <x v="1"/>
    <x v="7"/>
    <x v="4"/>
    <x v="3"/>
    <x v="15"/>
    <s v="Home Office"/>
    <s v="Online"/>
    <x v="4"/>
    <n v="3"/>
    <n v="36289.81"/>
    <n v="0"/>
    <n v="108869.44"/>
    <x v="3"/>
  </r>
  <r>
    <s v="ORD10598"/>
    <d v="2025-08-28T00:00:00"/>
    <x v="1"/>
    <x v="7"/>
    <x v="7"/>
    <x v="3"/>
    <x v="19"/>
    <s v="Corporate"/>
    <s v="Online"/>
    <x v="2"/>
    <n v="2"/>
    <n v="37433.599999999999"/>
    <n v="0"/>
    <n v="74867.19"/>
    <x v="3"/>
  </r>
  <r>
    <s v="ORD11986"/>
    <d v="2025-08-29T00:00:00"/>
    <x v="3"/>
    <x v="7"/>
    <x v="9"/>
    <x v="4"/>
    <x v="10"/>
    <s v="Corporate"/>
    <s v="Online"/>
    <x v="4"/>
    <n v="1"/>
    <n v="33428.080000000002"/>
    <n v="5"/>
    <n v="31756.67"/>
    <x v="3"/>
  </r>
  <r>
    <s v="ORD12278"/>
    <d v="2025-08-30T00:00:00"/>
    <x v="4"/>
    <x v="7"/>
    <x v="7"/>
    <x v="3"/>
    <x v="3"/>
    <s v="Consumer"/>
    <s v="Retail Store"/>
    <x v="3"/>
    <n v="3"/>
    <n v="35807.980000000003"/>
    <n v="10"/>
    <n v="96681.55"/>
    <x v="0"/>
  </r>
  <r>
    <s v="ORD10720"/>
    <d v="2025-08-31T00:00:00"/>
    <x v="4"/>
    <x v="7"/>
    <x v="1"/>
    <x v="0"/>
    <x v="6"/>
    <s v="Small Business"/>
    <s v="Retail Store"/>
    <x v="4"/>
    <n v="5"/>
    <n v="65517.64"/>
    <n v="0"/>
    <n v="327588.21000000002"/>
    <x v="3"/>
  </r>
  <r>
    <s v="ORD10630"/>
    <d v="2025-09-01T00:00:00"/>
    <x v="2"/>
    <x v="8"/>
    <x v="3"/>
    <x v="0"/>
    <x v="18"/>
    <s v="Home Office"/>
    <s v="Distributor"/>
    <x v="1"/>
    <n v="5"/>
    <n v="71781.289999999994"/>
    <n v="0"/>
    <n v="358906.45"/>
    <x v="0"/>
  </r>
  <r>
    <s v="ORD11806"/>
    <d v="2025-09-02T00:00:00"/>
    <x v="3"/>
    <x v="8"/>
    <x v="3"/>
    <x v="4"/>
    <x v="10"/>
    <s v="Corporate"/>
    <s v="Online"/>
    <x v="3"/>
    <n v="4"/>
    <n v="39587.54"/>
    <n v="0"/>
    <n v="158350.16"/>
    <x v="1"/>
  </r>
  <r>
    <s v="ORD10973"/>
    <d v="2025-09-03T00:00:00"/>
    <x v="2"/>
    <x v="8"/>
    <x v="6"/>
    <x v="1"/>
    <x v="14"/>
    <s v="Small Business"/>
    <s v="Retail Store"/>
    <x v="3"/>
    <n v="5"/>
    <n v="3085.61"/>
    <n v="20"/>
    <n v="12342.46"/>
    <x v="1"/>
  </r>
  <r>
    <s v="ORD10188"/>
    <d v="2025-09-04T00:00:00"/>
    <x v="1"/>
    <x v="8"/>
    <x v="3"/>
    <x v="0"/>
    <x v="18"/>
    <s v="Small Business"/>
    <s v="Online"/>
    <x v="1"/>
    <n v="1"/>
    <n v="47787.25"/>
    <n v="5"/>
    <n v="45397.88"/>
    <x v="3"/>
  </r>
  <r>
    <s v="ORD10944"/>
    <d v="2025-09-05T00:00:00"/>
    <x v="3"/>
    <x v="8"/>
    <x v="0"/>
    <x v="3"/>
    <x v="7"/>
    <s v="Consumer"/>
    <s v="Distributor"/>
    <x v="2"/>
    <n v="4"/>
    <n v="32305.58"/>
    <n v="5"/>
    <n v="122761.22"/>
    <x v="3"/>
  </r>
  <r>
    <s v="ORD10438"/>
    <d v="2025-09-06T00:00:00"/>
    <x v="3"/>
    <x v="8"/>
    <x v="5"/>
    <x v="0"/>
    <x v="8"/>
    <s v="Corporate"/>
    <s v="Retail Store"/>
    <x v="1"/>
    <n v="2"/>
    <n v="52704.4"/>
    <n v="10"/>
    <n v="94867.93"/>
    <x v="2"/>
  </r>
  <r>
    <s v="ORD12406"/>
    <d v="2025-09-07T00:00:00"/>
    <x v="1"/>
    <x v="8"/>
    <x v="5"/>
    <x v="2"/>
    <x v="11"/>
    <s v="Consumer"/>
    <s v="Distributor"/>
    <x v="1"/>
    <n v="1"/>
    <n v="7927.41"/>
    <n v="15"/>
    <n v="6738.3"/>
    <x v="3"/>
  </r>
  <r>
    <s v="ORD12181"/>
    <d v="2025-09-08T00:00:00"/>
    <x v="4"/>
    <x v="8"/>
    <x v="8"/>
    <x v="3"/>
    <x v="7"/>
    <s v="Consumer"/>
    <s v="Distributor"/>
    <x v="3"/>
    <n v="1"/>
    <n v="37936.21"/>
    <n v="5"/>
    <n v="36039.4"/>
    <x v="3"/>
  </r>
  <r>
    <s v="ORD10159"/>
    <d v="2025-09-09T00:00:00"/>
    <x v="4"/>
    <x v="8"/>
    <x v="8"/>
    <x v="0"/>
    <x v="8"/>
    <s v="Small Business"/>
    <s v="Retail Store"/>
    <x v="4"/>
    <n v="3"/>
    <n v="49198.13"/>
    <n v="0"/>
    <n v="147594.38"/>
    <x v="3"/>
  </r>
  <r>
    <s v="ORD11638"/>
    <d v="2025-09-10T00:00:00"/>
    <x v="1"/>
    <x v="8"/>
    <x v="2"/>
    <x v="4"/>
    <x v="12"/>
    <s v="Corporate"/>
    <s v="Online"/>
    <x v="0"/>
    <n v="1"/>
    <n v="33396.42"/>
    <n v="15"/>
    <n v="28386.959999999999"/>
    <x v="1"/>
  </r>
  <r>
    <s v="ORD11993"/>
    <d v="2025-09-11T00:00:00"/>
    <x v="3"/>
    <x v="8"/>
    <x v="8"/>
    <x v="1"/>
    <x v="4"/>
    <s v="Consumer"/>
    <s v="Retail Store"/>
    <x v="4"/>
    <n v="5"/>
    <n v="2140.98"/>
    <n v="0"/>
    <n v="10704.92"/>
    <x v="3"/>
  </r>
  <r>
    <s v="ORD10713"/>
    <d v="2025-09-12T00:00:00"/>
    <x v="2"/>
    <x v="8"/>
    <x v="0"/>
    <x v="2"/>
    <x v="11"/>
    <s v="Corporate"/>
    <s v="Distributor"/>
    <x v="4"/>
    <n v="3"/>
    <n v="6548.64"/>
    <n v="10"/>
    <n v="17681.34"/>
    <x v="3"/>
  </r>
  <r>
    <s v="ORD10313"/>
    <d v="2025-09-13T00:00:00"/>
    <x v="2"/>
    <x v="8"/>
    <x v="2"/>
    <x v="2"/>
    <x v="11"/>
    <s v="Consumer"/>
    <s v="Distributor"/>
    <x v="4"/>
    <n v="1"/>
    <n v="6254.95"/>
    <n v="5"/>
    <n v="5942.2"/>
    <x v="3"/>
  </r>
  <r>
    <s v="ORD11783"/>
    <d v="2025-09-14T00:00:00"/>
    <x v="1"/>
    <x v="8"/>
    <x v="3"/>
    <x v="0"/>
    <x v="18"/>
    <s v="Home Office"/>
    <s v="Online"/>
    <x v="0"/>
    <n v="4"/>
    <n v="67610.19"/>
    <n v="10"/>
    <n v="243396.68"/>
    <x v="2"/>
  </r>
  <r>
    <s v="ORD11876"/>
    <d v="2025-09-15T00:00:00"/>
    <x v="2"/>
    <x v="8"/>
    <x v="4"/>
    <x v="3"/>
    <x v="15"/>
    <s v="Consumer"/>
    <s v="Online"/>
    <x v="4"/>
    <n v="4"/>
    <n v="38871.730000000003"/>
    <n v="10"/>
    <n v="139938.23999999999"/>
    <x v="3"/>
  </r>
  <r>
    <s v="ORD11716"/>
    <d v="2025-09-16T00:00:00"/>
    <x v="4"/>
    <x v="8"/>
    <x v="1"/>
    <x v="0"/>
    <x v="6"/>
    <s v="Corporate"/>
    <s v="Distributor"/>
    <x v="3"/>
    <n v="5"/>
    <n v="52716.77"/>
    <n v="0"/>
    <n v="263583.87"/>
    <x v="3"/>
  </r>
  <r>
    <s v="ORD11420"/>
    <d v="2025-09-17T00:00:00"/>
    <x v="3"/>
    <x v="8"/>
    <x v="6"/>
    <x v="3"/>
    <x v="19"/>
    <s v="Home Office"/>
    <s v="Online"/>
    <x v="2"/>
    <n v="2"/>
    <n v="38420.400000000001"/>
    <n v="10"/>
    <n v="69156.710000000006"/>
    <x v="1"/>
  </r>
  <r>
    <s v="ORD10454"/>
    <d v="2025-09-18T00:00:00"/>
    <x v="1"/>
    <x v="8"/>
    <x v="3"/>
    <x v="1"/>
    <x v="14"/>
    <s v="Home Office"/>
    <s v="Online"/>
    <x v="0"/>
    <n v="5"/>
    <n v="3090.12"/>
    <n v="5"/>
    <n v="14678.05"/>
    <x v="2"/>
  </r>
  <r>
    <s v="ORD11963"/>
    <d v="2025-09-19T00:00:00"/>
    <x v="3"/>
    <x v="8"/>
    <x v="5"/>
    <x v="4"/>
    <x v="10"/>
    <s v="Consumer"/>
    <s v="Online"/>
    <x v="1"/>
    <n v="3"/>
    <n v="41615.870000000003"/>
    <n v="10"/>
    <n v="112362.86"/>
    <x v="2"/>
  </r>
  <r>
    <s v="ORD10878"/>
    <d v="2025-09-20T00:00:00"/>
    <x v="0"/>
    <x v="8"/>
    <x v="0"/>
    <x v="0"/>
    <x v="0"/>
    <s v="Home Office"/>
    <s v="Distributor"/>
    <x v="1"/>
    <n v="2"/>
    <n v="53357.15"/>
    <n v="5"/>
    <n v="101378.59"/>
    <x v="0"/>
  </r>
  <r>
    <s v="ORD10080"/>
    <d v="2025-09-21T00:00:00"/>
    <x v="3"/>
    <x v="8"/>
    <x v="6"/>
    <x v="4"/>
    <x v="9"/>
    <s v="Small Business"/>
    <s v="Distributor"/>
    <x v="1"/>
    <n v="5"/>
    <n v="39544.339999999997"/>
    <n v="0"/>
    <n v="197721.69"/>
    <x v="0"/>
  </r>
  <r>
    <s v="ORD11597"/>
    <d v="2025-09-22T00:00:00"/>
    <x v="4"/>
    <x v="8"/>
    <x v="8"/>
    <x v="3"/>
    <x v="3"/>
    <s v="Home Office"/>
    <s v="Distributor"/>
    <x v="1"/>
    <n v="1"/>
    <n v="30396.2"/>
    <n v="15"/>
    <n v="25836.77"/>
    <x v="2"/>
  </r>
  <r>
    <s v="ORD11614"/>
    <d v="2025-09-23T00:00:00"/>
    <x v="2"/>
    <x v="8"/>
    <x v="9"/>
    <x v="4"/>
    <x v="5"/>
    <s v="Corporate"/>
    <s v="Distributor"/>
    <x v="0"/>
    <n v="2"/>
    <n v="42442.85"/>
    <n v="10"/>
    <n v="76397.14"/>
    <x v="3"/>
  </r>
  <r>
    <s v="ORD10833"/>
    <d v="2025-09-24T00:00:00"/>
    <x v="2"/>
    <x v="8"/>
    <x v="0"/>
    <x v="2"/>
    <x v="11"/>
    <s v="Consumer"/>
    <s v="Retail Store"/>
    <x v="0"/>
    <n v="2"/>
    <n v="7046.2"/>
    <n v="0"/>
    <n v="14092.4"/>
    <x v="3"/>
  </r>
  <r>
    <s v="ORD11363"/>
    <d v="2025-09-25T00:00:00"/>
    <x v="0"/>
    <x v="8"/>
    <x v="0"/>
    <x v="1"/>
    <x v="4"/>
    <s v="Consumer"/>
    <s v="Retail Store"/>
    <x v="2"/>
    <n v="1"/>
    <n v="2592.0100000000002"/>
    <n v="10"/>
    <n v="2332.81"/>
    <x v="3"/>
  </r>
  <r>
    <s v="ORD11642"/>
    <d v="2025-09-26T00:00:00"/>
    <x v="3"/>
    <x v="8"/>
    <x v="5"/>
    <x v="3"/>
    <x v="19"/>
    <s v="Home Office"/>
    <s v="Distributor"/>
    <x v="0"/>
    <n v="4"/>
    <n v="37246.769999999997"/>
    <n v="10"/>
    <n v="134088.35"/>
    <x v="1"/>
  </r>
  <r>
    <s v="ORD11774"/>
    <d v="2025-09-27T00:00:00"/>
    <x v="0"/>
    <x v="8"/>
    <x v="1"/>
    <x v="3"/>
    <x v="19"/>
    <s v="Consumer"/>
    <s v="Online"/>
    <x v="1"/>
    <n v="4"/>
    <n v="39143.51"/>
    <n v="0"/>
    <n v="156574.03"/>
    <x v="3"/>
  </r>
  <r>
    <s v="ORD10731"/>
    <d v="2025-09-28T00:00:00"/>
    <x v="3"/>
    <x v="8"/>
    <x v="2"/>
    <x v="0"/>
    <x v="18"/>
    <s v="Corporate"/>
    <s v="Distributor"/>
    <x v="1"/>
    <n v="3"/>
    <n v="46984.81"/>
    <n v="10"/>
    <n v="126858.98"/>
    <x v="2"/>
  </r>
  <r>
    <s v="ORD10524"/>
    <d v="2025-09-29T00:00:00"/>
    <x v="1"/>
    <x v="8"/>
    <x v="5"/>
    <x v="3"/>
    <x v="7"/>
    <s v="Home Office"/>
    <s v="Retail Store"/>
    <x v="4"/>
    <n v="3"/>
    <n v="37337.769999999997"/>
    <n v="20"/>
    <n v="89610.65"/>
    <x v="2"/>
  </r>
  <r>
    <s v="ORD12331"/>
    <d v="2025-09-30T00:00:00"/>
    <x v="3"/>
    <x v="8"/>
    <x v="2"/>
    <x v="0"/>
    <x v="8"/>
    <s v="Home Office"/>
    <s v="Distributor"/>
    <x v="0"/>
    <n v="1"/>
    <n v="67727.740000000005"/>
    <n v="5"/>
    <n v="64341.35"/>
    <x v="2"/>
  </r>
  <r>
    <s v="ORD10333"/>
    <d v="2025-10-01T00:00:00"/>
    <x v="4"/>
    <x v="9"/>
    <x v="4"/>
    <x v="2"/>
    <x v="11"/>
    <s v="Small Business"/>
    <s v="Distributor"/>
    <x v="3"/>
    <n v="5"/>
    <n v="5822.74"/>
    <n v="10"/>
    <n v="26202.31"/>
    <x v="1"/>
  </r>
  <r>
    <s v="ORD10241"/>
    <d v="2025-10-02T00:00:00"/>
    <x v="4"/>
    <x v="9"/>
    <x v="4"/>
    <x v="0"/>
    <x v="8"/>
    <s v="Consumer"/>
    <s v="Online"/>
    <x v="4"/>
    <n v="3"/>
    <n v="46798.14"/>
    <n v="0"/>
    <n v="140394.42000000001"/>
    <x v="3"/>
  </r>
  <r>
    <s v="ORD10067"/>
    <d v="2025-10-03T00:00:00"/>
    <x v="3"/>
    <x v="9"/>
    <x v="8"/>
    <x v="0"/>
    <x v="6"/>
    <s v="Consumer"/>
    <s v="Online"/>
    <x v="1"/>
    <n v="5"/>
    <n v="45465.98"/>
    <n v="0"/>
    <n v="227329.91"/>
    <x v="3"/>
  </r>
  <r>
    <s v="ORD11200"/>
    <d v="2025-10-04T00:00:00"/>
    <x v="2"/>
    <x v="9"/>
    <x v="6"/>
    <x v="3"/>
    <x v="19"/>
    <s v="Corporate"/>
    <s v="Retail Store"/>
    <x v="3"/>
    <n v="2"/>
    <n v="29444.49"/>
    <n v="15"/>
    <n v="50055.63"/>
    <x v="3"/>
  </r>
  <r>
    <s v="ORD11015"/>
    <d v="2025-10-05T00:00:00"/>
    <x v="0"/>
    <x v="9"/>
    <x v="5"/>
    <x v="3"/>
    <x v="15"/>
    <s v="Consumer"/>
    <s v="Distributor"/>
    <x v="1"/>
    <n v="5"/>
    <n v="26489.33"/>
    <n v="10"/>
    <n v="119202"/>
    <x v="2"/>
  </r>
  <r>
    <s v="ORD12431"/>
    <d v="2025-10-06T00:00:00"/>
    <x v="4"/>
    <x v="9"/>
    <x v="7"/>
    <x v="3"/>
    <x v="15"/>
    <s v="Home Office"/>
    <s v="Retail Store"/>
    <x v="4"/>
    <n v="1"/>
    <n v="28193.47"/>
    <n v="20"/>
    <n v="22554.78"/>
    <x v="2"/>
  </r>
  <r>
    <s v="ORD10904"/>
    <d v="2025-10-07T00:00:00"/>
    <x v="3"/>
    <x v="9"/>
    <x v="4"/>
    <x v="3"/>
    <x v="19"/>
    <s v="Home Office"/>
    <s v="Distributor"/>
    <x v="4"/>
    <n v="2"/>
    <n v="28144.94"/>
    <n v="20"/>
    <n v="45031.9"/>
    <x v="3"/>
  </r>
  <r>
    <s v="ORD10868"/>
    <d v="2025-10-08T00:00:00"/>
    <x v="2"/>
    <x v="9"/>
    <x v="2"/>
    <x v="3"/>
    <x v="7"/>
    <s v="Consumer"/>
    <s v="Retail Store"/>
    <x v="4"/>
    <n v="5"/>
    <n v="26854.38"/>
    <n v="0"/>
    <n v="134271.9"/>
    <x v="2"/>
  </r>
  <r>
    <s v="ORD10807"/>
    <d v="2025-10-09T00:00:00"/>
    <x v="4"/>
    <x v="9"/>
    <x v="6"/>
    <x v="1"/>
    <x v="13"/>
    <s v="Consumer"/>
    <s v="Retail Store"/>
    <x v="3"/>
    <n v="3"/>
    <n v="2919.49"/>
    <n v="10"/>
    <n v="7882.61"/>
    <x v="3"/>
  </r>
  <r>
    <s v="ORD10587"/>
    <d v="2025-10-10T00:00:00"/>
    <x v="3"/>
    <x v="9"/>
    <x v="5"/>
    <x v="3"/>
    <x v="3"/>
    <s v="Corporate"/>
    <s v="Distributor"/>
    <x v="2"/>
    <n v="1"/>
    <n v="32155.72"/>
    <n v="5"/>
    <n v="30547.94"/>
    <x v="3"/>
  </r>
  <r>
    <s v="ORD10638"/>
    <d v="2025-10-11T00:00:00"/>
    <x v="4"/>
    <x v="9"/>
    <x v="4"/>
    <x v="0"/>
    <x v="8"/>
    <s v="Corporate"/>
    <s v="Online"/>
    <x v="1"/>
    <n v="3"/>
    <n v="59302.2"/>
    <n v="0"/>
    <n v="177906.59"/>
    <x v="0"/>
  </r>
  <r>
    <s v="ORD10519"/>
    <d v="2025-10-12T00:00:00"/>
    <x v="1"/>
    <x v="9"/>
    <x v="0"/>
    <x v="3"/>
    <x v="3"/>
    <s v="Corporate"/>
    <s v="Online"/>
    <x v="2"/>
    <n v="2"/>
    <n v="34037.69"/>
    <n v="0"/>
    <n v="68075.38"/>
    <x v="1"/>
  </r>
  <r>
    <s v="ORD11219"/>
    <d v="2025-10-13T00:00:00"/>
    <x v="2"/>
    <x v="9"/>
    <x v="5"/>
    <x v="0"/>
    <x v="6"/>
    <s v="Small Business"/>
    <s v="Online"/>
    <x v="0"/>
    <n v="5"/>
    <n v="52158.18"/>
    <n v="5"/>
    <n v="247751.33"/>
    <x v="3"/>
  </r>
  <r>
    <s v="ORD10956"/>
    <d v="2025-10-14T00:00:00"/>
    <x v="2"/>
    <x v="9"/>
    <x v="2"/>
    <x v="3"/>
    <x v="7"/>
    <s v="Home Office"/>
    <s v="Online"/>
    <x v="3"/>
    <n v="1"/>
    <n v="25484.44"/>
    <n v="10"/>
    <n v="22935.99"/>
    <x v="3"/>
  </r>
  <r>
    <s v="ORD10832"/>
    <d v="2025-10-15T00:00:00"/>
    <x v="0"/>
    <x v="9"/>
    <x v="4"/>
    <x v="3"/>
    <x v="3"/>
    <s v="Consumer"/>
    <s v="Distributor"/>
    <x v="2"/>
    <n v="4"/>
    <n v="27449.91"/>
    <n v="5"/>
    <n v="104309.64"/>
    <x v="2"/>
  </r>
  <r>
    <s v="ORD11444"/>
    <d v="2025-10-16T00:00:00"/>
    <x v="4"/>
    <x v="9"/>
    <x v="1"/>
    <x v="1"/>
    <x v="14"/>
    <s v="Small Business"/>
    <s v="Online"/>
    <x v="0"/>
    <n v="2"/>
    <n v="2822.75"/>
    <n v="10"/>
    <n v="5080.95"/>
    <x v="0"/>
  </r>
  <r>
    <s v="ORD11691"/>
    <d v="2025-10-17T00:00:00"/>
    <x v="1"/>
    <x v="9"/>
    <x v="2"/>
    <x v="1"/>
    <x v="13"/>
    <s v="Home Office"/>
    <s v="Retail Store"/>
    <x v="1"/>
    <n v="3"/>
    <n v="2509.04"/>
    <n v="20"/>
    <n v="6021.69"/>
    <x v="2"/>
  </r>
  <r>
    <s v="ORD11275"/>
    <d v="2025-10-18T00:00:00"/>
    <x v="1"/>
    <x v="9"/>
    <x v="9"/>
    <x v="3"/>
    <x v="7"/>
    <s v="Corporate"/>
    <s v="Distributor"/>
    <x v="2"/>
    <n v="1"/>
    <n v="38332.370000000003"/>
    <n v="0"/>
    <n v="38332.370000000003"/>
    <x v="2"/>
  </r>
  <r>
    <s v="ORD10839"/>
    <d v="2025-10-19T00:00:00"/>
    <x v="1"/>
    <x v="9"/>
    <x v="1"/>
    <x v="0"/>
    <x v="0"/>
    <s v="Home Office"/>
    <s v="Distributor"/>
    <x v="3"/>
    <n v="4"/>
    <n v="66483.19"/>
    <n v="0"/>
    <n v="265932.75"/>
    <x v="0"/>
  </r>
  <r>
    <s v="ORD12453"/>
    <d v="2025-10-20T00:00:00"/>
    <x v="3"/>
    <x v="9"/>
    <x v="7"/>
    <x v="0"/>
    <x v="18"/>
    <s v="Corporate"/>
    <s v="Online"/>
    <x v="1"/>
    <n v="2"/>
    <n v="54066.1"/>
    <n v="10"/>
    <n v="97318.98"/>
    <x v="3"/>
  </r>
  <r>
    <s v="ORD10075"/>
    <d v="2025-10-21T00:00:00"/>
    <x v="0"/>
    <x v="9"/>
    <x v="1"/>
    <x v="1"/>
    <x v="14"/>
    <s v="Small Business"/>
    <s v="Online"/>
    <x v="1"/>
    <n v="2"/>
    <n v="2192.58"/>
    <n v="0"/>
    <n v="4385.17"/>
    <x v="3"/>
  </r>
  <r>
    <s v="ORD10412"/>
    <d v="2025-10-22T00:00:00"/>
    <x v="3"/>
    <x v="9"/>
    <x v="7"/>
    <x v="0"/>
    <x v="18"/>
    <s v="Home Office"/>
    <s v="Retail Store"/>
    <x v="4"/>
    <n v="2"/>
    <n v="66822.39"/>
    <n v="10"/>
    <n v="120280.3"/>
    <x v="0"/>
  </r>
  <r>
    <s v="ORD10606"/>
    <d v="2025-10-23T00:00:00"/>
    <x v="1"/>
    <x v="9"/>
    <x v="4"/>
    <x v="3"/>
    <x v="7"/>
    <s v="Home Office"/>
    <s v="Distributor"/>
    <x v="3"/>
    <n v="5"/>
    <n v="35454.14"/>
    <n v="20"/>
    <n v="141816.57999999999"/>
    <x v="0"/>
  </r>
  <r>
    <s v="ORD12388"/>
    <d v="2025-10-24T00:00:00"/>
    <x v="2"/>
    <x v="9"/>
    <x v="2"/>
    <x v="4"/>
    <x v="5"/>
    <s v="Corporate"/>
    <s v="Online"/>
    <x v="2"/>
    <n v="4"/>
    <n v="37577.269999999997"/>
    <n v="10"/>
    <n v="135278.18"/>
    <x v="3"/>
  </r>
  <r>
    <s v="ORD12488"/>
    <d v="2025-10-25T00:00:00"/>
    <x v="1"/>
    <x v="9"/>
    <x v="9"/>
    <x v="4"/>
    <x v="12"/>
    <s v="Corporate"/>
    <s v="Online"/>
    <x v="1"/>
    <n v="5"/>
    <n v="50713.47"/>
    <n v="10"/>
    <n v="228210.59"/>
    <x v="3"/>
  </r>
  <r>
    <s v="ORD11307"/>
    <d v="2025-10-26T00:00:00"/>
    <x v="3"/>
    <x v="9"/>
    <x v="6"/>
    <x v="0"/>
    <x v="18"/>
    <s v="Consumer"/>
    <s v="Online"/>
    <x v="2"/>
    <n v="4"/>
    <n v="54224.38"/>
    <n v="20"/>
    <n v="173518.01"/>
    <x v="3"/>
  </r>
  <r>
    <s v="ORD12042"/>
    <d v="2025-10-27T00:00:00"/>
    <x v="1"/>
    <x v="9"/>
    <x v="3"/>
    <x v="1"/>
    <x v="13"/>
    <s v="Small Business"/>
    <s v="Online"/>
    <x v="2"/>
    <n v="4"/>
    <n v="2132.6"/>
    <n v="20"/>
    <n v="6824.31"/>
    <x v="3"/>
  </r>
  <r>
    <s v="ORD11593"/>
    <d v="2025-10-28T00:00:00"/>
    <x v="3"/>
    <x v="9"/>
    <x v="2"/>
    <x v="2"/>
    <x v="16"/>
    <s v="Home Office"/>
    <s v="Retail Store"/>
    <x v="2"/>
    <n v="4"/>
    <n v="5068.79"/>
    <n v="20"/>
    <n v="16220.14"/>
    <x v="2"/>
  </r>
  <r>
    <s v="ORD11104"/>
    <d v="2025-10-29T00:00:00"/>
    <x v="3"/>
    <x v="9"/>
    <x v="0"/>
    <x v="2"/>
    <x v="17"/>
    <s v="Corporate"/>
    <s v="Online"/>
    <x v="1"/>
    <n v="3"/>
    <n v="7119.91"/>
    <n v="5"/>
    <n v="20291.759999999998"/>
    <x v="2"/>
  </r>
  <r>
    <s v="ORD11201"/>
    <d v="2025-10-30T00:00:00"/>
    <x v="3"/>
    <x v="9"/>
    <x v="3"/>
    <x v="4"/>
    <x v="9"/>
    <s v="Small Business"/>
    <s v="Retail Store"/>
    <x v="3"/>
    <n v="1"/>
    <n v="38713.120000000003"/>
    <n v="10"/>
    <n v="34841.81"/>
    <x v="3"/>
  </r>
  <r>
    <s v="ORD10435"/>
    <d v="2025-10-31T00:00:00"/>
    <x v="2"/>
    <x v="9"/>
    <x v="0"/>
    <x v="1"/>
    <x v="1"/>
    <s v="Consumer"/>
    <s v="Distributor"/>
    <x v="4"/>
    <n v="1"/>
    <n v="1992.11"/>
    <n v="0"/>
    <n v="1992.11"/>
    <x v="0"/>
  </r>
  <r>
    <s v="ORD11700"/>
    <d v="2025-11-01T00:00:00"/>
    <x v="3"/>
    <x v="10"/>
    <x v="2"/>
    <x v="4"/>
    <x v="9"/>
    <s v="Corporate"/>
    <s v="Retail Store"/>
    <x v="0"/>
    <n v="5"/>
    <n v="42786.84"/>
    <n v="10"/>
    <n v="192540.78"/>
    <x v="3"/>
  </r>
  <r>
    <s v="ORD12499"/>
    <d v="2025-11-02T00:00:00"/>
    <x v="3"/>
    <x v="10"/>
    <x v="6"/>
    <x v="1"/>
    <x v="1"/>
    <s v="Home Office"/>
    <s v="Retail Store"/>
    <x v="2"/>
    <n v="1"/>
    <n v="2623.11"/>
    <n v="20"/>
    <n v="2098.4899999999998"/>
    <x v="3"/>
  </r>
  <r>
    <s v="ORD11190"/>
    <d v="2025-11-03T00:00:00"/>
    <x v="4"/>
    <x v="10"/>
    <x v="0"/>
    <x v="4"/>
    <x v="10"/>
    <s v="Home Office"/>
    <s v="Retail Store"/>
    <x v="3"/>
    <n v="5"/>
    <n v="48218.97"/>
    <n v="15"/>
    <n v="204930.61"/>
    <x v="2"/>
  </r>
  <r>
    <s v="ORD10014"/>
    <d v="2025-11-04T00:00:00"/>
    <x v="1"/>
    <x v="10"/>
    <x v="1"/>
    <x v="0"/>
    <x v="18"/>
    <s v="Corporate"/>
    <s v="Retail Store"/>
    <x v="2"/>
    <n v="5"/>
    <n v="49817.11"/>
    <n v="15"/>
    <n v="211722.71"/>
    <x v="2"/>
  </r>
  <r>
    <s v="ORD11865"/>
    <d v="2025-11-05T00:00:00"/>
    <x v="4"/>
    <x v="10"/>
    <x v="8"/>
    <x v="0"/>
    <x v="0"/>
    <s v="Small Business"/>
    <s v="Retail Store"/>
    <x v="4"/>
    <n v="5"/>
    <n v="48182.91"/>
    <n v="10"/>
    <n v="216823.1"/>
    <x v="1"/>
  </r>
  <r>
    <s v="ORD11581"/>
    <d v="2025-11-06T00:00:00"/>
    <x v="3"/>
    <x v="10"/>
    <x v="1"/>
    <x v="2"/>
    <x v="16"/>
    <s v="Home Office"/>
    <s v="Online"/>
    <x v="0"/>
    <n v="4"/>
    <n v="7646.41"/>
    <n v="10"/>
    <n v="27527.07"/>
    <x v="3"/>
  </r>
  <r>
    <s v="ORD10926"/>
    <d v="2025-11-07T00:00:00"/>
    <x v="0"/>
    <x v="10"/>
    <x v="7"/>
    <x v="2"/>
    <x v="17"/>
    <s v="Small Business"/>
    <s v="Retail Store"/>
    <x v="0"/>
    <n v="2"/>
    <n v="7096.42"/>
    <n v="5"/>
    <n v="13483.2"/>
    <x v="0"/>
  </r>
  <r>
    <s v="ORD10058"/>
    <d v="2025-11-08T00:00:00"/>
    <x v="2"/>
    <x v="10"/>
    <x v="7"/>
    <x v="3"/>
    <x v="15"/>
    <s v="Corporate"/>
    <s v="Online"/>
    <x v="4"/>
    <n v="2"/>
    <n v="30664.74"/>
    <n v="5"/>
    <n v="58263"/>
    <x v="2"/>
  </r>
  <r>
    <s v="ORD10743"/>
    <d v="2025-11-09T00:00:00"/>
    <x v="4"/>
    <x v="10"/>
    <x v="9"/>
    <x v="4"/>
    <x v="10"/>
    <s v="Consumer"/>
    <s v="Online"/>
    <x v="4"/>
    <n v="5"/>
    <n v="51185.79"/>
    <n v="10"/>
    <n v="230336.06"/>
    <x v="3"/>
  </r>
  <r>
    <s v="ORD10006"/>
    <d v="2025-11-10T00:00:00"/>
    <x v="3"/>
    <x v="10"/>
    <x v="1"/>
    <x v="3"/>
    <x v="15"/>
    <s v="Consumer"/>
    <s v="Distributor"/>
    <x v="1"/>
    <n v="2"/>
    <n v="34309.72"/>
    <n v="0"/>
    <n v="68619.44"/>
    <x v="1"/>
  </r>
  <r>
    <s v="ORD10657"/>
    <d v="2025-11-11T00:00:00"/>
    <x v="1"/>
    <x v="10"/>
    <x v="0"/>
    <x v="3"/>
    <x v="3"/>
    <s v="Consumer"/>
    <s v="Retail Store"/>
    <x v="0"/>
    <n v="5"/>
    <n v="35911.64"/>
    <n v="5"/>
    <n v="170580.3"/>
    <x v="3"/>
  </r>
  <r>
    <s v="ORD10332"/>
    <d v="2025-11-12T00:00:00"/>
    <x v="2"/>
    <x v="10"/>
    <x v="3"/>
    <x v="2"/>
    <x v="11"/>
    <s v="Corporate"/>
    <s v="Distributor"/>
    <x v="2"/>
    <n v="2"/>
    <n v="6481.79"/>
    <n v="15"/>
    <n v="11019.03"/>
    <x v="3"/>
  </r>
  <r>
    <s v="ORD12408"/>
    <d v="2025-11-13T00:00:00"/>
    <x v="1"/>
    <x v="10"/>
    <x v="2"/>
    <x v="1"/>
    <x v="1"/>
    <s v="Consumer"/>
    <s v="Distributor"/>
    <x v="2"/>
    <n v="2"/>
    <n v="2379.87"/>
    <n v="5"/>
    <n v="4521.76"/>
    <x v="2"/>
  </r>
  <r>
    <s v="ORD10322"/>
    <d v="2025-11-14T00:00:00"/>
    <x v="2"/>
    <x v="10"/>
    <x v="8"/>
    <x v="2"/>
    <x v="17"/>
    <s v="Home Office"/>
    <s v="Distributor"/>
    <x v="3"/>
    <n v="3"/>
    <n v="6767.15"/>
    <n v="10"/>
    <n v="18271.3"/>
    <x v="3"/>
  </r>
  <r>
    <s v="ORD11797"/>
    <d v="2025-11-15T00:00:00"/>
    <x v="3"/>
    <x v="10"/>
    <x v="2"/>
    <x v="2"/>
    <x v="2"/>
    <s v="Corporate"/>
    <s v="Retail Store"/>
    <x v="0"/>
    <n v="4"/>
    <n v="6030.51"/>
    <n v="15"/>
    <n v="20503.740000000002"/>
    <x v="3"/>
  </r>
  <r>
    <s v="ORD11750"/>
    <d v="2025-11-16T00:00:00"/>
    <x v="3"/>
    <x v="10"/>
    <x v="5"/>
    <x v="2"/>
    <x v="11"/>
    <s v="Home Office"/>
    <s v="Retail Store"/>
    <x v="4"/>
    <n v="5"/>
    <n v="6119.28"/>
    <n v="15"/>
    <n v="26006.92"/>
    <x v="0"/>
  </r>
  <r>
    <s v="ORD10190"/>
    <d v="2025-11-17T00:00:00"/>
    <x v="1"/>
    <x v="10"/>
    <x v="2"/>
    <x v="1"/>
    <x v="14"/>
    <s v="Small Business"/>
    <s v="Retail Store"/>
    <x v="1"/>
    <n v="3"/>
    <n v="2514.56"/>
    <n v="10"/>
    <n v="6789.31"/>
    <x v="3"/>
  </r>
  <r>
    <s v="ORD11528"/>
    <d v="2025-11-18T00:00:00"/>
    <x v="0"/>
    <x v="10"/>
    <x v="4"/>
    <x v="2"/>
    <x v="16"/>
    <s v="Consumer"/>
    <s v="Retail Store"/>
    <x v="1"/>
    <n v="2"/>
    <n v="7057.95"/>
    <n v="0"/>
    <n v="14115.89"/>
    <x v="3"/>
  </r>
  <r>
    <s v="ORD11426"/>
    <d v="2025-11-19T00:00:00"/>
    <x v="2"/>
    <x v="10"/>
    <x v="1"/>
    <x v="2"/>
    <x v="2"/>
    <s v="Small Business"/>
    <s v="Retail Store"/>
    <x v="1"/>
    <n v="3"/>
    <n v="6338.75"/>
    <n v="0"/>
    <n v="19016.259999999998"/>
    <x v="1"/>
  </r>
  <r>
    <s v="ORD10196"/>
    <d v="2025-11-20T00:00:00"/>
    <x v="1"/>
    <x v="10"/>
    <x v="7"/>
    <x v="4"/>
    <x v="12"/>
    <s v="Home Office"/>
    <s v="Retail Store"/>
    <x v="2"/>
    <n v="1"/>
    <n v="38423.61"/>
    <n v="5"/>
    <n v="36502.43"/>
    <x v="3"/>
  </r>
  <r>
    <s v="ORD11833"/>
    <d v="2025-11-21T00:00:00"/>
    <x v="1"/>
    <x v="10"/>
    <x v="4"/>
    <x v="0"/>
    <x v="18"/>
    <s v="Corporate"/>
    <s v="Retail Store"/>
    <x v="1"/>
    <n v="1"/>
    <n v="55307.79"/>
    <n v="5"/>
    <n v="52542.400000000001"/>
    <x v="3"/>
  </r>
  <r>
    <s v="ORD12361"/>
    <d v="2025-11-22T00:00:00"/>
    <x v="3"/>
    <x v="10"/>
    <x v="9"/>
    <x v="2"/>
    <x v="17"/>
    <s v="Small Business"/>
    <s v="Distributor"/>
    <x v="1"/>
    <n v="1"/>
    <n v="6679.99"/>
    <n v="0"/>
    <n v="6679.99"/>
    <x v="1"/>
  </r>
  <r>
    <s v="ORD12333"/>
    <d v="2025-11-23T00:00:00"/>
    <x v="3"/>
    <x v="10"/>
    <x v="7"/>
    <x v="0"/>
    <x v="8"/>
    <s v="Consumer"/>
    <s v="Retail Store"/>
    <x v="2"/>
    <n v="1"/>
    <n v="72122.149999999994"/>
    <n v="20"/>
    <n v="57697.72"/>
    <x v="3"/>
  </r>
  <r>
    <s v="ORD11834"/>
    <d v="2025-11-24T00:00:00"/>
    <x v="4"/>
    <x v="10"/>
    <x v="6"/>
    <x v="4"/>
    <x v="9"/>
    <s v="Small Business"/>
    <s v="Retail Store"/>
    <x v="3"/>
    <n v="1"/>
    <n v="31596.240000000002"/>
    <n v="0"/>
    <n v="31596.240000000002"/>
    <x v="2"/>
  </r>
  <r>
    <s v="ORD12040"/>
    <d v="2025-11-25T00:00:00"/>
    <x v="0"/>
    <x v="10"/>
    <x v="6"/>
    <x v="4"/>
    <x v="12"/>
    <s v="Consumer"/>
    <s v="Distributor"/>
    <x v="3"/>
    <n v="2"/>
    <n v="38803.620000000003"/>
    <n v="20"/>
    <n v="62085.79"/>
    <x v="3"/>
  </r>
  <r>
    <s v="ORD10607"/>
    <d v="2025-11-26T00:00:00"/>
    <x v="3"/>
    <x v="10"/>
    <x v="9"/>
    <x v="1"/>
    <x v="1"/>
    <s v="Home Office"/>
    <s v="Retail Store"/>
    <x v="3"/>
    <n v="1"/>
    <n v="1935.7"/>
    <n v="5"/>
    <n v="1838.92"/>
    <x v="3"/>
  </r>
  <r>
    <s v="ORD11613"/>
    <d v="2025-11-27T00:00:00"/>
    <x v="1"/>
    <x v="10"/>
    <x v="4"/>
    <x v="3"/>
    <x v="3"/>
    <s v="Consumer"/>
    <s v="Retail Store"/>
    <x v="4"/>
    <n v="2"/>
    <n v="25582.7"/>
    <n v="0"/>
    <n v="51165.41"/>
    <x v="3"/>
  </r>
  <r>
    <s v="ORD11169"/>
    <d v="2025-11-28T00:00:00"/>
    <x v="3"/>
    <x v="10"/>
    <x v="4"/>
    <x v="3"/>
    <x v="3"/>
    <s v="Home Office"/>
    <s v="Online"/>
    <x v="0"/>
    <n v="2"/>
    <n v="39311.26"/>
    <n v="10"/>
    <n v="70760.28"/>
    <x v="3"/>
  </r>
  <r>
    <s v="ORD10027"/>
    <d v="2025-11-29T00:00:00"/>
    <x v="3"/>
    <x v="10"/>
    <x v="5"/>
    <x v="1"/>
    <x v="1"/>
    <s v="Corporate"/>
    <s v="Online"/>
    <x v="3"/>
    <n v="1"/>
    <n v="2661.31"/>
    <n v="5"/>
    <n v="2528.2399999999998"/>
    <x v="3"/>
  </r>
  <r>
    <s v="ORD10543"/>
    <d v="2025-11-30T00:00:00"/>
    <x v="0"/>
    <x v="10"/>
    <x v="3"/>
    <x v="3"/>
    <x v="7"/>
    <s v="Small Business"/>
    <s v="Distributor"/>
    <x v="3"/>
    <n v="3"/>
    <n v="31141.17"/>
    <n v="10"/>
    <n v="84081.17"/>
    <x v="3"/>
  </r>
  <r>
    <s v="ORD10736"/>
    <d v="2025-12-01T00:00:00"/>
    <x v="1"/>
    <x v="11"/>
    <x v="1"/>
    <x v="2"/>
    <x v="2"/>
    <s v="Small Business"/>
    <s v="Online"/>
    <x v="4"/>
    <n v="1"/>
    <n v="8123.03"/>
    <n v="10"/>
    <n v="7310.73"/>
    <x v="3"/>
  </r>
  <r>
    <s v="ORD11064"/>
    <d v="2025-12-02T00:00:00"/>
    <x v="2"/>
    <x v="11"/>
    <x v="7"/>
    <x v="0"/>
    <x v="18"/>
    <s v="Consumer"/>
    <s v="Retail Store"/>
    <x v="4"/>
    <n v="4"/>
    <n v="52252.639999999999"/>
    <n v="15"/>
    <n v="177658.97"/>
    <x v="2"/>
  </r>
  <r>
    <s v="ORD12269"/>
    <d v="2025-12-03T00:00:00"/>
    <x v="1"/>
    <x v="11"/>
    <x v="6"/>
    <x v="2"/>
    <x v="11"/>
    <s v="Consumer"/>
    <s v="Online"/>
    <x v="3"/>
    <n v="5"/>
    <n v="7883.55"/>
    <n v="10"/>
    <n v="35475.96"/>
    <x v="1"/>
  </r>
  <r>
    <s v="ORD11347"/>
    <d v="2025-12-04T00:00:00"/>
    <x v="4"/>
    <x v="11"/>
    <x v="5"/>
    <x v="3"/>
    <x v="3"/>
    <s v="Corporate"/>
    <s v="Online"/>
    <x v="1"/>
    <n v="5"/>
    <n v="27585.67"/>
    <n v="10"/>
    <n v="124135.51"/>
    <x v="3"/>
  </r>
  <r>
    <s v="ORD11461"/>
    <d v="2025-12-05T00:00:00"/>
    <x v="2"/>
    <x v="11"/>
    <x v="8"/>
    <x v="0"/>
    <x v="18"/>
    <s v="Small Business"/>
    <s v="Retail Store"/>
    <x v="4"/>
    <n v="5"/>
    <n v="61262.29"/>
    <n v="10"/>
    <n v="275680.31"/>
    <x v="3"/>
  </r>
  <r>
    <s v="ORD11220"/>
    <d v="2025-12-06T00:00:00"/>
    <x v="3"/>
    <x v="11"/>
    <x v="4"/>
    <x v="0"/>
    <x v="8"/>
    <s v="Consumer"/>
    <s v="Retail Store"/>
    <x v="0"/>
    <n v="5"/>
    <n v="51545.599999999999"/>
    <n v="0"/>
    <n v="257728"/>
    <x v="1"/>
  </r>
  <r>
    <s v="ORD10998"/>
    <d v="2025-12-07T00:00:00"/>
    <x v="0"/>
    <x v="11"/>
    <x v="7"/>
    <x v="4"/>
    <x v="9"/>
    <s v="Corporate"/>
    <s v="Online"/>
    <x v="2"/>
    <n v="4"/>
    <n v="40488.61"/>
    <n v="0"/>
    <n v="161954.43"/>
    <x v="0"/>
  </r>
  <r>
    <s v="ORD10769"/>
    <d v="2025-12-08T00:00:00"/>
    <x v="1"/>
    <x v="11"/>
    <x v="4"/>
    <x v="1"/>
    <x v="14"/>
    <s v="Home Office"/>
    <s v="Retail Store"/>
    <x v="3"/>
    <n v="5"/>
    <n v="2295.54"/>
    <n v="10"/>
    <n v="10329.92"/>
    <x v="0"/>
  </r>
  <r>
    <s v="ORD10139"/>
    <d v="2025-12-09T00:00:00"/>
    <x v="4"/>
    <x v="11"/>
    <x v="5"/>
    <x v="1"/>
    <x v="14"/>
    <s v="Corporate"/>
    <s v="Retail Store"/>
    <x v="3"/>
    <n v="3"/>
    <n v="1974.07"/>
    <n v="20"/>
    <n v="4737.7700000000004"/>
    <x v="3"/>
  </r>
  <r>
    <s v="ORD10626"/>
    <d v="2025-12-10T00:00:00"/>
    <x v="3"/>
    <x v="11"/>
    <x v="8"/>
    <x v="1"/>
    <x v="1"/>
    <s v="Home Office"/>
    <s v="Retail Store"/>
    <x v="1"/>
    <n v="5"/>
    <n v="2398.79"/>
    <n v="10"/>
    <n v="10794.54"/>
    <x v="2"/>
  </r>
  <r>
    <s v="ORD10449"/>
    <d v="2025-12-11T00:00:00"/>
    <x v="3"/>
    <x v="11"/>
    <x v="3"/>
    <x v="3"/>
    <x v="19"/>
    <s v="Home Office"/>
    <s v="Retail Store"/>
    <x v="4"/>
    <n v="3"/>
    <n v="28186.44"/>
    <n v="0"/>
    <n v="84559.32"/>
    <x v="3"/>
  </r>
  <r>
    <s v="ORD12407"/>
    <d v="2025-12-12T00:00:00"/>
    <x v="4"/>
    <x v="11"/>
    <x v="9"/>
    <x v="1"/>
    <x v="1"/>
    <s v="Corporate"/>
    <s v="Retail Store"/>
    <x v="3"/>
    <n v="3"/>
    <n v="2393.65"/>
    <n v="15"/>
    <n v="6103.8"/>
    <x v="3"/>
  </r>
  <r>
    <s v="ORD11563"/>
    <d v="2025-12-13T00:00:00"/>
    <x v="3"/>
    <x v="11"/>
    <x v="1"/>
    <x v="0"/>
    <x v="6"/>
    <s v="Consumer"/>
    <s v="Retail Store"/>
    <x v="3"/>
    <n v="2"/>
    <n v="57471.5"/>
    <n v="5"/>
    <n v="109195.85"/>
    <x v="3"/>
  </r>
  <r>
    <s v="ORD11674"/>
    <d v="2025-12-14T00:00:00"/>
    <x v="0"/>
    <x v="11"/>
    <x v="6"/>
    <x v="2"/>
    <x v="17"/>
    <s v="Corporate"/>
    <s v="Distributor"/>
    <x v="3"/>
    <n v="2"/>
    <n v="7873.27"/>
    <n v="5"/>
    <n v="14959.2"/>
    <x v="3"/>
  </r>
  <r>
    <s v="ORD12387"/>
    <d v="2025-12-15T00:00:00"/>
    <x v="1"/>
    <x v="11"/>
    <x v="4"/>
    <x v="0"/>
    <x v="18"/>
    <s v="Home Office"/>
    <s v="Retail Store"/>
    <x v="0"/>
    <n v="2"/>
    <n v="47676.14"/>
    <n v="20"/>
    <n v="76281.83"/>
    <x v="3"/>
  </r>
  <r>
    <s v="ORD11379"/>
    <d v="2025-12-16T00:00:00"/>
    <x v="4"/>
    <x v="11"/>
    <x v="4"/>
    <x v="2"/>
    <x v="16"/>
    <s v="Corporate"/>
    <s v="Online"/>
    <x v="0"/>
    <n v="5"/>
    <n v="5346.28"/>
    <n v="5"/>
    <n v="25394.85"/>
    <x v="1"/>
  </r>
  <r>
    <s v="ORD11009"/>
    <d v="2025-12-17T00:00:00"/>
    <x v="4"/>
    <x v="11"/>
    <x v="0"/>
    <x v="3"/>
    <x v="3"/>
    <s v="Small Business"/>
    <s v="Retail Store"/>
    <x v="0"/>
    <n v="4"/>
    <n v="31497.5"/>
    <n v="20"/>
    <n v="100792"/>
    <x v="1"/>
  </r>
  <r>
    <s v="ORD11165"/>
    <d v="2025-12-18T00:00:00"/>
    <x v="1"/>
    <x v="11"/>
    <x v="3"/>
    <x v="0"/>
    <x v="8"/>
    <s v="Corporate"/>
    <s v="Distributor"/>
    <x v="4"/>
    <n v="4"/>
    <n v="70813.13"/>
    <n v="5"/>
    <n v="269089.88"/>
    <x v="2"/>
  </r>
  <r>
    <s v="ORD10629"/>
    <d v="2025-12-19T00:00:00"/>
    <x v="2"/>
    <x v="11"/>
    <x v="7"/>
    <x v="0"/>
    <x v="8"/>
    <s v="Small Business"/>
    <s v="Retail Store"/>
    <x v="4"/>
    <n v="4"/>
    <n v="51363.96"/>
    <n v="5"/>
    <n v="195183.05"/>
    <x v="3"/>
  </r>
  <r>
    <s v="ORD10860"/>
    <d v="2025-12-20T00:00:00"/>
    <x v="2"/>
    <x v="11"/>
    <x v="4"/>
    <x v="2"/>
    <x v="2"/>
    <s v="Home Office"/>
    <s v="Distributor"/>
    <x v="4"/>
    <n v="4"/>
    <n v="5615.36"/>
    <n v="10"/>
    <n v="20215.3"/>
    <x v="3"/>
  </r>
  <r>
    <s v="ORD11282"/>
    <d v="2025-12-21T00:00:00"/>
    <x v="3"/>
    <x v="11"/>
    <x v="0"/>
    <x v="3"/>
    <x v="3"/>
    <s v="Home Office"/>
    <s v="Online"/>
    <x v="0"/>
    <n v="2"/>
    <n v="26258.97"/>
    <n v="5"/>
    <n v="49892.04"/>
    <x v="1"/>
  </r>
  <r>
    <s v="ORD11718"/>
    <d v="2025-12-22T00:00:00"/>
    <x v="3"/>
    <x v="11"/>
    <x v="7"/>
    <x v="3"/>
    <x v="3"/>
    <s v="Home Office"/>
    <s v="Retail Store"/>
    <x v="2"/>
    <n v="1"/>
    <n v="28162.42"/>
    <n v="10"/>
    <n v="25346.18"/>
    <x v="3"/>
  </r>
  <r>
    <s v="ORD11143"/>
    <d v="2025-12-23T00:00:00"/>
    <x v="0"/>
    <x v="11"/>
    <x v="3"/>
    <x v="2"/>
    <x v="16"/>
    <s v="Corporate"/>
    <s v="Retail Store"/>
    <x v="2"/>
    <n v="2"/>
    <n v="5484.92"/>
    <n v="10"/>
    <n v="9872.85"/>
    <x v="3"/>
  </r>
  <r>
    <s v="ORD11621"/>
    <d v="2025-12-24T00:00:00"/>
    <x v="0"/>
    <x v="11"/>
    <x v="2"/>
    <x v="2"/>
    <x v="2"/>
    <s v="Small Business"/>
    <s v="Online"/>
    <x v="3"/>
    <n v="1"/>
    <n v="7145.41"/>
    <n v="10"/>
    <n v="6430.87"/>
    <x v="3"/>
  </r>
  <r>
    <s v="ORD10115"/>
    <d v="2025-12-25T00:00:00"/>
    <x v="0"/>
    <x v="11"/>
    <x v="3"/>
    <x v="3"/>
    <x v="19"/>
    <s v="Small Business"/>
    <s v="Distributor"/>
    <x v="0"/>
    <n v="4"/>
    <n v="37192.85"/>
    <n v="0"/>
    <n v="148771.41"/>
    <x v="0"/>
  </r>
  <r>
    <s v="ORD11578"/>
    <d v="2025-12-26T00:00:00"/>
    <x v="0"/>
    <x v="11"/>
    <x v="3"/>
    <x v="1"/>
    <x v="1"/>
    <s v="Small Business"/>
    <s v="Retail Store"/>
    <x v="0"/>
    <n v="1"/>
    <n v="2033.64"/>
    <n v="15"/>
    <n v="1728.59"/>
    <x v="3"/>
  </r>
  <r>
    <s v="ORD12340"/>
    <d v="2025-12-27T00:00:00"/>
    <x v="2"/>
    <x v="11"/>
    <x v="7"/>
    <x v="1"/>
    <x v="1"/>
    <s v="Corporate"/>
    <s v="Online"/>
    <x v="1"/>
    <n v="1"/>
    <n v="1885.23"/>
    <n v="0"/>
    <n v="1885.23"/>
    <x v="0"/>
  </r>
  <r>
    <s v="ORD11878"/>
    <d v="2025-12-28T00:00:00"/>
    <x v="2"/>
    <x v="11"/>
    <x v="4"/>
    <x v="3"/>
    <x v="19"/>
    <s v="Corporate"/>
    <s v="Online"/>
    <x v="1"/>
    <n v="4"/>
    <n v="30246.29"/>
    <n v="15"/>
    <n v="102837.39"/>
    <x v="1"/>
  </r>
  <r>
    <s v="ORD10244"/>
    <d v="2025-12-29T00:00:00"/>
    <x v="2"/>
    <x v="11"/>
    <x v="5"/>
    <x v="0"/>
    <x v="8"/>
    <s v="Small Business"/>
    <s v="Retail Store"/>
    <x v="2"/>
    <n v="2"/>
    <n v="46775.13"/>
    <n v="0"/>
    <n v="93550.25"/>
    <x v="2"/>
  </r>
  <r>
    <s v="ORD12267"/>
    <d v="2025-12-30T00:00:00"/>
    <x v="4"/>
    <x v="11"/>
    <x v="1"/>
    <x v="0"/>
    <x v="6"/>
    <s v="Small Business"/>
    <s v="Distributor"/>
    <x v="1"/>
    <n v="4"/>
    <n v="65011.14"/>
    <n v="5"/>
    <n v="247042.32"/>
    <x v="1"/>
  </r>
  <r>
    <s v="ORD11760"/>
    <d v="2025-12-31T00:00:00"/>
    <x v="4"/>
    <x v="11"/>
    <x v="2"/>
    <x v="0"/>
    <x v="6"/>
    <s v="Home Office"/>
    <s v="Retail Store"/>
    <x v="1"/>
    <n v="2"/>
    <n v="72196.710000000006"/>
    <n v="0"/>
    <n v="144393.41"/>
    <x v="3"/>
  </r>
  <r>
    <s v="ORD10603"/>
    <d v="2026-01-01T00:00:00"/>
    <x v="3"/>
    <x v="0"/>
    <x v="7"/>
    <x v="1"/>
    <x v="14"/>
    <s v="Small Business"/>
    <s v="Online"/>
    <x v="3"/>
    <n v="1"/>
    <n v="3070.01"/>
    <n v="20"/>
    <n v="2456.0100000000002"/>
    <x v="1"/>
  </r>
  <r>
    <s v="ORD12355"/>
    <d v="2026-01-02T00:00:00"/>
    <x v="1"/>
    <x v="0"/>
    <x v="3"/>
    <x v="2"/>
    <x v="17"/>
    <s v="Home Office"/>
    <s v="Retail Store"/>
    <x v="4"/>
    <n v="1"/>
    <n v="7102.41"/>
    <n v="10"/>
    <n v="6392.17"/>
    <x v="3"/>
  </r>
  <r>
    <s v="ORD11736"/>
    <d v="2026-01-03T00:00:00"/>
    <x v="1"/>
    <x v="0"/>
    <x v="1"/>
    <x v="0"/>
    <x v="6"/>
    <s v="Home Office"/>
    <s v="Online"/>
    <x v="0"/>
    <n v="1"/>
    <n v="72325.42"/>
    <n v="10"/>
    <n v="65092.88"/>
    <x v="1"/>
  </r>
  <r>
    <s v="ORD12320"/>
    <d v="2026-01-04T00:00:00"/>
    <x v="1"/>
    <x v="0"/>
    <x v="1"/>
    <x v="3"/>
    <x v="19"/>
    <s v="Consumer"/>
    <s v="Online"/>
    <x v="1"/>
    <n v="4"/>
    <n v="36703.360000000001"/>
    <n v="20"/>
    <n v="117450.76"/>
    <x v="0"/>
  </r>
  <r>
    <s v="ORD11252"/>
    <d v="2026-01-05T00:00:00"/>
    <x v="1"/>
    <x v="0"/>
    <x v="4"/>
    <x v="0"/>
    <x v="18"/>
    <s v="Home Office"/>
    <s v="Retail Store"/>
    <x v="1"/>
    <n v="4"/>
    <n v="55607.74"/>
    <n v="0"/>
    <n v="222430.98"/>
    <x v="3"/>
  </r>
  <r>
    <s v="ORD11299"/>
    <d v="2026-01-06T00:00:00"/>
    <x v="1"/>
    <x v="0"/>
    <x v="5"/>
    <x v="3"/>
    <x v="15"/>
    <s v="Consumer"/>
    <s v="Distributor"/>
    <x v="3"/>
    <n v="4"/>
    <n v="25706"/>
    <n v="10"/>
    <n v="92541.59"/>
    <x v="3"/>
  </r>
  <r>
    <s v="ORD11096"/>
    <d v="2026-01-07T00:00:00"/>
    <x v="3"/>
    <x v="0"/>
    <x v="9"/>
    <x v="2"/>
    <x v="11"/>
    <s v="Consumer"/>
    <s v="Retail Store"/>
    <x v="0"/>
    <n v="3"/>
    <n v="5235.07"/>
    <n v="5"/>
    <n v="14919.95"/>
    <x v="3"/>
  </r>
  <r>
    <s v="ORD11013"/>
    <d v="2026-01-08T00:00:00"/>
    <x v="0"/>
    <x v="0"/>
    <x v="1"/>
    <x v="4"/>
    <x v="12"/>
    <s v="Corporate"/>
    <s v="Retail Store"/>
    <x v="0"/>
    <n v="5"/>
    <n v="31759.38"/>
    <n v="10"/>
    <n v="142917.21"/>
    <x v="3"/>
  </r>
  <r>
    <s v="ORD10164"/>
    <d v="2026-01-09T00:00:00"/>
    <x v="4"/>
    <x v="0"/>
    <x v="6"/>
    <x v="4"/>
    <x v="9"/>
    <s v="Corporate"/>
    <s v="Online"/>
    <x v="4"/>
    <n v="4"/>
    <n v="43646.93"/>
    <n v="20"/>
    <n v="139670.17000000001"/>
    <x v="1"/>
  </r>
  <r>
    <s v="ORD11904"/>
    <d v="2026-01-10T00:00:00"/>
    <x v="4"/>
    <x v="0"/>
    <x v="1"/>
    <x v="0"/>
    <x v="18"/>
    <s v="Consumer"/>
    <s v="Online"/>
    <x v="4"/>
    <n v="5"/>
    <n v="53914.35"/>
    <n v="0"/>
    <n v="269571.76"/>
    <x v="3"/>
  </r>
  <r>
    <s v="ORD11861"/>
    <d v="2026-01-11T00:00:00"/>
    <x v="4"/>
    <x v="0"/>
    <x v="8"/>
    <x v="1"/>
    <x v="13"/>
    <s v="Home Office"/>
    <s v="Retail Store"/>
    <x v="1"/>
    <n v="2"/>
    <n v="2289.15"/>
    <n v="5"/>
    <n v="4349.3900000000003"/>
    <x v="2"/>
  </r>
  <r>
    <s v="ORD12338"/>
    <d v="2026-01-12T00:00:00"/>
    <x v="0"/>
    <x v="0"/>
    <x v="9"/>
    <x v="0"/>
    <x v="18"/>
    <s v="Corporate"/>
    <s v="Retail Store"/>
    <x v="1"/>
    <n v="5"/>
    <n v="65885.440000000002"/>
    <n v="10"/>
    <n v="296484.46000000002"/>
    <x v="0"/>
  </r>
  <r>
    <s v="ORD10865"/>
    <d v="2026-01-13T00:00:00"/>
    <x v="3"/>
    <x v="0"/>
    <x v="5"/>
    <x v="4"/>
    <x v="12"/>
    <s v="Home Office"/>
    <s v="Retail Store"/>
    <x v="1"/>
    <n v="3"/>
    <n v="37083.129999999997"/>
    <n v="5"/>
    <n v="105686.91"/>
    <x v="2"/>
  </r>
  <r>
    <s v="ORD12330"/>
    <d v="2026-01-14T00:00:00"/>
    <x v="4"/>
    <x v="0"/>
    <x v="5"/>
    <x v="2"/>
    <x v="17"/>
    <s v="Home Office"/>
    <s v="Distributor"/>
    <x v="2"/>
    <n v="5"/>
    <n v="5842.68"/>
    <n v="10"/>
    <n v="26292.04"/>
    <x v="2"/>
  </r>
  <r>
    <s v="ORD10345"/>
    <d v="2026-01-15T00:00:00"/>
    <x v="2"/>
    <x v="0"/>
    <x v="3"/>
    <x v="2"/>
    <x v="11"/>
    <s v="Corporate"/>
    <s v="Retail Store"/>
    <x v="3"/>
    <n v="5"/>
    <n v="8094.42"/>
    <n v="10"/>
    <n v="36424.879999999997"/>
    <x v="2"/>
  </r>
  <r>
    <s v="ORD10812"/>
    <d v="2026-01-16T00:00:00"/>
    <x v="3"/>
    <x v="0"/>
    <x v="7"/>
    <x v="1"/>
    <x v="4"/>
    <s v="Corporate"/>
    <s v="Distributor"/>
    <x v="1"/>
    <n v="4"/>
    <n v="2906.98"/>
    <n v="10"/>
    <n v="10465.14"/>
    <x v="0"/>
  </r>
  <r>
    <s v="ORD11401"/>
    <d v="2026-01-17T00:00:00"/>
    <x v="0"/>
    <x v="0"/>
    <x v="1"/>
    <x v="1"/>
    <x v="1"/>
    <s v="Consumer"/>
    <s v="Online"/>
    <x v="2"/>
    <n v="3"/>
    <n v="2086.77"/>
    <n v="5"/>
    <n v="5947.29"/>
    <x v="3"/>
  </r>
  <r>
    <s v="ORD10538"/>
    <d v="2026-01-18T00:00:00"/>
    <x v="2"/>
    <x v="0"/>
    <x v="6"/>
    <x v="1"/>
    <x v="1"/>
    <s v="Small Business"/>
    <s v="Distributor"/>
    <x v="0"/>
    <n v="4"/>
    <n v="2582.04"/>
    <n v="5"/>
    <n v="9811.76"/>
    <x v="1"/>
  </r>
  <r>
    <s v="ORD11571"/>
    <d v="2026-01-19T00:00:00"/>
    <x v="1"/>
    <x v="0"/>
    <x v="2"/>
    <x v="2"/>
    <x v="2"/>
    <s v="Consumer"/>
    <s v="Retail Store"/>
    <x v="4"/>
    <n v="5"/>
    <n v="4967.5"/>
    <n v="10"/>
    <n v="22353.77"/>
    <x v="2"/>
  </r>
  <r>
    <s v="ORD12197"/>
    <d v="2026-01-20T00:00:00"/>
    <x v="4"/>
    <x v="0"/>
    <x v="1"/>
    <x v="3"/>
    <x v="15"/>
    <s v="Home Office"/>
    <s v="Distributor"/>
    <x v="3"/>
    <n v="5"/>
    <n v="39119.730000000003"/>
    <n v="5"/>
    <n v="185818.7"/>
    <x v="3"/>
  </r>
  <r>
    <s v="ORD12287"/>
    <d v="2026-01-21T00:00:00"/>
    <x v="4"/>
    <x v="0"/>
    <x v="9"/>
    <x v="1"/>
    <x v="13"/>
    <s v="Corporate"/>
    <s v="Online"/>
    <x v="0"/>
    <n v="4"/>
    <n v="2482.31"/>
    <n v="20"/>
    <n v="7943.38"/>
    <x v="3"/>
  </r>
  <r>
    <s v="ORD12324"/>
    <d v="2026-01-22T00:00:00"/>
    <x v="2"/>
    <x v="0"/>
    <x v="3"/>
    <x v="1"/>
    <x v="4"/>
    <s v="Small Business"/>
    <s v="Distributor"/>
    <x v="0"/>
    <n v="1"/>
    <n v="1973.56"/>
    <n v="5"/>
    <n v="1874.88"/>
    <x v="3"/>
  </r>
  <r>
    <s v="ORD11559"/>
    <d v="2026-01-23T00:00:00"/>
    <x v="2"/>
    <x v="0"/>
    <x v="2"/>
    <x v="0"/>
    <x v="0"/>
    <s v="Home Office"/>
    <s v="Distributor"/>
    <x v="0"/>
    <n v="4"/>
    <n v="47059.74"/>
    <n v="10"/>
    <n v="169415.07"/>
    <x v="3"/>
  </r>
  <r>
    <s v="ORD11381"/>
    <d v="2026-01-24T00:00:00"/>
    <x v="0"/>
    <x v="0"/>
    <x v="9"/>
    <x v="3"/>
    <x v="19"/>
    <s v="Corporate"/>
    <s v="Online"/>
    <x v="2"/>
    <n v="1"/>
    <n v="31300.07"/>
    <n v="10"/>
    <n v="28170.07"/>
    <x v="2"/>
  </r>
  <r>
    <s v="ORD11719"/>
    <d v="2026-01-25T00:00:00"/>
    <x v="1"/>
    <x v="0"/>
    <x v="5"/>
    <x v="2"/>
    <x v="11"/>
    <s v="Home Office"/>
    <s v="Distributor"/>
    <x v="4"/>
    <n v="3"/>
    <n v="7021.11"/>
    <n v="0"/>
    <n v="21063.32"/>
    <x v="1"/>
  </r>
  <r>
    <s v="ORD11430"/>
    <d v="2026-01-26T00:00:00"/>
    <x v="4"/>
    <x v="0"/>
    <x v="5"/>
    <x v="1"/>
    <x v="1"/>
    <s v="Small Business"/>
    <s v="Distributor"/>
    <x v="1"/>
    <n v="4"/>
    <n v="1892.46"/>
    <n v="0"/>
    <n v="7569.85"/>
    <x v="2"/>
  </r>
  <r>
    <s v="ORD11623"/>
    <d v="2026-01-27T00:00:00"/>
    <x v="1"/>
    <x v="0"/>
    <x v="3"/>
    <x v="4"/>
    <x v="12"/>
    <s v="Small Business"/>
    <s v="Distributor"/>
    <x v="1"/>
    <n v="3"/>
    <n v="49906.02"/>
    <n v="10"/>
    <n v="134746.25"/>
    <x v="3"/>
  </r>
  <r>
    <s v="ORD12082"/>
    <d v="2026-01-28T00:00:00"/>
    <x v="3"/>
    <x v="0"/>
    <x v="3"/>
    <x v="3"/>
    <x v="15"/>
    <s v="Home Office"/>
    <s v="Distributor"/>
    <x v="1"/>
    <n v="5"/>
    <n v="38909.550000000003"/>
    <n v="5"/>
    <n v="184820.38"/>
    <x v="3"/>
  </r>
  <r>
    <s v="ORD10246"/>
    <d v="2026-01-29T00:00:00"/>
    <x v="0"/>
    <x v="0"/>
    <x v="6"/>
    <x v="1"/>
    <x v="13"/>
    <s v="Corporate"/>
    <s v="Distributor"/>
    <x v="4"/>
    <n v="4"/>
    <n v="3105.89"/>
    <n v="15"/>
    <n v="10560.03"/>
    <x v="3"/>
  </r>
  <r>
    <s v="ORD11728"/>
    <d v="2026-01-30T00:00:00"/>
    <x v="2"/>
    <x v="0"/>
    <x v="4"/>
    <x v="0"/>
    <x v="18"/>
    <s v="Corporate"/>
    <s v="Distributor"/>
    <x v="4"/>
    <n v="4"/>
    <n v="51213.49"/>
    <n v="0"/>
    <n v="204853.96"/>
    <x v="3"/>
  </r>
  <r>
    <s v="ORD10407"/>
    <d v="2026-01-31T00:00:00"/>
    <x v="2"/>
    <x v="0"/>
    <x v="1"/>
    <x v="2"/>
    <x v="11"/>
    <s v="Corporate"/>
    <s v="Retail Store"/>
    <x v="1"/>
    <n v="5"/>
    <n v="7711.37"/>
    <n v="0"/>
    <n v="38556.85"/>
    <x v="3"/>
  </r>
  <r>
    <s v="ORD12223"/>
    <d v="2026-02-01T00:00:00"/>
    <x v="0"/>
    <x v="1"/>
    <x v="5"/>
    <x v="1"/>
    <x v="13"/>
    <s v="Small Business"/>
    <s v="Distributor"/>
    <x v="4"/>
    <n v="4"/>
    <n v="2185.9"/>
    <n v="0"/>
    <n v="8743.6"/>
    <x v="1"/>
  </r>
  <r>
    <s v="ORD11847"/>
    <d v="2026-02-02T00:00:00"/>
    <x v="1"/>
    <x v="1"/>
    <x v="0"/>
    <x v="4"/>
    <x v="9"/>
    <s v="Home Office"/>
    <s v="Retail Store"/>
    <x v="1"/>
    <n v="1"/>
    <n v="33678.86"/>
    <n v="10"/>
    <n v="30310.97"/>
    <x v="3"/>
  </r>
  <r>
    <s v="ORD11004"/>
    <d v="2026-02-03T00:00:00"/>
    <x v="1"/>
    <x v="1"/>
    <x v="8"/>
    <x v="0"/>
    <x v="8"/>
    <s v="Corporate"/>
    <s v="Retail Store"/>
    <x v="1"/>
    <n v="3"/>
    <n v="44252.49"/>
    <n v="5"/>
    <n v="126119.6"/>
    <x v="1"/>
  </r>
  <r>
    <s v="ORD11316"/>
    <d v="2026-02-04T00:00:00"/>
    <x v="0"/>
    <x v="1"/>
    <x v="8"/>
    <x v="0"/>
    <x v="8"/>
    <s v="Home Office"/>
    <s v="Distributor"/>
    <x v="1"/>
    <n v="2"/>
    <n v="71828.570000000007"/>
    <n v="15"/>
    <n v="122108.57"/>
    <x v="3"/>
  </r>
  <r>
    <s v="ORD10011"/>
    <d v="2026-02-05T00:00:00"/>
    <x v="2"/>
    <x v="1"/>
    <x v="8"/>
    <x v="2"/>
    <x v="2"/>
    <s v="Home Office"/>
    <s v="Retail Store"/>
    <x v="0"/>
    <n v="1"/>
    <n v="5669.31"/>
    <n v="5"/>
    <n v="5385.84"/>
    <x v="3"/>
  </r>
  <r>
    <s v="ORD10962"/>
    <d v="2026-02-06T00:00:00"/>
    <x v="1"/>
    <x v="1"/>
    <x v="4"/>
    <x v="0"/>
    <x v="18"/>
    <s v="Home Office"/>
    <s v="Retail Store"/>
    <x v="0"/>
    <n v="5"/>
    <n v="72440.800000000003"/>
    <n v="10"/>
    <n v="325983.61"/>
    <x v="2"/>
  </r>
  <r>
    <s v="ORD11459"/>
    <d v="2026-02-07T00:00:00"/>
    <x v="4"/>
    <x v="1"/>
    <x v="0"/>
    <x v="3"/>
    <x v="3"/>
    <s v="Consumer"/>
    <s v="Retail Store"/>
    <x v="3"/>
    <n v="1"/>
    <n v="36196.239999999998"/>
    <n v="0"/>
    <n v="36196.239999999998"/>
    <x v="2"/>
  </r>
  <r>
    <s v="ORD11857"/>
    <d v="2026-02-08T00:00:00"/>
    <x v="0"/>
    <x v="1"/>
    <x v="1"/>
    <x v="4"/>
    <x v="9"/>
    <s v="Small Business"/>
    <s v="Online"/>
    <x v="3"/>
    <n v="4"/>
    <n v="40235.17"/>
    <n v="5"/>
    <n v="152893.63"/>
    <x v="3"/>
  </r>
  <r>
    <s v="ORD10347"/>
    <d v="2026-02-09T00:00:00"/>
    <x v="2"/>
    <x v="1"/>
    <x v="8"/>
    <x v="3"/>
    <x v="7"/>
    <s v="Small Business"/>
    <s v="Retail Store"/>
    <x v="0"/>
    <n v="2"/>
    <n v="26028.51"/>
    <n v="20"/>
    <n v="41645.620000000003"/>
    <x v="3"/>
  </r>
  <r>
    <s v="ORD11305"/>
    <d v="2026-02-10T00:00:00"/>
    <x v="0"/>
    <x v="1"/>
    <x v="9"/>
    <x v="3"/>
    <x v="3"/>
    <s v="Small Business"/>
    <s v="Retail Store"/>
    <x v="1"/>
    <n v="1"/>
    <n v="33560.9"/>
    <n v="15"/>
    <n v="28526.77"/>
    <x v="1"/>
  </r>
  <r>
    <s v="ORD12386"/>
    <d v="2026-02-11T00:00:00"/>
    <x v="1"/>
    <x v="1"/>
    <x v="9"/>
    <x v="3"/>
    <x v="7"/>
    <s v="Small Business"/>
    <s v="Distributor"/>
    <x v="3"/>
    <n v="1"/>
    <n v="29377.35"/>
    <n v="5"/>
    <n v="27908.48"/>
    <x v="3"/>
  </r>
  <r>
    <s v="ORD10418"/>
    <d v="2026-02-12T00:00:00"/>
    <x v="0"/>
    <x v="1"/>
    <x v="2"/>
    <x v="1"/>
    <x v="14"/>
    <s v="Corporate"/>
    <s v="Retail Store"/>
    <x v="0"/>
    <n v="1"/>
    <n v="2884.21"/>
    <n v="10"/>
    <n v="2595.79"/>
    <x v="3"/>
  </r>
  <r>
    <s v="ORD10870"/>
    <d v="2026-02-13T00:00:00"/>
    <x v="4"/>
    <x v="1"/>
    <x v="9"/>
    <x v="1"/>
    <x v="1"/>
    <s v="Corporate"/>
    <s v="Distributor"/>
    <x v="2"/>
    <n v="2"/>
    <n v="2051.27"/>
    <n v="10"/>
    <n v="3692.29"/>
    <x v="2"/>
  </r>
  <r>
    <s v="ORD11320"/>
    <d v="2026-02-14T00:00:00"/>
    <x v="3"/>
    <x v="1"/>
    <x v="8"/>
    <x v="4"/>
    <x v="10"/>
    <s v="Consumer"/>
    <s v="Distributor"/>
    <x v="4"/>
    <n v="5"/>
    <n v="44748.63"/>
    <n v="0"/>
    <n v="223743.15"/>
    <x v="3"/>
  </r>
  <r>
    <s v="ORD10954"/>
    <d v="2026-02-15T00:00:00"/>
    <x v="0"/>
    <x v="1"/>
    <x v="3"/>
    <x v="0"/>
    <x v="8"/>
    <s v="Home Office"/>
    <s v="Online"/>
    <x v="2"/>
    <n v="2"/>
    <n v="51018.31"/>
    <n v="10"/>
    <n v="91832.960000000006"/>
    <x v="3"/>
  </r>
  <r>
    <s v="ORD11918"/>
    <d v="2026-02-16T00:00:00"/>
    <x v="2"/>
    <x v="1"/>
    <x v="2"/>
    <x v="1"/>
    <x v="14"/>
    <s v="Consumer"/>
    <s v="Distributor"/>
    <x v="1"/>
    <n v="2"/>
    <n v="2841.9"/>
    <n v="0"/>
    <n v="5683.8"/>
    <x v="3"/>
  </r>
  <r>
    <s v="ORD11007"/>
    <d v="2026-02-17T00:00:00"/>
    <x v="1"/>
    <x v="1"/>
    <x v="8"/>
    <x v="0"/>
    <x v="18"/>
    <s v="Home Office"/>
    <s v="Distributor"/>
    <x v="3"/>
    <n v="5"/>
    <n v="52840.27"/>
    <n v="10"/>
    <n v="237781.2"/>
    <x v="0"/>
  </r>
  <r>
    <s v="ORD10673"/>
    <d v="2026-02-18T00:00:00"/>
    <x v="0"/>
    <x v="1"/>
    <x v="9"/>
    <x v="2"/>
    <x v="16"/>
    <s v="Corporate"/>
    <s v="Distributor"/>
    <x v="4"/>
    <n v="2"/>
    <n v="5098.95"/>
    <n v="10"/>
    <n v="9178.11"/>
    <x v="3"/>
  </r>
  <r>
    <s v="ORD10320"/>
    <d v="2026-02-19T00:00:00"/>
    <x v="2"/>
    <x v="1"/>
    <x v="1"/>
    <x v="3"/>
    <x v="19"/>
    <s v="Consumer"/>
    <s v="Online"/>
    <x v="0"/>
    <n v="2"/>
    <n v="36470.26"/>
    <n v="20"/>
    <n v="58352.42"/>
    <x v="3"/>
  </r>
  <r>
    <s v="ORD10177"/>
    <d v="2026-02-20T00:00:00"/>
    <x v="3"/>
    <x v="1"/>
    <x v="2"/>
    <x v="4"/>
    <x v="12"/>
    <s v="Small Business"/>
    <s v="Online"/>
    <x v="3"/>
    <n v="5"/>
    <n v="32287.49"/>
    <n v="0"/>
    <n v="161437.43"/>
    <x v="1"/>
  </r>
  <r>
    <s v="ORD11178"/>
    <d v="2026-02-21T00:00:00"/>
    <x v="1"/>
    <x v="1"/>
    <x v="0"/>
    <x v="1"/>
    <x v="13"/>
    <s v="Consumer"/>
    <s v="Retail Store"/>
    <x v="4"/>
    <n v="4"/>
    <n v="2208.8200000000002"/>
    <n v="10"/>
    <n v="7951.75"/>
    <x v="2"/>
  </r>
  <r>
    <s v="ORD10937"/>
    <d v="2026-02-22T00:00:00"/>
    <x v="2"/>
    <x v="1"/>
    <x v="2"/>
    <x v="0"/>
    <x v="18"/>
    <s v="Home Office"/>
    <s v="Distributor"/>
    <x v="1"/>
    <n v="4"/>
    <n v="56542.51"/>
    <n v="15"/>
    <n v="192244.53"/>
    <x v="2"/>
  </r>
  <r>
    <s v="ORD12489"/>
    <d v="2026-02-23T00:00:00"/>
    <x v="3"/>
    <x v="1"/>
    <x v="5"/>
    <x v="2"/>
    <x v="11"/>
    <s v="Corporate"/>
    <s v="Retail Store"/>
    <x v="2"/>
    <n v="5"/>
    <n v="7859.15"/>
    <n v="5"/>
    <n v="37330.959999999999"/>
    <x v="3"/>
  </r>
  <r>
    <s v="ORD11469"/>
    <d v="2026-02-24T00:00:00"/>
    <x v="0"/>
    <x v="1"/>
    <x v="3"/>
    <x v="0"/>
    <x v="6"/>
    <s v="Small Business"/>
    <s v="Distributor"/>
    <x v="2"/>
    <n v="5"/>
    <n v="59728.13"/>
    <n v="20"/>
    <n v="238912.5"/>
    <x v="0"/>
  </r>
  <r>
    <s v="ORD12110"/>
    <d v="2026-02-25T00:00:00"/>
    <x v="1"/>
    <x v="1"/>
    <x v="9"/>
    <x v="1"/>
    <x v="1"/>
    <s v="Corporate"/>
    <s v="Distributor"/>
    <x v="2"/>
    <n v="4"/>
    <n v="2310.23"/>
    <n v="0"/>
    <n v="9240.92"/>
    <x v="3"/>
  </r>
  <r>
    <s v="ORD11231"/>
    <d v="2026-02-26T00:00:00"/>
    <x v="3"/>
    <x v="1"/>
    <x v="5"/>
    <x v="0"/>
    <x v="0"/>
    <s v="Small Business"/>
    <s v="Online"/>
    <x v="2"/>
    <n v="5"/>
    <n v="47320.26"/>
    <n v="20"/>
    <n v="189281.03"/>
    <x v="3"/>
  </r>
  <r>
    <s v="ORD10798"/>
    <d v="2026-02-27T00:00:00"/>
    <x v="4"/>
    <x v="1"/>
    <x v="2"/>
    <x v="2"/>
    <x v="11"/>
    <s v="Consumer"/>
    <s v="Retail Store"/>
    <x v="0"/>
    <n v="5"/>
    <n v="4928.63"/>
    <n v="5"/>
    <n v="23411.01"/>
    <x v="1"/>
  </r>
  <r>
    <s v="ORD11557"/>
    <d v="2026-02-28T00:00:00"/>
    <x v="2"/>
    <x v="1"/>
    <x v="2"/>
    <x v="2"/>
    <x v="16"/>
    <s v="Small Business"/>
    <s v="Online"/>
    <x v="2"/>
    <n v="4"/>
    <n v="7124.93"/>
    <n v="10"/>
    <n v="25649.74"/>
    <x v="0"/>
  </r>
  <r>
    <s v="ORD11801"/>
    <d v="2026-03-01T00:00:00"/>
    <x v="0"/>
    <x v="2"/>
    <x v="4"/>
    <x v="1"/>
    <x v="14"/>
    <s v="Corporate"/>
    <s v="Online"/>
    <x v="4"/>
    <n v="3"/>
    <n v="2785.27"/>
    <n v="20"/>
    <n v="6684.66"/>
    <x v="3"/>
  </r>
  <r>
    <s v="ORD10309"/>
    <d v="2026-03-02T00:00:00"/>
    <x v="2"/>
    <x v="2"/>
    <x v="9"/>
    <x v="1"/>
    <x v="14"/>
    <s v="Small Business"/>
    <s v="Online"/>
    <x v="3"/>
    <n v="2"/>
    <n v="2692.35"/>
    <n v="15"/>
    <n v="4576.99"/>
    <x v="2"/>
  </r>
  <r>
    <s v="ORD11454"/>
    <d v="2026-03-03T00:00:00"/>
    <x v="2"/>
    <x v="2"/>
    <x v="4"/>
    <x v="4"/>
    <x v="12"/>
    <s v="Home Office"/>
    <s v="Retail Store"/>
    <x v="4"/>
    <n v="3"/>
    <n v="46552.4"/>
    <n v="0"/>
    <n v="139657.20000000001"/>
    <x v="3"/>
  </r>
  <r>
    <s v="ORD11516"/>
    <d v="2026-03-04T00:00:00"/>
    <x v="1"/>
    <x v="2"/>
    <x v="0"/>
    <x v="1"/>
    <x v="4"/>
    <s v="Small Business"/>
    <s v="Distributor"/>
    <x v="2"/>
    <n v="4"/>
    <n v="2632.91"/>
    <n v="20"/>
    <n v="8425.2999999999993"/>
    <x v="3"/>
  </r>
  <r>
    <s v="ORD11667"/>
    <d v="2026-03-05T00:00:00"/>
    <x v="0"/>
    <x v="2"/>
    <x v="7"/>
    <x v="0"/>
    <x v="6"/>
    <s v="Consumer"/>
    <s v="Distributor"/>
    <x v="4"/>
    <n v="1"/>
    <n v="64983.58"/>
    <n v="10"/>
    <n v="58485.22"/>
    <x v="1"/>
  </r>
  <r>
    <s v="ORD11284"/>
    <d v="2026-03-06T00:00:00"/>
    <x v="4"/>
    <x v="2"/>
    <x v="3"/>
    <x v="4"/>
    <x v="5"/>
    <s v="Corporate"/>
    <s v="Online"/>
    <x v="1"/>
    <n v="3"/>
    <n v="34598.199999999997"/>
    <n v="0"/>
    <n v="103794.59"/>
    <x v="3"/>
  </r>
  <r>
    <s v="ORD12323"/>
    <d v="2026-03-07T00:00:00"/>
    <x v="0"/>
    <x v="2"/>
    <x v="4"/>
    <x v="1"/>
    <x v="1"/>
    <s v="Home Office"/>
    <s v="Retail Store"/>
    <x v="0"/>
    <n v="3"/>
    <n v="2918.07"/>
    <n v="5"/>
    <n v="8316.51"/>
    <x v="1"/>
  </r>
  <r>
    <s v="ORD11140"/>
    <d v="2026-03-08T00:00:00"/>
    <x v="2"/>
    <x v="2"/>
    <x v="8"/>
    <x v="4"/>
    <x v="10"/>
    <s v="Consumer"/>
    <s v="Online"/>
    <x v="1"/>
    <n v="4"/>
    <n v="49652.52"/>
    <n v="20"/>
    <n v="158888.07"/>
    <x v="2"/>
  </r>
  <r>
    <s v="ORD10348"/>
    <d v="2026-03-09T00:00:00"/>
    <x v="3"/>
    <x v="2"/>
    <x v="1"/>
    <x v="3"/>
    <x v="3"/>
    <s v="Consumer"/>
    <s v="Distributor"/>
    <x v="0"/>
    <n v="2"/>
    <n v="30025.4"/>
    <n v="10"/>
    <n v="54045.72"/>
    <x v="0"/>
  </r>
  <r>
    <s v="ORD12117"/>
    <d v="2026-03-10T00:00:00"/>
    <x v="4"/>
    <x v="2"/>
    <x v="0"/>
    <x v="3"/>
    <x v="19"/>
    <s v="Consumer"/>
    <s v="Online"/>
    <x v="2"/>
    <n v="3"/>
    <n v="32624.53"/>
    <n v="10"/>
    <n v="88086.24"/>
    <x v="1"/>
  </r>
  <r>
    <s v="ORD10440"/>
    <d v="2026-03-11T00:00:00"/>
    <x v="4"/>
    <x v="2"/>
    <x v="2"/>
    <x v="0"/>
    <x v="0"/>
    <s v="Home Office"/>
    <s v="Distributor"/>
    <x v="0"/>
    <n v="5"/>
    <n v="60143.42"/>
    <n v="10"/>
    <n v="270645.40000000002"/>
    <x v="3"/>
  </r>
  <r>
    <s v="ORD10197"/>
    <d v="2026-03-12T00:00:00"/>
    <x v="1"/>
    <x v="2"/>
    <x v="3"/>
    <x v="4"/>
    <x v="10"/>
    <s v="Home Office"/>
    <s v="Retail Store"/>
    <x v="1"/>
    <n v="2"/>
    <n v="39221.629999999997"/>
    <n v="10"/>
    <n v="70598.929999999993"/>
    <x v="3"/>
  </r>
  <r>
    <s v="ORD10665"/>
    <d v="2026-03-13T00:00:00"/>
    <x v="3"/>
    <x v="2"/>
    <x v="4"/>
    <x v="2"/>
    <x v="2"/>
    <s v="Home Office"/>
    <s v="Online"/>
    <x v="0"/>
    <n v="5"/>
    <n v="6659.01"/>
    <n v="0"/>
    <n v="33295.06"/>
    <x v="3"/>
  </r>
  <r>
    <s v="ORD11053"/>
    <d v="2026-03-14T00:00:00"/>
    <x v="0"/>
    <x v="2"/>
    <x v="1"/>
    <x v="3"/>
    <x v="3"/>
    <s v="Home Office"/>
    <s v="Online"/>
    <x v="1"/>
    <n v="1"/>
    <n v="34651.839999999997"/>
    <n v="0"/>
    <n v="34651.839999999997"/>
    <x v="3"/>
  </r>
  <r>
    <s v="ORD11860"/>
    <d v="2026-03-15T00:00:00"/>
    <x v="3"/>
    <x v="2"/>
    <x v="8"/>
    <x v="0"/>
    <x v="0"/>
    <s v="Corporate"/>
    <s v="Online"/>
    <x v="3"/>
    <n v="4"/>
    <n v="53687.72"/>
    <n v="0"/>
    <n v="214750.9"/>
    <x v="3"/>
  </r>
  <r>
    <s v="ORD10019"/>
    <d v="2026-03-16T00:00:00"/>
    <x v="0"/>
    <x v="2"/>
    <x v="1"/>
    <x v="4"/>
    <x v="9"/>
    <s v="Corporate"/>
    <s v="Distributor"/>
    <x v="1"/>
    <n v="3"/>
    <n v="48155.51"/>
    <n v="0"/>
    <n v="144466.53"/>
    <x v="3"/>
  </r>
  <r>
    <s v="ORD10018"/>
    <d v="2026-03-17T00:00:00"/>
    <x v="0"/>
    <x v="2"/>
    <x v="8"/>
    <x v="1"/>
    <x v="13"/>
    <s v="Corporate"/>
    <s v="Distributor"/>
    <x v="0"/>
    <n v="1"/>
    <n v="2105.7800000000002"/>
    <n v="15"/>
    <n v="1789.92"/>
    <x v="3"/>
  </r>
  <r>
    <s v="ORD10305"/>
    <d v="2026-03-18T00:00:00"/>
    <x v="2"/>
    <x v="2"/>
    <x v="2"/>
    <x v="2"/>
    <x v="17"/>
    <s v="Consumer"/>
    <s v="Retail Store"/>
    <x v="2"/>
    <n v="3"/>
    <n v="6829.64"/>
    <n v="15"/>
    <n v="17415.59"/>
    <x v="3"/>
  </r>
  <r>
    <s v="ORD11146"/>
    <d v="2026-03-19T00:00:00"/>
    <x v="3"/>
    <x v="2"/>
    <x v="9"/>
    <x v="3"/>
    <x v="15"/>
    <s v="Small Business"/>
    <s v="Retail Store"/>
    <x v="1"/>
    <n v="3"/>
    <n v="38306.86"/>
    <n v="10"/>
    <n v="103428.52"/>
    <x v="1"/>
  </r>
  <r>
    <s v="ORD11266"/>
    <d v="2026-03-20T00:00:00"/>
    <x v="0"/>
    <x v="2"/>
    <x v="1"/>
    <x v="0"/>
    <x v="18"/>
    <s v="Home Office"/>
    <s v="Retail Store"/>
    <x v="0"/>
    <n v="5"/>
    <n v="66698.210000000006"/>
    <n v="0"/>
    <n v="333491.07"/>
    <x v="0"/>
  </r>
  <r>
    <s v="ORD11021"/>
    <d v="2026-03-21T00:00:00"/>
    <x v="2"/>
    <x v="2"/>
    <x v="6"/>
    <x v="4"/>
    <x v="9"/>
    <s v="Consumer"/>
    <s v="Online"/>
    <x v="0"/>
    <n v="4"/>
    <n v="48948.72"/>
    <n v="20"/>
    <n v="156635.92000000001"/>
    <x v="1"/>
  </r>
  <r>
    <s v="ORD10933"/>
    <d v="2026-03-22T00:00:00"/>
    <x v="4"/>
    <x v="2"/>
    <x v="5"/>
    <x v="1"/>
    <x v="4"/>
    <s v="Corporate"/>
    <s v="Online"/>
    <x v="0"/>
    <n v="3"/>
    <n v="2802.1"/>
    <n v="20"/>
    <n v="6725.05"/>
    <x v="3"/>
  </r>
  <r>
    <s v="ORD10049"/>
    <d v="2026-03-23T00:00:00"/>
    <x v="1"/>
    <x v="2"/>
    <x v="2"/>
    <x v="1"/>
    <x v="14"/>
    <s v="Small Business"/>
    <s v="Retail Store"/>
    <x v="0"/>
    <n v="2"/>
    <n v="2165.12"/>
    <n v="20"/>
    <n v="3464.2"/>
    <x v="3"/>
  </r>
  <r>
    <s v="ORD12035"/>
    <d v="2026-03-24T00:00:00"/>
    <x v="1"/>
    <x v="2"/>
    <x v="9"/>
    <x v="1"/>
    <x v="4"/>
    <s v="Small Business"/>
    <s v="Retail Store"/>
    <x v="1"/>
    <n v="4"/>
    <n v="3015.6"/>
    <n v="0"/>
    <n v="12062.4"/>
    <x v="0"/>
  </r>
  <r>
    <s v="ORD12428"/>
    <d v="2026-03-25T00:00:00"/>
    <x v="0"/>
    <x v="2"/>
    <x v="7"/>
    <x v="0"/>
    <x v="0"/>
    <s v="Corporate"/>
    <s v="Distributor"/>
    <x v="1"/>
    <n v="2"/>
    <n v="58552.5"/>
    <n v="5"/>
    <n v="111249.75"/>
    <x v="1"/>
  </r>
  <r>
    <s v="ORD10397"/>
    <d v="2026-03-26T00:00:00"/>
    <x v="0"/>
    <x v="2"/>
    <x v="9"/>
    <x v="1"/>
    <x v="13"/>
    <s v="Corporate"/>
    <s v="Retail Store"/>
    <x v="4"/>
    <n v="1"/>
    <n v="2916.62"/>
    <n v="5"/>
    <n v="2770.79"/>
    <x v="1"/>
  </r>
  <r>
    <s v="ORD10768"/>
    <d v="2026-03-27T00:00:00"/>
    <x v="1"/>
    <x v="2"/>
    <x v="4"/>
    <x v="1"/>
    <x v="4"/>
    <s v="Consumer"/>
    <s v="Retail Store"/>
    <x v="3"/>
    <n v="2"/>
    <n v="2572.37"/>
    <n v="0"/>
    <n v="5144.74"/>
    <x v="2"/>
  </r>
  <r>
    <s v="ORD10791"/>
    <d v="2026-03-28T00:00:00"/>
    <x v="3"/>
    <x v="2"/>
    <x v="2"/>
    <x v="4"/>
    <x v="9"/>
    <s v="Small Business"/>
    <s v="Retail Store"/>
    <x v="4"/>
    <n v="1"/>
    <n v="37574.6"/>
    <n v="10"/>
    <n v="33817.14"/>
    <x v="3"/>
  </r>
  <r>
    <s v="ORD10677"/>
    <d v="2026-03-29T00:00:00"/>
    <x v="4"/>
    <x v="2"/>
    <x v="3"/>
    <x v="4"/>
    <x v="5"/>
    <s v="Home Office"/>
    <s v="Online"/>
    <x v="4"/>
    <n v="1"/>
    <n v="45972.65"/>
    <n v="20"/>
    <n v="36778.120000000003"/>
    <x v="2"/>
  </r>
  <r>
    <s v="ORD11095"/>
    <d v="2026-03-30T00:00:00"/>
    <x v="0"/>
    <x v="2"/>
    <x v="2"/>
    <x v="0"/>
    <x v="0"/>
    <s v="Consumer"/>
    <s v="Online"/>
    <x v="3"/>
    <n v="5"/>
    <n v="63025.13"/>
    <n v="20"/>
    <n v="252100.51"/>
    <x v="3"/>
  </r>
  <r>
    <s v="ORD10668"/>
    <d v="2026-03-31T00:00:00"/>
    <x v="0"/>
    <x v="2"/>
    <x v="2"/>
    <x v="4"/>
    <x v="12"/>
    <s v="Corporate"/>
    <s v="Online"/>
    <x v="1"/>
    <n v="4"/>
    <n v="41371.82"/>
    <n v="15"/>
    <n v="140664.18"/>
    <x v="0"/>
  </r>
  <r>
    <s v="ORD10446"/>
    <d v="2026-04-01T00:00:00"/>
    <x v="0"/>
    <x v="3"/>
    <x v="8"/>
    <x v="2"/>
    <x v="16"/>
    <s v="Consumer"/>
    <s v="Retail Store"/>
    <x v="0"/>
    <n v="3"/>
    <n v="5239.4399999999996"/>
    <n v="0"/>
    <n v="15718.31"/>
    <x v="3"/>
  </r>
  <r>
    <s v="ORD10558"/>
    <d v="2026-04-02T00:00:00"/>
    <x v="4"/>
    <x v="3"/>
    <x v="5"/>
    <x v="2"/>
    <x v="17"/>
    <s v="Consumer"/>
    <s v="Retail Store"/>
    <x v="4"/>
    <n v="3"/>
    <n v="6494.24"/>
    <n v="0"/>
    <n v="19482.73"/>
    <x v="1"/>
  </r>
  <r>
    <s v="ORD11098"/>
    <d v="2026-04-03T00:00:00"/>
    <x v="2"/>
    <x v="3"/>
    <x v="7"/>
    <x v="1"/>
    <x v="13"/>
    <s v="Home Office"/>
    <s v="Retail Store"/>
    <x v="0"/>
    <n v="3"/>
    <n v="2017.24"/>
    <n v="10"/>
    <n v="5446.54"/>
    <x v="3"/>
  </r>
  <r>
    <s v="ORD12353"/>
    <d v="2026-04-04T00:00:00"/>
    <x v="1"/>
    <x v="3"/>
    <x v="2"/>
    <x v="0"/>
    <x v="8"/>
    <s v="Consumer"/>
    <s v="Online"/>
    <x v="2"/>
    <n v="2"/>
    <n v="45066.77"/>
    <n v="0"/>
    <n v="90133.54"/>
    <x v="3"/>
  </r>
  <r>
    <s v="ORD10969"/>
    <d v="2026-04-05T00:00:00"/>
    <x v="4"/>
    <x v="3"/>
    <x v="8"/>
    <x v="1"/>
    <x v="4"/>
    <s v="Corporate"/>
    <s v="Online"/>
    <x v="1"/>
    <n v="4"/>
    <n v="2213.08"/>
    <n v="10"/>
    <n v="7967.09"/>
    <x v="3"/>
  </r>
  <r>
    <s v="ORD10350"/>
    <d v="2026-04-06T00:00:00"/>
    <x v="4"/>
    <x v="3"/>
    <x v="1"/>
    <x v="0"/>
    <x v="8"/>
    <s v="Small Business"/>
    <s v="Distributor"/>
    <x v="2"/>
    <n v="2"/>
    <n v="47147.27"/>
    <n v="15"/>
    <n v="80150.350000000006"/>
    <x v="1"/>
  </r>
  <r>
    <s v="ORD10062"/>
    <d v="2026-04-07T00:00:00"/>
    <x v="0"/>
    <x v="3"/>
    <x v="5"/>
    <x v="0"/>
    <x v="6"/>
    <s v="Small Business"/>
    <s v="Retail Store"/>
    <x v="0"/>
    <n v="4"/>
    <n v="65134.29"/>
    <n v="15"/>
    <n v="221456.57"/>
    <x v="0"/>
  </r>
  <r>
    <s v="ORD11026"/>
    <d v="2026-04-08T00:00:00"/>
    <x v="2"/>
    <x v="3"/>
    <x v="1"/>
    <x v="2"/>
    <x v="16"/>
    <s v="Consumer"/>
    <s v="Retail Store"/>
    <x v="2"/>
    <n v="2"/>
    <n v="6924.77"/>
    <n v="10"/>
    <n v="12464.59"/>
    <x v="3"/>
  </r>
  <r>
    <s v="ORD10262"/>
    <d v="2026-04-09T00:00:00"/>
    <x v="2"/>
    <x v="3"/>
    <x v="8"/>
    <x v="0"/>
    <x v="18"/>
    <s v="Corporate"/>
    <s v="Online"/>
    <x v="2"/>
    <n v="1"/>
    <n v="55102.36"/>
    <n v="0"/>
    <n v="55102.36"/>
    <x v="3"/>
  </r>
  <r>
    <s v="ORD10837"/>
    <d v="2026-04-10T00:00:00"/>
    <x v="0"/>
    <x v="3"/>
    <x v="5"/>
    <x v="3"/>
    <x v="15"/>
    <s v="Small Business"/>
    <s v="Distributor"/>
    <x v="0"/>
    <n v="4"/>
    <n v="39538.910000000003"/>
    <n v="5"/>
    <n v="150247.85999999999"/>
    <x v="0"/>
  </r>
  <r>
    <s v="ORD11223"/>
    <d v="2026-04-11T00:00:00"/>
    <x v="1"/>
    <x v="3"/>
    <x v="7"/>
    <x v="2"/>
    <x v="2"/>
    <s v="Consumer"/>
    <s v="Retail Store"/>
    <x v="1"/>
    <n v="3"/>
    <n v="7496.39"/>
    <n v="15"/>
    <n v="19115.8"/>
    <x v="2"/>
  </r>
  <r>
    <s v="ORD12148"/>
    <d v="2026-04-12T00:00:00"/>
    <x v="2"/>
    <x v="3"/>
    <x v="4"/>
    <x v="2"/>
    <x v="11"/>
    <s v="Consumer"/>
    <s v="Distributor"/>
    <x v="2"/>
    <n v="5"/>
    <n v="5087.22"/>
    <n v="5"/>
    <n v="24164.28"/>
    <x v="3"/>
  </r>
  <r>
    <s v="ORD11886"/>
    <d v="2026-04-13T00:00:00"/>
    <x v="3"/>
    <x v="3"/>
    <x v="0"/>
    <x v="2"/>
    <x v="11"/>
    <s v="Consumer"/>
    <s v="Online"/>
    <x v="0"/>
    <n v="2"/>
    <n v="4947.42"/>
    <n v="0"/>
    <n v="9894.83"/>
    <x v="3"/>
  </r>
  <r>
    <s v="ORD10695"/>
    <d v="2026-04-14T00:00:00"/>
    <x v="4"/>
    <x v="3"/>
    <x v="8"/>
    <x v="4"/>
    <x v="12"/>
    <s v="Corporate"/>
    <s v="Retail Store"/>
    <x v="1"/>
    <n v="5"/>
    <n v="51727.360000000001"/>
    <n v="0"/>
    <n v="258636.82"/>
    <x v="3"/>
  </r>
  <r>
    <s v="ORD10559"/>
    <d v="2026-04-15T00:00:00"/>
    <x v="3"/>
    <x v="3"/>
    <x v="6"/>
    <x v="1"/>
    <x v="1"/>
    <s v="Home Office"/>
    <s v="Online"/>
    <x v="3"/>
    <n v="3"/>
    <n v="2049.3000000000002"/>
    <n v="20"/>
    <n v="4918.3100000000004"/>
    <x v="3"/>
  </r>
  <r>
    <s v="ORD11821"/>
    <d v="2026-04-16T00:00:00"/>
    <x v="1"/>
    <x v="3"/>
    <x v="3"/>
    <x v="0"/>
    <x v="8"/>
    <s v="Home Office"/>
    <s v="Online"/>
    <x v="0"/>
    <n v="1"/>
    <n v="61478.79"/>
    <n v="15"/>
    <n v="52256.98"/>
    <x v="3"/>
  </r>
  <r>
    <s v="ORD11138"/>
    <d v="2026-04-17T00:00:00"/>
    <x v="3"/>
    <x v="3"/>
    <x v="0"/>
    <x v="4"/>
    <x v="12"/>
    <s v="Home Office"/>
    <s v="Retail Store"/>
    <x v="0"/>
    <n v="4"/>
    <n v="40411.11"/>
    <n v="0"/>
    <n v="161644.43"/>
    <x v="2"/>
  </r>
  <r>
    <s v="ORD12271"/>
    <d v="2026-04-18T00:00:00"/>
    <x v="0"/>
    <x v="3"/>
    <x v="0"/>
    <x v="2"/>
    <x v="11"/>
    <s v="Corporate"/>
    <s v="Online"/>
    <x v="2"/>
    <n v="2"/>
    <n v="5169.88"/>
    <n v="5"/>
    <n v="9822.7800000000007"/>
    <x v="2"/>
  </r>
  <r>
    <s v="ORD12294"/>
    <d v="2026-04-19T00:00:00"/>
    <x v="2"/>
    <x v="3"/>
    <x v="0"/>
    <x v="2"/>
    <x v="2"/>
    <s v="Consumer"/>
    <s v="Online"/>
    <x v="2"/>
    <n v="5"/>
    <n v="6092.69"/>
    <n v="20"/>
    <n v="24370.74"/>
    <x v="3"/>
  </r>
  <r>
    <s v="ORD11127"/>
    <d v="2026-04-20T00:00:00"/>
    <x v="0"/>
    <x v="3"/>
    <x v="3"/>
    <x v="3"/>
    <x v="19"/>
    <s v="Corporate"/>
    <s v="Retail Store"/>
    <x v="0"/>
    <n v="2"/>
    <n v="25586.52"/>
    <n v="0"/>
    <n v="51173.04"/>
    <x v="2"/>
  </r>
  <r>
    <s v="ORD11123"/>
    <d v="2026-04-21T00:00:00"/>
    <x v="3"/>
    <x v="3"/>
    <x v="0"/>
    <x v="2"/>
    <x v="16"/>
    <s v="Consumer"/>
    <s v="Online"/>
    <x v="3"/>
    <n v="2"/>
    <n v="7735.57"/>
    <n v="10"/>
    <n v="13924.02"/>
    <x v="3"/>
  </r>
  <r>
    <s v="ORD11515"/>
    <d v="2026-04-22T00:00:00"/>
    <x v="2"/>
    <x v="3"/>
    <x v="2"/>
    <x v="1"/>
    <x v="13"/>
    <s v="Small Business"/>
    <s v="Retail Store"/>
    <x v="0"/>
    <n v="5"/>
    <n v="2199.48"/>
    <n v="0"/>
    <n v="10997.41"/>
    <x v="3"/>
  </r>
  <r>
    <s v="ORD11340"/>
    <d v="2026-04-23T00:00:00"/>
    <x v="0"/>
    <x v="3"/>
    <x v="8"/>
    <x v="4"/>
    <x v="10"/>
    <s v="Small Business"/>
    <s v="Online"/>
    <x v="2"/>
    <n v="2"/>
    <n v="33436.300000000003"/>
    <n v="20"/>
    <n v="53498.080000000002"/>
    <x v="3"/>
  </r>
  <r>
    <s v="ORD11858"/>
    <d v="2026-04-24T00:00:00"/>
    <x v="1"/>
    <x v="3"/>
    <x v="0"/>
    <x v="0"/>
    <x v="8"/>
    <s v="Consumer"/>
    <s v="Distributor"/>
    <x v="0"/>
    <n v="5"/>
    <n v="53564.06"/>
    <n v="15"/>
    <n v="227647.26"/>
    <x v="2"/>
  </r>
  <r>
    <s v="ORD11884"/>
    <d v="2026-04-25T00:00:00"/>
    <x v="3"/>
    <x v="3"/>
    <x v="9"/>
    <x v="3"/>
    <x v="15"/>
    <s v="Corporate"/>
    <s v="Distributor"/>
    <x v="3"/>
    <n v="4"/>
    <n v="31801.68"/>
    <n v="20"/>
    <n v="101765.37"/>
    <x v="3"/>
  </r>
  <r>
    <s v="ORD10420"/>
    <d v="2026-04-26T00:00:00"/>
    <x v="1"/>
    <x v="3"/>
    <x v="0"/>
    <x v="0"/>
    <x v="18"/>
    <s v="Small Business"/>
    <s v="Retail Store"/>
    <x v="3"/>
    <n v="4"/>
    <n v="54225.98"/>
    <n v="15"/>
    <n v="184368.32"/>
    <x v="2"/>
  </r>
  <r>
    <s v="ORD10392"/>
    <d v="2026-04-27T00:00:00"/>
    <x v="0"/>
    <x v="3"/>
    <x v="3"/>
    <x v="2"/>
    <x v="2"/>
    <s v="Home Office"/>
    <s v="Distributor"/>
    <x v="1"/>
    <n v="5"/>
    <n v="6273.49"/>
    <n v="10"/>
    <n v="28230.71"/>
    <x v="2"/>
  </r>
  <r>
    <s v="ORD10478"/>
    <d v="2026-04-28T00:00:00"/>
    <x v="2"/>
    <x v="3"/>
    <x v="7"/>
    <x v="4"/>
    <x v="12"/>
    <s v="Home Office"/>
    <s v="Online"/>
    <x v="1"/>
    <n v="3"/>
    <n v="42464.06"/>
    <n v="10"/>
    <n v="114652.96"/>
    <x v="3"/>
  </r>
  <r>
    <s v="ORD10229"/>
    <d v="2026-04-29T00:00:00"/>
    <x v="2"/>
    <x v="3"/>
    <x v="7"/>
    <x v="3"/>
    <x v="19"/>
    <s v="Consumer"/>
    <s v="Distributor"/>
    <x v="4"/>
    <n v="3"/>
    <n v="34099.54"/>
    <n v="20"/>
    <n v="81838.89"/>
    <x v="2"/>
  </r>
  <r>
    <s v="ORD11788"/>
    <d v="2026-04-30T00:00:00"/>
    <x v="4"/>
    <x v="3"/>
    <x v="4"/>
    <x v="1"/>
    <x v="14"/>
    <s v="Home Office"/>
    <s v="Retail Store"/>
    <x v="2"/>
    <n v="3"/>
    <n v="2154.6799999999998"/>
    <n v="0"/>
    <n v="6464.03"/>
    <x v="0"/>
  </r>
  <r>
    <s v="ORD10997"/>
    <d v="2026-05-01T00:00:00"/>
    <x v="4"/>
    <x v="4"/>
    <x v="3"/>
    <x v="0"/>
    <x v="8"/>
    <s v="Consumer"/>
    <s v="Distributor"/>
    <x v="3"/>
    <n v="3"/>
    <n v="62996.97"/>
    <n v="0"/>
    <n v="188990.91"/>
    <x v="1"/>
  </r>
  <r>
    <s v="ORD10455"/>
    <d v="2026-05-02T00:00:00"/>
    <x v="1"/>
    <x v="4"/>
    <x v="2"/>
    <x v="0"/>
    <x v="0"/>
    <s v="Home Office"/>
    <s v="Online"/>
    <x v="4"/>
    <n v="2"/>
    <n v="66641.3"/>
    <n v="0"/>
    <n v="133282.59"/>
    <x v="3"/>
  </r>
  <r>
    <s v="ORD12119"/>
    <d v="2026-05-03T00:00:00"/>
    <x v="4"/>
    <x v="4"/>
    <x v="1"/>
    <x v="4"/>
    <x v="5"/>
    <s v="Home Office"/>
    <s v="Online"/>
    <x v="2"/>
    <n v="1"/>
    <n v="49045.38"/>
    <n v="10"/>
    <n v="44140.85"/>
    <x v="0"/>
  </r>
  <r>
    <s v="ORD11192"/>
    <d v="2026-05-04T00:00:00"/>
    <x v="0"/>
    <x v="4"/>
    <x v="9"/>
    <x v="4"/>
    <x v="12"/>
    <s v="Small Business"/>
    <s v="Retail Store"/>
    <x v="3"/>
    <n v="4"/>
    <n v="51008.57"/>
    <n v="5"/>
    <n v="193832.58"/>
    <x v="0"/>
  </r>
  <r>
    <s v="ORD12317"/>
    <d v="2026-05-05T00:00:00"/>
    <x v="4"/>
    <x v="4"/>
    <x v="7"/>
    <x v="1"/>
    <x v="4"/>
    <s v="Consumer"/>
    <s v="Online"/>
    <x v="3"/>
    <n v="4"/>
    <n v="1943.87"/>
    <n v="15"/>
    <n v="6609.17"/>
    <x v="2"/>
  </r>
  <r>
    <s v="ORD12423"/>
    <d v="2026-05-06T00:00:00"/>
    <x v="4"/>
    <x v="4"/>
    <x v="4"/>
    <x v="1"/>
    <x v="13"/>
    <s v="Small Business"/>
    <s v="Online"/>
    <x v="3"/>
    <n v="3"/>
    <n v="2122.48"/>
    <n v="5"/>
    <n v="6049.06"/>
    <x v="3"/>
  </r>
  <r>
    <s v="ORD11599"/>
    <d v="2026-05-07T00:00:00"/>
    <x v="2"/>
    <x v="4"/>
    <x v="4"/>
    <x v="1"/>
    <x v="4"/>
    <s v="Corporate"/>
    <s v="Distributor"/>
    <x v="4"/>
    <n v="3"/>
    <n v="2958.66"/>
    <n v="10"/>
    <n v="7988.38"/>
    <x v="1"/>
  </r>
  <r>
    <s v="ORD10890"/>
    <d v="2026-05-08T00:00:00"/>
    <x v="4"/>
    <x v="4"/>
    <x v="1"/>
    <x v="1"/>
    <x v="4"/>
    <s v="Corporate"/>
    <s v="Online"/>
    <x v="3"/>
    <n v="2"/>
    <n v="2407.15"/>
    <n v="10"/>
    <n v="4332.87"/>
    <x v="0"/>
  </r>
  <r>
    <s v="ORD10834"/>
    <d v="2026-05-09T00:00:00"/>
    <x v="3"/>
    <x v="4"/>
    <x v="2"/>
    <x v="0"/>
    <x v="18"/>
    <s v="Corporate"/>
    <s v="Online"/>
    <x v="0"/>
    <n v="2"/>
    <n v="71195.88"/>
    <n v="5"/>
    <n v="135272.18"/>
    <x v="3"/>
  </r>
  <r>
    <s v="ORD10965"/>
    <d v="2026-05-10T00:00:00"/>
    <x v="3"/>
    <x v="4"/>
    <x v="1"/>
    <x v="2"/>
    <x v="11"/>
    <s v="Corporate"/>
    <s v="Online"/>
    <x v="0"/>
    <n v="5"/>
    <n v="5039.97"/>
    <n v="15"/>
    <n v="21419.89"/>
    <x v="3"/>
  </r>
  <r>
    <s v="ORD11656"/>
    <d v="2026-05-11T00:00:00"/>
    <x v="2"/>
    <x v="4"/>
    <x v="0"/>
    <x v="1"/>
    <x v="1"/>
    <s v="Small Business"/>
    <s v="Distributor"/>
    <x v="3"/>
    <n v="2"/>
    <n v="1981.36"/>
    <n v="10"/>
    <n v="3566.46"/>
    <x v="3"/>
  </r>
  <r>
    <s v="ORD10157"/>
    <d v="2026-05-12T00:00:00"/>
    <x v="0"/>
    <x v="4"/>
    <x v="9"/>
    <x v="2"/>
    <x v="11"/>
    <s v="Corporate"/>
    <s v="Retail Store"/>
    <x v="0"/>
    <n v="4"/>
    <n v="5685.59"/>
    <n v="5"/>
    <n v="21605.23"/>
    <x v="3"/>
  </r>
  <r>
    <s v="ORD10069"/>
    <d v="2026-05-13T00:00:00"/>
    <x v="2"/>
    <x v="4"/>
    <x v="4"/>
    <x v="3"/>
    <x v="3"/>
    <s v="Corporate"/>
    <s v="Online"/>
    <x v="1"/>
    <n v="5"/>
    <n v="32933.68"/>
    <n v="10"/>
    <n v="148201.56"/>
    <x v="2"/>
  </r>
  <r>
    <s v="ORD11602"/>
    <d v="2026-05-14T00:00:00"/>
    <x v="1"/>
    <x v="4"/>
    <x v="3"/>
    <x v="3"/>
    <x v="19"/>
    <s v="Home Office"/>
    <s v="Online"/>
    <x v="4"/>
    <n v="1"/>
    <n v="39384.14"/>
    <n v="10"/>
    <n v="35445.730000000003"/>
    <x v="2"/>
  </r>
  <r>
    <s v="ORD11041"/>
    <d v="2026-05-15T00:00:00"/>
    <x v="0"/>
    <x v="4"/>
    <x v="0"/>
    <x v="2"/>
    <x v="11"/>
    <s v="Consumer"/>
    <s v="Retail Store"/>
    <x v="4"/>
    <n v="4"/>
    <n v="5306.19"/>
    <n v="0"/>
    <n v="21224.77"/>
    <x v="3"/>
  </r>
  <r>
    <s v="ORD10511"/>
    <d v="2026-05-16T00:00:00"/>
    <x v="4"/>
    <x v="4"/>
    <x v="8"/>
    <x v="3"/>
    <x v="15"/>
    <s v="Consumer"/>
    <s v="Online"/>
    <x v="0"/>
    <n v="5"/>
    <n v="30959.48"/>
    <n v="5"/>
    <n v="147057.51999999999"/>
    <x v="3"/>
  </r>
  <r>
    <s v="ORD11497"/>
    <d v="2026-05-17T00:00:00"/>
    <x v="0"/>
    <x v="4"/>
    <x v="3"/>
    <x v="2"/>
    <x v="2"/>
    <s v="Small Business"/>
    <s v="Online"/>
    <x v="1"/>
    <n v="3"/>
    <n v="7558.56"/>
    <n v="10"/>
    <n v="20408.099999999999"/>
    <x v="0"/>
  </r>
  <r>
    <s v="ORD11664"/>
    <d v="2026-05-18T00:00:00"/>
    <x v="3"/>
    <x v="4"/>
    <x v="4"/>
    <x v="3"/>
    <x v="19"/>
    <s v="Home Office"/>
    <s v="Online"/>
    <x v="2"/>
    <n v="3"/>
    <n v="25288.57"/>
    <n v="10"/>
    <n v="68279.14"/>
    <x v="3"/>
  </r>
  <r>
    <s v="ORD11843"/>
    <d v="2026-05-19T00:00:00"/>
    <x v="2"/>
    <x v="4"/>
    <x v="0"/>
    <x v="0"/>
    <x v="0"/>
    <s v="Corporate"/>
    <s v="Online"/>
    <x v="0"/>
    <n v="5"/>
    <n v="47790.92"/>
    <n v="5"/>
    <n v="227006.88"/>
    <x v="3"/>
  </r>
  <r>
    <s v="ORD10687"/>
    <d v="2026-05-20T00:00:00"/>
    <x v="0"/>
    <x v="4"/>
    <x v="8"/>
    <x v="2"/>
    <x v="17"/>
    <s v="Small Business"/>
    <s v="Distributor"/>
    <x v="2"/>
    <n v="1"/>
    <n v="6100.73"/>
    <n v="15"/>
    <n v="5185.62"/>
    <x v="0"/>
  </r>
  <r>
    <s v="ORD10920"/>
    <d v="2026-05-21T00:00:00"/>
    <x v="0"/>
    <x v="4"/>
    <x v="2"/>
    <x v="4"/>
    <x v="5"/>
    <s v="Home Office"/>
    <s v="Online"/>
    <x v="1"/>
    <n v="2"/>
    <n v="45108.66"/>
    <n v="5"/>
    <n v="85706.46"/>
    <x v="0"/>
  </r>
  <r>
    <s v="ORD10260"/>
    <d v="2026-05-22T00:00:00"/>
    <x v="0"/>
    <x v="4"/>
    <x v="1"/>
    <x v="3"/>
    <x v="19"/>
    <s v="Consumer"/>
    <s v="Distributor"/>
    <x v="2"/>
    <n v="2"/>
    <n v="34126.53"/>
    <n v="0"/>
    <n v="68253.05"/>
    <x v="2"/>
  </r>
  <r>
    <s v="ORD12299"/>
    <d v="2026-05-23T00:00:00"/>
    <x v="3"/>
    <x v="4"/>
    <x v="1"/>
    <x v="4"/>
    <x v="12"/>
    <s v="Small Business"/>
    <s v="Distributor"/>
    <x v="4"/>
    <n v="4"/>
    <n v="41900.44"/>
    <n v="15"/>
    <n v="142461.51"/>
    <x v="3"/>
  </r>
  <r>
    <s v="ORD10207"/>
    <d v="2026-05-24T00:00:00"/>
    <x v="4"/>
    <x v="4"/>
    <x v="0"/>
    <x v="0"/>
    <x v="6"/>
    <s v="Home Office"/>
    <s v="Online"/>
    <x v="3"/>
    <n v="4"/>
    <n v="50804.98"/>
    <n v="5"/>
    <n v="193058.93"/>
    <x v="0"/>
  </r>
  <r>
    <s v="ORD11605"/>
    <d v="2026-05-25T00:00:00"/>
    <x v="3"/>
    <x v="4"/>
    <x v="3"/>
    <x v="3"/>
    <x v="7"/>
    <s v="Consumer"/>
    <s v="Online"/>
    <x v="0"/>
    <n v="5"/>
    <n v="25904.86"/>
    <n v="0"/>
    <n v="129524.28"/>
    <x v="2"/>
  </r>
  <r>
    <s v="ORD11157"/>
    <d v="2026-05-26T00:00:00"/>
    <x v="1"/>
    <x v="4"/>
    <x v="6"/>
    <x v="2"/>
    <x v="2"/>
    <s v="Corporate"/>
    <s v="Distributor"/>
    <x v="2"/>
    <n v="4"/>
    <n v="5794.65"/>
    <n v="10"/>
    <n v="20860.759999999998"/>
    <x v="3"/>
  </r>
  <r>
    <s v="ORD11657"/>
    <d v="2026-05-27T00:00:00"/>
    <x v="2"/>
    <x v="4"/>
    <x v="9"/>
    <x v="4"/>
    <x v="12"/>
    <s v="Consumer"/>
    <s v="Distributor"/>
    <x v="2"/>
    <n v="3"/>
    <n v="43334.27"/>
    <n v="5"/>
    <n v="123502.66"/>
    <x v="3"/>
  </r>
  <r>
    <s v="ORD10441"/>
    <d v="2026-05-28T00:00:00"/>
    <x v="0"/>
    <x v="4"/>
    <x v="5"/>
    <x v="0"/>
    <x v="0"/>
    <s v="Consumer"/>
    <s v="Online"/>
    <x v="3"/>
    <n v="5"/>
    <n v="69588.06"/>
    <n v="0"/>
    <n v="347940.29"/>
    <x v="0"/>
  </r>
  <r>
    <s v="ORD10974"/>
    <d v="2026-05-29T00:00:00"/>
    <x v="1"/>
    <x v="4"/>
    <x v="1"/>
    <x v="1"/>
    <x v="4"/>
    <s v="Corporate"/>
    <s v="Online"/>
    <x v="3"/>
    <n v="5"/>
    <n v="2898.86"/>
    <n v="0"/>
    <n v="14494.32"/>
    <x v="0"/>
  </r>
  <r>
    <s v="ORD10767"/>
    <d v="2026-05-30T00:00:00"/>
    <x v="4"/>
    <x v="4"/>
    <x v="4"/>
    <x v="4"/>
    <x v="5"/>
    <s v="Small Business"/>
    <s v="Retail Store"/>
    <x v="1"/>
    <n v="1"/>
    <n v="39064.199999999997"/>
    <n v="20"/>
    <n v="31251.360000000001"/>
    <x v="3"/>
  </r>
  <r>
    <s v="ORD11509"/>
    <d v="2026-05-31T00:00:00"/>
    <x v="2"/>
    <x v="4"/>
    <x v="3"/>
    <x v="4"/>
    <x v="5"/>
    <s v="Corporate"/>
    <s v="Retail Store"/>
    <x v="0"/>
    <n v="2"/>
    <n v="42245.279999999999"/>
    <n v="5"/>
    <n v="80266.02"/>
    <x v="2"/>
  </r>
  <r>
    <s v="ORD11249"/>
    <d v="2026-06-01T00:00:00"/>
    <x v="1"/>
    <x v="5"/>
    <x v="4"/>
    <x v="3"/>
    <x v="15"/>
    <s v="Consumer"/>
    <s v="Distributor"/>
    <x v="1"/>
    <n v="2"/>
    <n v="35939.769999999997"/>
    <n v="10"/>
    <n v="64691.59"/>
    <x v="3"/>
  </r>
  <r>
    <s v="ORD10651"/>
    <d v="2026-06-02T00:00:00"/>
    <x v="1"/>
    <x v="5"/>
    <x v="5"/>
    <x v="1"/>
    <x v="13"/>
    <s v="Corporate"/>
    <s v="Retail Store"/>
    <x v="3"/>
    <n v="4"/>
    <n v="2096.19"/>
    <n v="10"/>
    <n v="7546.27"/>
    <x v="2"/>
  </r>
  <r>
    <s v="ORD11951"/>
    <d v="2026-06-03T00:00:00"/>
    <x v="3"/>
    <x v="5"/>
    <x v="5"/>
    <x v="4"/>
    <x v="10"/>
    <s v="Consumer"/>
    <s v="Retail Store"/>
    <x v="3"/>
    <n v="1"/>
    <n v="46688.57"/>
    <n v="5"/>
    <n v="44354.14"/>
    <x v="3"/>
  </r>
  <r>
    <s v="ORD11384"/>
    <d v="2026-06-04T00:00:00"/>
    <x v="1"/>
    <x v="5"/>
    <x v="2"/>
    <x v="1"/>
    <x v="14"/>
    <s v="Corporate"/>
    <s v="Retail Store"/>
    <x v="2"/>
    <n v="3"/>
    <n v="2399.5700000000002"/>
    <n v="10"/>
    <n v="6478.83"/>
    <x v="3"/>
  </r>
  <r>
    <s v="ORD11242"/>
    <d v="2026-06-05T00:00:00"/>
    <x v="0"/>
    <x v="5"/>
    <x v="0"/>
    <x v="3"/>
    <x v="19"/>
    <s v="Small Business"/>
    <s v="Online"/>
    <x v="2"/>
    <n v="3"/>
    <n v="39750.93"/>
    <n v="10"/>
    <n v="107327.51"/>
    <x v="1"/>
  </r>
  <r>
    <s v="ORD10272"/>
    <d v="2026-06-06T00:00:00"/>
    <x v="3"/>
    <x v="5"/>
    <x v="3"/>
    <x v="3"/>
    <x v="3"/>
    <s v="Small Business"/>
    <s v="Distributor"/>
    <x v="1"/>
    <n v="3"/>
    <n v="25604.41"/>
    <n v="15"/>
    <n v="65291.25"/>
    <x v="0"/>
  </r>
  <r>
    <s v="ORD10290"/>
    <d v="2026-06-07T00:00:00"/>
    <x v="4"/>
    <x v="5"/>
    <x v="6"/>
    <x v="4"/>
    <x v="9"/>
    <s v="Home Office"/>
    <s v="Retail Store"/>
    <x v="2"/>
    <n v="2"/>
    <n v="39047.9"/>
    <n v="15"/>
    <n v="66381.429999999993"/>
    <x v="3"/>
  </r>
  <r>
    <s v="ORD11152"/>
    <d v="2026-06-08T00:00:00"/>
    <x v="1"/>
    <x v="5"/>
    <x v="9"/>
    <x v="2"/>
    <x v="2"/>
    <s v="Home Office"/>
    <s v="Distributor"/>
    <x v="0"/>
    <n v="4"/>
    <n v="7539.46"/>
    <n v="10"/>
    <n v="27142.06"/>
    <x v="2"/>
  </r>
  <r>
    <s v="ORD10842"/>
    <d v="2026-06-09T00:00:00"/>
    <x v="3"/>
    <x v="5"/>
    <x v="5"/>
    <x v="4"/>
    <x v="12"/>
    <s v="Consumer"/>
    <s v="Distributor"/>
    <x v="4"/>
    <n v="5"/>
    <n v="35777.760000000002"/>
    <n v="10"/>
    <n v="160999.91"/>
    <x v="3"/>
  </r>
  <r>
    <s v="ORD12438"/>
    <d v="2026-06-10T00:00:00"/>
    <x v="1"/>
    <x v="5"/>
    <x v="7"/>
    <x v="1"/>
    <x v="14"/>
    <s v="Consumer"/>
    <s v="Online"/>
    <x v="4"/>
    <n v="4"/>
    <n v="2963.01"/>
    <n v="15"/>
    <n v="10074.24"/>
    <x v="1"/>
  </r>
  <r>
    <s v="ORD11473"/>
    <d v="2026-06-11T00:00:00"/>
    <x v="2"/>
    <x v="5"/>
    <x v="5"/>
    <x v="2"/>
    <x v="2"/>
    <s v="Corporate"/>
    <s v="Retail Store"/>
    <x v="2"/>
    <n v="4"/>
    <n v="7872.45"/>
    <n v="15"/>
    <n v="26766.35"/>
    <x v="3"/>
  </r>
  <r>
    <s v="ORD12375"/>
    <d v="2026-06-12T00:00:00"/>
    <x v="3"/>
    <x v="5"/>
    <x v="1"/>
    <x v="0"/>
    <x v="8"/>
    <s v="Small Business"/>
    <s v="Distributor"/>
    <x v="0"/>
    <n v="2"/>
    <n v="60024.02"/>
    <n v="15"/>
    <n v="102040.83"/>
    <x v="0"/>
  </r>
  <r>
    <s v="ORD12332"/>
    <d v="2026-06-13T00:00:00"/>
    <x v="2"/>
    <x v="5"/>
    <x v="0"/>
    <x v="3"/>
    <x v="3"/>
    <s v="Consumer"/>
    <s v="Retail Store"/>
    <x v="2"/>
    <n v="4"/>
    <n v="25196.98"/>
    <n v="10"/>
    <n v="90709.119999999995"/>
    <x v="0"/>
  </r>
  <r>
    <s v="ORD12096"/>
    <d v="2026-06-14T00:00:00"/>
    <x v="2"/>
    <x v="5"/>
    <x v="8"/>
    <x v="0"/>
    <x v="8"/>
    <s v="Consumer"/>
    <s v="Online"/>
    <x v="4"/>
    <n v="5"/>
    <n v="58910.19"/>
    <n v="15"/>
    <n v="250368.29"/>
    <x v="3"/>
  </r>
  <r>
    <s v="ORD12441"/>
    <d v="2026-06-15T00:00:00"/>
    <x v="4"/>
    <x v="5"/>
    <x v="1"/>
    <x v="2"/>
    <x v="16"/>
    <s v="Consumer"/>
    <s v="Distributor"/>
    <x v="3"/>
    <n v="3"/>
    <n v="7795.77"/>
    <n v="10"/>
    <n v="21048.59"/>
    <x v="1"/>
  </r>
  <r>
    <s v="ORD12385"/>
    <d v="2026-06-16T00:00:00"/>
    <x v="0"/>
    <x v="5"/>
    <x v="7"/>
    <x v="1"/>
    <x v="4"/>
    <s v="Home Office"/>
    <s v="Online"/>
    <x v="1"/>
    <n v="1"/>
    <n v="2240.89"/>
    <n v="10"/>
    <n v="2016.8"/>
    <x v="3"/>
  </r>
  <r>
    <s v="ORD12487"/>
    <d v="2026-06-17T00:00:00"/>
    <x v="3"/>
    <x v="5"/>
    <x v="4"/>
    <x v="4"/>
    <x v="9"/>
    <s v="Corporate"/>
    <s v="Retail Store"/>
    <x v="4"/>
    <n v="5"/>
    <n v="51783.77"/>
    <n v="0"/>
    <n v="258918.86"/>
    <x v="3"/>
  </r>
  <r>
    <s v="ORD12016"/>
    <d v="2026-06-18T00:00:00"/>
    <x v="1"/>
    <x v="5"/>
    <x v="0"/>
    <x v="0"/>
    <x v="6"/>
    <s v="Consumer"/>
    <s v="Online"/>
    <x v="2"/>
    <n v="4"/>
    <n v="64007.7"/>
    <n v="10"/>
    <n v="230427.72"/>
    <x v="1"/>
  </r>
  <r>
    <s v="ORD10929"/>
    <d v="2026-06-19T00:00:00"/>
    <x v="0"/>
    <x v="5"/>
    <x v="1"/>
    <x v="0"/>
    <x v="8"/>
    <s v="Corporate"/>
    <s v="Retail Store"/>
    <x v="3"/>
    <n v="3"/>
    <n v="56132.12"/>
    <n v="0"/>
    <n v="168396.35"/>
    <x v="2"/>
  </r>
  <r>
    <s v="ORD12272"/>
    <d v="2026-06-20T00:00:00"/>
    <x v="1"/>
    <x v="5"/>
    <x v="6"/>
    <x v="2"/>
    <x v="11"/>
    <s v="Consumer"/>
    <s v="Online"/>
    <x v="1"/>
    <n v="4"/>
    <n v="7975.48"/>
    <n v="15"/>
    <n v="27116.62"/>
    <x v="1"/>
  </r>
  <r>
    <s v="ORD12288"/>
    <d v="2026-06-21T00:00:00"/>
    <x v="2"/>
    <x v="5"/>
    <x v="0"/>
    <x v="0"/>
    <x v="0"/>
    <s v="Small Business"/>
    <s v="Retail Store"/>
    <x v="0"/>
    <n v="5"/>
    <n v="49368.5"/>
    <n v="10"/>
    <n v="222158.24"/>
    <x v="2"/>
  </r>
  <r>
    <s v="ORD10484"/>
    <d v="2026-06-22T00:00:00"/>
    <x v="3"/>
    <x v="5"/>
    <x v="9"/>
    <x v="0"/>
    <x v="0"/>
    <s v="Small Business"/>
    <s v="Distributor"/>
    <x v="4"/>
    <n v="1"/>
    <n v="69765.100000000006"/>
    <n v="5"/>
    <n v="66276.850000000006"/>
    <x v="3"/>
  </r>
  <r>
    <s v="ORD11027"/>
    <d v="2026-06-23T00:00:00"/>
    <x v="3"/>
    <x v="5"/>
    <x v="2"/>
    <x v="1"/>
    <x v="14"/>
    <s v="Corporate"/>
    <s v="Online"/>
    <x v="4"/>
    <n v="5"/>
    <n v="2389.5"/>
    <n v="10"/>
    <n v="10752.75"/>
    <x v="3"/>
  </r>
  <r>
    <s v="ORD11194"/>
    <d v="2026-06-24T00:00:00"/>
    <x v="0"/>
    <x v="5"/>
    <x v="2"/>
    <x v="2"/>
    <x v="11"/>
    <s v="Consumer"/>
    <s v="Retail Store"/>
    <x v="2"/>
    <n v="3"/>
    <n v="6346.82"/>
    <n v="20"/>
    <n v="15232.37"/>
    <x v="3"/>
  </r>
  <r>
    <s v="ORD10508"/>
    <d v="2026-06-25T00:00:00"/>
    <x v="2"/>
    <x v="5"/>
    <x v="3"/>
    <x v="2"/>
    <x v="17"/>
    <s v="Home Office"/>
    <s v="Online"/>
    <x v="3"/>
    <n v="5"/>
    <n v="7472.52"/>
    <n v="5"/>
    <n v="35494.449999999997"/>
    <x v="3"/>
  </r>
  <r>
    <s v="ORD11167"/>
    <d v="2026-06-26T00:00:00"/>
    <x v="1"/>
    <x v="5"/>
    <x v="3"/>
    <x v="1"/>
    <x v="4"/>
    <s v="Consumer"/>
    <s v="Retail Store"/>
    <x v="4"/>
    <n v="4"/>
    <n v="2439.64"/>
    <n v="5"/>
    <n v="9270.6299999999992"/>
    <x v="0"/>
  </r>
  <r>
    <s v="ORD11141"/>
    <d v="2026-06-27T00:00:00"/>
    <x v="0"/>
    <x v="5"/>
    <x v="5"/>
    <x v="3"/>
    <x v="7"/>
    <s v="Home Office"/>
    <s v="Retail Store"/>
    <x v="2"/>
    <n v="3"/>
    <n v="34862.800000000003"/>
    <n v="0"/>
    <n v="104588.41"/>
    <x v="0"/>
  </r>
  <r>
    <s v="ORD11803"/>
    <d v="2026-06-28T00:00:00"/>
    <x v="3"/>
    <x v="5"/>
    <x v="9"/>
    <x v="2"/>
    <x v="11"/>
    <s v="Corporate"/>
    <s v="Distributor"/>
    <x v="2"/>
    <n v="3"/>
    <n v="6073.9"/>
    <n v="5"/>
    <n v="17310.62"/>
    <x v="3"/>
  </r>
  <r>
    <s v="ORD10158"/>
    <d v="2026-06-29T00:00:00"/>
    <x v="3"/>
    <x v="5"/>
    <x v="2"/>
    <x v="2"/>
    <x v="2"/>
    <s v="Home Office"/>
    <s v="Distributor"/>
    <x v="2"/>
    <n v="3"/>
    <n v="7465.7"/>
    <n v="0"/>
    <n v="22397.09"/>
    <x v="3"/>
  </r>
  <r>
    <s v="ORD12372"/>
    <d v="2026-06-30T00:00:00"/>
    <x v="0"/>
    <x v="5"/>
    <x v="9"/>
    <x v="3"/>
    <x v="15"/>
    <s v="Small Business"/>
    <s v="Online"/>
    <x v="4"/>
    <n v="4"/>
    <n v="39965.550000000003"/>
    <n v="0"/>
    <n v="159862.21"/>
    <x v="2"/>
  </r>
  <r>
    <s v="ORD10779"/>
    <d v="2026-07-01T00:00:00"/>
    <x v="0"/>
    <x v="6"/>
    <x v="1"/>
    <x v="1"/>
    <x v="13"/>
    <s v="Home Office"/>
    <s v="Retail Store"/>
    <x v="1"/>
    <n v="5"/>
    <n v="1950.94"/>
    <n v="0"/>
    <n v="9754.7000000000007"/>
    <x v="3"/>
  </r>
  <r>
    <s v="ORD11311"/>
    <d v="2026-07-02T00:00:00"/>
    <x v="1"/>
    <x v="6"/>
    <x v="4"/>
    <x v="2"/>
    <x v="17"/>
    <s v="Corporate"/>
    <s v="Online"/>
    <x v="2"/>
    <n v="3"/>
    <n v="7309"/>
    <n v="15"/>
    <n v="18637.939999999999"/>
    <x v="0"/>
  </r>
  <r>
    <s v="ORD10257"/>
    <d v="2026-07-03T00:00:00"/>
    <x v="1"/>
    <x v="6"/>
    <x v="7"/>
    <x v="1"/>
    <x v="14"/>
    <s v="Consumer"/>
    <s v="Distributor"/>
    <x v="2"/>
    <n v="2"/>
    <n v="2347.69"/>
    <n v="5"/>
    <n v="4460.6099999999997"/>
    <x v="1"/>
  </r>
  <r>
    <s v="ORD11443"/>
    <d v="2026-07-04T00:00:00"/>
    <x v="1"/>
    <x v="6"/>
    <x v="9"/>
    <x v="3"/>
    <x v="15"/>
    <s v="Small Business"/>
    <s v="Retail Store"/>
    <x v="0"/>
    <n v="3"/>
    <n v="24760.78"/>
    <n v="15"/>
    <n v="63139.99"/>
    <x v="3"/>
  </r>
  <r>
    <s v="ORD12187"/>
    <d v="2026-07-05T00:00:00"/>
    <x v="4"/>
    <x v="6"/>
    <x v="8"/>
    <x v="1"/>
    <x v="13"/>
    <s v="Corporate"/>
    <s v="Retail Store"/>
    <x v="0"/>
    <n v="2"/>
    <n v="2799.29"/>
    <n v="5"/>
    <n v="5318.65"/>
    <x v="3"/>
  </r>
  <r>
    <s v="ORD11062"/>
    <d v="2026-07-06T00:00:00"/>
    <x v="2"/>
    <x v="6"/>
    <x v="9"/>
    <x v="3"/>
    <x v="15"/>
    <s v="Home Office"/>
    <s v="Online"/>
    <x v="2"/>
    <n v="5"/>
    <n v="36019.74"/>
    <n v="0"/>
    <n v="180098.71"/>
    <x v="3"/>
  </r>
  <r>
    <s v="ORD10722"/>
    <d v="2026-07-07T00:00:00"/>
    <x v="4"/>
    <x v="6"/>
    <x v="6"/>
    <x v="2"/>
    <x v="2"/>
    <s v="Corporate"/>
    <s v="Retail Store"/>
    <x v="4"/>
    <n v="3"/>
    <n v="5993.54"/>
    <n v="5"/>
    <n v="17081.580000000002"/>
    <x v="3"/>
  </r>
  <r>
    <s v="ORD10414"/>
    <d v="2026-07-08T00:00:00"/>
    <x v="3"/>
    <x v="6"/>
    <x v="3"/>
    <x v="2"/>
    <x v="17"/>
    <s v="Small Business"/>
    <s v="Distributor"/>
    <x v="0"/>
    <n v="2"/>
    <n v="5837.29"/>
    <n v="5"/>
    <n v="11090.85"/>
    <x v="3"/>
  </r>
  <r>
    <s v="ORD10605"/>
    <d v="2026-07-09T00:00:00"/>
    <x v="0"/>
    <x v="6"/>
    <x v="7"/>
    <x v="0"/>
    <x v="6"/>
    <s v="Home Office"/>
    <s v="Retail Store"/>
    <x v="0"/>
    <n v="3"/>
    <n v="66435.55"/>
    <n v="10"/>
    <n v="179375.97"/>
    <x v="3"/>
  </r>
  <r>
    <s v="ORD11112"/>
    <d v="2026-07-10T00:00:00"/>
    <x v="1"/>
    <x v="6"/>
    <x v="3"/>
    <x v="1"/>
    <x v="4"/>
    <s v="Small Business"/>
    <s v="Distributor"/>
    <x v="0"/>
    <n v="1"/>
    <n v="2167.9899999999998"/>
    <n v="0"/>
    <n v="2167.9899999999998"/>
    <x v="2"/>
  </r>
  <r>
    <s v="ORD12165"/>
    <d v="2026-07-11T00:00:00"/>
    <x v="3"/>
    <x v="6"/>
    <x v="8"/>
    <x v="3"/>
    <x v="19"/>
    <s v="Home Office"/>
    <s v="Distributor"/>
    <x v="1"/>
    <n v="4"/>
    <n v="28673.42"/>
    <n v="20"/>
    <n v="91754.94"/>
    <x v="0"/>
  </r>
  <r>
    <s v="ORD10299"/>
    <d v="2026-07-12T00:00:00"/>
    <x v="2"/>
    <x v="6"/>
    <x v="6"/>
    <x v="3"/>
    <x v="15"/>
    <s v="Home Office"/>
    <s v="Distributor"/>
    <x v="3"/>
    <n v="1"/>
    <n v="38965"/>
    <n v="15"/>
    <n v="33120.25"/>
    <x v="1"/>
  </r>
  <r>
    <s v="ORD10661"/>
    <d v="2026-07-13T00:00:00"/>
    <x v="4"/>
    <x v="6"/>
    <x v="7"/>
    <x v="3"/>
    <x v="15"/>
    <s v="Home Office"/>
    <s v="Distributor"/>
    <x v="3"/>
    <n v="1"/>
    <n v="32543.48"/>
    <n v="5"/>
    <n v="30916.31"/>
    <x v="1"/>
  </r>
  <r>
    <s v="ORD12182"/>
    <d v="2026-07-14T00:00:00"/>
    <x v="3"/>
    <x v="6"/>
    <x v="6"/>
    <x v="4"/>
    <x v="5"/>
    <s v="Small Business"/>
    <s v="Online"/>
    <x v="0"/>
    <n v="4"/>
    <n v="42931.59"/>
    <n v="10"/>
    <n v="154553.72"/>
    <x v="1"/>
  </r>
  <r>
    <s v="ORD11758"/>
    <d v="2026-07-15T00:00:00"/>
    <x v="4"/>
    <x v="6"/>
    <x v="7"/>
    <x v="3"/>
    <x v="3"/>
    <s v="Small Business"/>
    <s v="Retail Store"/>
    <x v="4"/>
    <n v="4"/>
    <n v="31038.66"/>
    <n v="0"/>
    <n v="124154.65"/>
    <x v="0"/>
  </r>
  <r>
    <s v="ORD10277"/>
    <d v="2026-07-16T00:00:00"/>
    <x v="1"/>
    <x v="6"/>
    <x v="7"/>
    <x v="0"/>
    <x v="0"/>
    <s v="Corporate"/>
    <s v="Distributor"/>
    <x v="4"/>
    <n v="2"/>
    <n v="52528.39"/>
    <n v="5"/>
    <n v="99803.94"/>
    <x v="1"/>
  </r>
  <r>
    <s v="ORD12151"/>
    <d v="2026-07-17T00:00:00"/>
    <x v="3"/>
    <x v="6"/>
    <x v="1"/>
    <x v="4"/>
    <x v="10"/>
    <s v="Consumer"/>
    <s v="Distributor"/>
    <x v="3"/>
    <n v="2"/>
    <n v="51190.49"/>
    <n v="10"/>
    <n v="92142.87"/>
    <x v="1"/>
  </r>
  <r>
    <s v="ORD10318"/>
    <d v="2026-07-18T00:00:00"/>
    <x v="4"/>
    <x v="6"/>
    <x v="3"/>
    <x v="0"/>
    <x v="8"/>
    <s v="Corporate"/>
    <s v="Distributor"/>
    <x v="4"/>
    <n v="5"/>
    <n v="63802.76"/>
    <n v="10"/>
    <n v="287112.42"/>
    <x v="2"/>
  </r>
  <r>
    <s v="ORD11435"/>
    <d v="2026-07-19T00:00:00"/>
    <x v="2"/>
    <x v="6"/>
    <x v="9"/>
    <x v="0"/>
    <x v="18"/>
    <s v="Corporate"/>
    <s v="Distributor"/>
    <x v="4"/>
    <n v="1"/>
    <n v="47695.87"/>
    <n v="5"/>
    <n v="45311.08"/>
    <x v="0"/>
  </r>
  <r>
    <s v="ORD11077"/>
    <d v="2026-07-20T00:00:00"/>
    <x v="2"/>
    <x v="6"/>
    <x v="2"/>
    <x v="2"/>
    <x v="11"/>
    <s v="Corporate"/>
    <s v="Retail Store"/>
    <x v="4"/>
    <n v="5"/>
    <n v="5931.02"/>
    <n v="5"/>
    <n v="28172.36"/>
    <x v="2"/>
  </r>
  <r>
    <s v="ORD11868"/>
    <d v="2026-07-21T00:00:00"/>
    <x v="3"/>
    <x v="6"/>
    <x v="1"/>
    <x v="3"/>
    <x v="19"/>
    <s v="Small Business"/>
    <s v="Retail Store"/>
    <x v="4"/>
    <n v="1"/>
    <n v="25116.37"/>
    <n v="15"/>
    <n v="21348.91"/>
    <x v="3"/>
  </r>
  <r>
    <s v="ORD12057"/>
    <d v="2026-07-22T00:00:00"/>
    <x v="0"/>
    <x v="6"/>
    <x v="1"/>
    <x v="2"/>
    <x v="2"/>
    <s v="Small Business"/>
    <s v="Distributor"/>
    <x v="4"/>
    <n v="5"/>
    <n v="6336.77"/>
    <n v="0"/>
    <n v="31683.86"/>
    <x v="1"/>
  </r>
  <r>
    <s v="ORD10830"/>
    <d v="2026-07-23T00:00:00"/>
    <x v="1"/>
    <x v="6"/>
    <x v="0"/>
    <x v="2"/>
    <x v="16"/>
    <s v="Small Business"/>
    <s v="Distributor"/>
    <x v="1"/>
    <n v="4"/>
    <n v="6924.99"/>
    <n v="5"/>
    <n v="26314.95"/>
    <x v="0"/>
  </r>
  <r>
    <s v="ORD10413"/>
    <d v="2026-07-24T00:00:00"/>
    <x v="4"/>
    <x v="6"/>
    <x v="5"/>
    <x v="0"/>
    <x v="18"/>
    <s v="Home Office"/>
    <s v="Distributor"/>
    <x v="3"/>
    <n v="3"/>
    <n v="61947"/>
    <n v="5"/>
    <n v="176548.95"/>
    <x v="0"/>
  </r>
  <r>
    <s v="ORD10264"/>
    <d v="2026-07-25T00:00:00"/>
    <x v="1"/>
    <x v="6"/>
    <x v="3"/>
    <x v="1"/>
    <x v="13"/>
    <s v="Small Business"/>
    <s v="Retail Store"/>
    <x v="3"/>
    <n v="2"/>
    <n v="2345.75"/>
    <n v="5"/>
    <n v="4456.93"/>
    <x v="1"/>
  </r>
  <r>
    <s v="ORD11916"/>
    <d v="2026-07-26T00:00:00"/>
    <x v="3"/>
    <x v="6"/>
    <x v="1"/>
    <x v="1"/>
    <x v="14"/>
    <s v="Small Business"/>
    <s v="Distributor"/>
    <x v="4"/>
    <n v="5"/>
    <n v="2512.4699999999998"/>
    <n v="5"/>
    <n v="11934.21"/>
    <x v="1"/>
  </r>
  <r>
    <s v="ORD10952"/>
    <d v="2026-07-27T00:00:00"/>
    <x v="2"/>
    <x v="6"/>
    <x v="1"/>
    <x v="1"/>
    <x v="1"/>
    <s v="Consumer"/>
    <s v="Online"/>
    <x v="1"/>
    <n v="4"/>
    <n v="2772.23"/>
    <n v="15"/>
    <n v="9425.6"/>
    <x v="0"/>
  </r>
  <r>
    <s v="ORD11856"/>
    <d v="2026-07-28T00:00:00"/>
    <x v="4"/>
    <x v="6"/>
    <x v="6"/>
    <x v="2"/>
    <x v="16"/>
    <s v="Home Office"/>
    <s v="Online"/>
    <x v="4"/>
    <n v="5"/>
    <n v="7786.27"/>
    <n v="20"/>
    <n v="31145.1"/>
    <x v="0"/>
  </r>
  <r>
    <s v="ORD11679"/>
    <d v="2026-07-29T00:00:00"/>
    <x v="0"/>
    <x v="6"/>
    <x v="5"/>
    <x v="3"/>
    <x v="3"/>
    <s v="Corporate"/>
    <s v="Retail Store"/>
    <x v="0"/>
    <n v="2"/>
    <n v="25396.41"/>
    <n v="0"/>
    <n v="50792.81"/>
    <x v="3"/>
  </r>
  <r>
    <s v="ORD11615"/>
    <d v="2026-07-30T00:00:00"/>
    <x v="1"/>
    <x v="6"/>
    <x v="2"/>
    <x v="0"/>
    <x v="18"/>
    <s v="Consumer"/>
    <s v="Retail Store"/>
    <x v="3"/>
    <n v="3"/>
    <n v="49253.34"/>
    <n v="5"/>
    <n v="140372.03"/>
    <x v="3"/>
  </r>
  <r>
    <s v="ORD11501"/>
    <d v="2026-07-31T00:00:00"/>
    <x v="2"/>
    <x v="6"/>
    <x v="0"/>
    <x v="0"/>
    <x v="0"/>
    <s v="Home Office"/>
    <s v="Online"/>
    <x v="4"/>
    <n v="5"/>
    <n v="66959.8"/>
    <n v="10"/>
    <n v="301319.09999999998"/>
    <x v="0"/>
  </r>
  <r>
    <s v="ORD11421"/>
    <d v="2026-08-01T00:00:00"/>
    <x v="2"/>
    <x v="7"/>
    <x v="6"/>
    <x v="1"/>
    <x v="13"/>
    <s v="Small Business"/>
    <s v="Distributor"/>
    <x v="4"/>
    <n v="3"/>
    <n v="2542.5"/>
    <n v="5"/>
    <n v="7246.11"/>
    <x v="0"/>
  </r>
  <r>
    <s v="ORD10906"/>
    <d v="2026-08-02T00:00:00"/>
    <x v="1"/>
    <x v="7"/>
    <x v="8"/>
    <x v="1"/>
    <x v="1"/>
    <s v="Small Business"/>
    <s v="Retail Store"/>
    <x v="0"/>
    <n v="2"/>
    <n v="2824.33"/>
    <n v="10"/>
    <n v="5083.8"/>
    <x v="3"/>
  </r>
  <r>
    <s v="ORD10781"/>
    <d v="2026-08-03T00:00:00"/>
    <x v="4"/>
    <x v="7"/>
    <x v="3"/>
    <x v="1"/>
    <x v="13"/>
    <s v="Home Office"/>
    <s v="Distributor"/>
    <x v="0"/>
    <n v="5"/>
    <n v="2383.27"/>
    <n v="15"/>
    <n v="10128.91"/>
    <x v="3"/>
  </r>
  <r>
    <s v="ORD10462"/>
    <d v="2026-08-04T00:00:00"/>
    <x v="2"/>
    <x v="7"/>
    <x v="7"/>
    <x v="4"/>
    <x v="10"/>
    <s v="Home Office"/>
    <s v="Retail Store"/>
    <x v="4"/>
    <n v="2"/>
    <n v="51789.03"/>
    <n v="5"/>
    <n v="98399.17"/>
    <x v="3"/>
  </r>
  <r>
    <s v="ORD10692"/>
    <d v="2026-08-05T00:00:00"/>
    <x v="4"/>
    <x v="7"/>
    <x v="3"/>
    <x v="1"/>
    <x v="13"/>
    <s v="Small Business"/>
    <s v="Online"/>
    <x v="2"/>
    <n v="2"/>
    <n v="2702.74"/>
    <n v="5"/>
    <n v="5135.2"/>
    <x v="3"/>
  </r>
  <r>
    <s v="ORD10566"/>
    <d v="2026-08-06T00:00:00"/>
    <x v="2"/>
    <x v="7"/>
    <x v="2"/>
    <x v="4"/>
    <x v="12"/>
    <s v="Corporate"/>
    <s v="Retail Store"/>
    <x v="2"/>
    <n v="2"/>
    <n v="41330.9"/>
    <n v="5"/>
    <n v="78528.7"/>
    <x v="2"/>
  </r>
  <r>
    <s v="ORD11162"/>
    <d v="2026-08-07T00:00:00"/>
    <x v="3"/>
    <x v="7"/>
    <x v="3"/>
    <x v="0"/>
    <x v="6"/>
    <s v="Home Office"/>
    <s v="Distributor"/>
    <x v="3"/>
    <n v="2"/>
    <n v="47206.46"/>
    <n v="0"/>
    <n v="94412.92"/>
    <x v="3"/>
  </r>
  <r>
    <s v="ORD11120"/>
    <d v="2026-08-08T00:00:00"/>
    <x v="4"/>
    <x v="7"/>
    <x v="0"/>
    <x v="4"/>
    <x v="9"/>
    <s v="Small Business"/>
    <s v="Retail Store"/>
    <x v="3"/>
    <n v="1"/>
    <n v="37346.47"/>
    <n v="20"/>
    <n v="29877.18"/>
    <x v="1"/>
  </r>
  <r>
    <s v="ORD10085"/>
    <d v="2026-08-09T00:00:00"/>
    <x v="2"/>
    <x v="7"/>
    <x v="4"/>
    <x v="4"/>
    <x v="5"/>
    <s v="Small Business"/>
    <s v="Online"/>
    <x v="4"/>
    <n v="2"/>
    <n v="43895.22"/>
    <n v="0"/>
    <n v="87790.44"/>
    <x v="3"/>
  </r>
  <r>
    <s v="ORD11763"/>
    <d v="2026-08-10T00:00:00"/>
    <x v="0"/>
    <x v="7"/>
    <x v="2"/>
    <x v="4"/>
    <x v="5"/>
    <s v="Home Office"/>
    <s v="Retail Store"/>
    <x v="2"/>
    <n v="5"/>
    <n v="37999.160000000003"/>
    <n v="5"/>
    <n v="180496"/>
    <x v="3"/>
  </r>
  <r>
    <s v="ORD11809"/>
    <d v="2026-08-11T00:00:00"/>
    <x v="1"/>
    <x v="7"/>
    <x v="2"/>
    <x v="3"/>
    <x v="7"/>
    <s v="Small Business"/>
    <s v="Online"/>
    <x v="2"/>
    <n v="3"/>
    <n v="35050.410000000003"/>
    <n v="10"/>
    <n v="94636.11"/>
    <x v="3"/>
  </r>
  <r>
    <s v="ORD10367"/>
    <d v="2026-08-12T00:00:00"/>
    <x v="3"/>
    <x v="7"/>
    <x v="4"/>
    <x v="1"/>
    <x v="13"/>
    <s v="Small Business"/>
    <s v="Online"/>
    <x v="4"/>
    <n v="2"/>
    <n v="2505.9299999999998"/>
    <n v="10"/>
    <n v="4510.67"/>
    <x v="2"/>
  </r>
  <r>
    <s v="ORD10717"/>
    <d v="2026-08-13T00:00:00"/>
    <x v="3"/>
    <x v="7"/>
    <x v="7"/>
    <x v="1"/>
    <x v="13"/>
    <s v="Small Business"/>
    <s v="Retail Store"/>
    <x v="0"/>
    <n v="5"/>
    <n v="2774.77"/>
    <n v="10"/>
    <n v="12486.48"/>
    <x v="2"/>
  </r>
  <r>
    <s v="ORD12470"/>
    <d v="2026-08-14T00:00:00"/>
    <x v="2"/>
    <x v="7"/>
    <x v="4"/>
    <x v="2"/>
    <x v="17"/>
    <s v="Small Business"/>
    <s v="Online"/>
    <x v="2"/>
    <n v="4"/>
    <n v="5839.13"/>
    <n v="5"/>
    <n v="22188.69"/>
    <x v="3"/>
  </r>
  <r>
    <s v="ORD10547"/>
    <d v="2026-08-15T00:00:00"/>
    <x v="2"/>
    <x v="7"/>
    <x v="9"/>
    <x v="3"/>
    <x v="19"/>
    <s v="Corporate"/>
    <s v="Distributor"/>
    <x v="3"/>
    <n v="5"/>
    <n v="36361.25"/>
    <n v="20"/>
    <n v="145444.98000000001"/>
    <x v="0"/>
  </r>
  <r>
    <s v="ORD11744"/>
    <d v="2026-08-16T00:00:00"/>
    <x v="0"/>
    <x v="7"/>
    <x v="1"/>
    <x v="4"/>
    <x v="5"/>
    <s v="Small Business"/>
    <s v="Online"/>
    <x v="1"/>
    <n v="4"/>
    <n v="44138.39"/>
    <n v="5"/>
    <n v="167725.88"/>
    <x v="0"/>
  </r>
  <r>
    <s v="ORD11366"/>
    <d v="2026-08-17T00:00:00"/>
    <x v="0"/>
    <x v="7"/>
    <x v="9"/>
    <x v="4"/>
    <x v="12"/>
    <s v="Corporate"/>
    <s v="Online"/>
    <x v="0"/>
    <n v="4"/>
    <n v="42747.86"/>
    <n v="15"/>
    <n v="145342.73000000001"/>
    <x v="0"/>
  </r>
  <r>
    <s v="ORD10927"/>
    <d v="2026-08-18T00:00:00"/>
    <x v="4"/>
    <x v="7"/>
    <x v="3"/>
    <x v="4"/>
    <x v="10"/>
    <s v="Home Office"/>
    <s v="Retail Store"/>
    <x v="3"/>
    <n v="3"/>
    <n v="34608.49"/>
    <n v="0"/>
    <n v="103825.46"/>
    <x v="0"/>
  </r>
  <r>
    <s v="ORD12235"/>
    <d v="2026-08-19T00:00:00"/>
    <x v="0"/>
    <x v="7"/>
    <x v="1"/>
    <x v="1"/>
    <x v="14"/>
    <s v="Consumer"/>
    <s v="Retail Store"/>
    <x v="0"/>
    <n v="1"/>
    <n v="3108.24"/>
    <n v="0"/>
    <n v="3108.24"/>
    <x v="3"/>
  </r>
  <r>
    <s v="ORD12307"/>
    <d v="2026-08-20T00:00:00"/>
    <x v="4"/>
    <x v="7"/>
    <x v="2"/>
    <x v="1"/>
    <x v="14"/>
    <s v="Home Office"/>
    <s v="Retail Store"/>
    <x v="4"/>
    <n v="1"/>
    <n v="2791.01"/>
    <n v="10"/>
    <n v="2511.91"/>
    <x v="2"/>
  </r>
  <r>
    <s v="ORD10118"/>
    <d v="2026-08-21T00:00:00"/>
    <x v="2"/>
    <x v="7"/>
    <x v="6"/>
    <x v="3"/>
    <x v="3"/>
    <s v="Corporate"/>
    <s v="Online"/>
    <x v="1"/>
    <n v="1"/>
    <n v="24196.58"/>
    <n v="0"/>
    <n v="24196.58"/>
    <x v="2"/>
  </r>
  <r>
    <s v="ORD10856"/>
    <d v="2026-08-22T00:00:00"/>
    <x v="4"/>
    <x v="7"/>
    <x v="5"/>
    <x v="2"/>
    <x v="17"/>
    <s v="Corporate"/>
    <s v="Distributor"/>
    <x v="1"/>
    <n v="3"/>
    <n v="7353.03"/>
    <n v="15"/>
    <n v="18750.240000000002"/>
    <x v="3"/>
  </r>
  <r>
    <s v="ORD11233"/>
    <d v="2026-08-23T00:00:00"/>
    <x v="1"/>
    <x v="7"/>
    <x v="0"/>
    <x v="0"/>
    <x v="18"/>
    <s v="Consumer"/>
    <s v="Distributor"/>
    <x v="3"/>
    <n v="3"/>
    <n v="62004.84"/>
    <n v="0"/>
    <n v="186014.51"/>
    <x v="3"/>
  </r>
  <r>
    <s v="ORD10237"/>
    <d v="2026-08-24T00:00:00"/>
    <x v="4"/>
    <x v="7"/>
    <x v="5"/>
    <x v="0"/>
    <x v="6"/>
    <s v="Home Office"/>
    <s v="Distributor"/>
    <x v="0"/>
    <n v="1"/>
    <n v="47574.62"/>
    <n v="20"/>
    <n v="38059.699999999997"/>
    <x v="2"/>
  </r>
  <r>
    <s v="ORD12135"/>
    <d v="2026-08-25T00:00:00"/>
    <x v="4"/>
    <x v="7"/>
    <x v="0"/>
    <x v="0"/>
    <x v="0"/>
    <s v="Small Business"/>
    <s v="Online"/>
    <x v="2"/>
    <n v="2"/>
    <n v="54349.07"/>
    <n v="10"/>
    <n v="97828.33"/>
    <x v="0"/>
  </r>
  <r>
    <s v="ORD10295"/>
    <d v="2026-08-26T00:00:00"/>
    <x v="0"/>
    <x v="7"/>
    <x v="9"/>
    <x v="0"/>
    <x v="6"/>
    <s v="Consumer"/>
    <s v="Distributor"/>
    <x v="0"/>
    <n v="2"/>
    <n v="54286.37"/>
    <n v="5"/>
    <n v="103144.11"/>
    <x v="3"/>
  </r>
  <r>
    <s v="ORD10231"/>
    <d v="2026-08-27T00:00:00"/>
    <x v="4"/>
    <x v="7"/>
    <x v="8"/>
    <x v="1"/>
    <x v="13"/>
    <s v="Small Business"/>
    <s v="Online"/>
    <x v="1"/>
    <n v="3"/>
    <n v="2048.8200000000002"/>
    <n v="0"/>
    <n v="6146.47"/>
    <x v="0"/>
  </r>
  <r>
    <s v="ORD10729"/>
    <d v="2026-08-28T00:00:00"/>
    <x v="2"/>
    <x v="7"/>
    <x v="4"/>
    <x v="4"/>
    <x v="5"/>
    <s v="Consumer"/>
    <s v="Online"/>
    <x v="2"/>
    <n v="1"/>
    <n v="32421.99"/>
    <n v="10"/>
    <n v="29179.79"/>
    <x v="3"/>
  </r>
  <r>
    <s v="ORD10883"/>
    <d v="2026-08-29T00:00:00"/>
    <x v="1"/>
    <x v="7"/>
    <x v="1"/>
    <x v="1"/>
    <x v="13"/>
    <s v="Consumer"/>
    <s v="Retail Store"/>
    <x v="3"/>
    <n v="2"/>
    <n v="2303.25"/>
    <n v="15"/>
    <n v="3915.52"/>
    <x v="3"/>
  </r>
  <r>
    <s v="ORD11907"/>
    <d v="2026-08-30T00:00:00"/>
    <x v="1"/>
    <x v="7"/>
    <x v="7"/>
    <x v="4"/>
    <x v="5"/>
    <s v="Small Business"/>
    <s v="Retail Store"/>
    <x v="2"/>
    <n v="1"/>
    <n v="43600.03"/>
    <n v="0"/>
    <n v="43600.03"/>
    <x v="0"/>
  </r>
  <r>
    <s v="ORD10721"/>
    <d v="2026-08-31T00:00:00"/>
    <x v="0"/>
    <x v="7"/>
    <x v="2"/>
    <x v="4"/>
    <x v="10"/>
    <s v="Small Business"/>
    <s v="Retail Store"/>
    <x v="3"/>
    <n v="4"/>
    <n v="34117.230000000003"/>
    <n v="10"/>
    <n v="122822.04"/>
    <x v="3"/>
  </r>
  <r>
    <s v="ORD10955"/>
    <d v="2026-09-01T00:00:00"/>
    <x v="1"/>
    <x v="8"/>
    <x v="0"/>
    <x v="3"/>
    <x v="19"/>
    <s v="Home Office"/>
    <s v="Retail Store"/>
    <x v="3"/>
    <n v="3"/>
    <n v="35408.5"/>
    <n v="15"/>
    <n v="90291.67"/>
    <x v="0"/>
  </r>
  <r>
    <s v="ORD12285"/>
    <d v="2026-09-02T00:00:00"/>
    <x v="1"/>
    <x v="8"/>
    <x v="9"/>
    <x v="1"/>
    <x v="13"/>
    <s v="Small Business"/>
    <s v="Distributor"/>
    <x v="3"/>
    <n v="4"/>
    <n v="2400.5"/>
    <n v="10"/>
    <n v="8641.82"/>
    <x v="2"/>
  </r>
  <r>
    <s v="ORD11842"/>
    <d v="2026-09-03T00:00:00"/>
    <x v="3"/>
    <x v="8"/>
    <x v="1"/>
    <x v="4"/>
    <x v="5"/>
    <s v="Home Office"/>
    <s v="Retail Store"/>
    <x v="0"/>
    <n v="4"/>
    <n v="46753.96"/>
    <n v="10"/>
    <n v="168314.23999999999"/>
    <x v="3"/>
  </r>
  <r>
    <s v="ORD10493"/>
    <d v="2026-09-04T00:00:00"/>
    <x v="3"/>
    <x v="8"/>
    <x v="4"/>
    <x v="0"/>
    <x v="0"/>
    <s v="Small Business"/>
    <s v="Online"/>
    <x v="1"/>
    <n v="3"/>
    <n v="72230.990000000005"/>
    <n v="5"/>
    <n v="205858.32"/>
    <x v="3"/>
  </r>
  <r>
    <s v="ORD10820"/>
    <d v="2026-09-05T00:00:00"/>
    <x v="3"/>
    <x v="8"/>
    <x v="0"/>
    <x v="4"/>
    <x v="10"/>
    <s v="Small Business"/>
    <s v="Online"/>
    <x v="0"/>
    <n v="5"/>
    <n v="48322.33"/>
    <n v="0"/>
    <n v="241611.65"/>
    <x v="3"/>
  </r>
  <r>
    <s v="ORD11871"/>
    <d v="2026-09-06T00:00:00"/>
    <x v="0"/>
    <x v="8"/>
    <x v="7"/>
    <x v="1"/>
    <x v="4"/>
    <s v="Small Business"/>
    <s v="Online"/>
    <x v="2"/>
    <n v="1"/>
    <n v="2381.54"/>
    <n v="10"/>
    <n v="2143.39"/>
    <x v="2"/>
  </r>
  <r>
    <s v="ORD11431"/>
    <d v="2026-09-07T00:00:00"/>
    <x v="2"/>
    <x v="8"/>
    <x v="2"/>
    <x v="4"/>
    <x v="12"/>
    <s v="Corporate"/>
    <s v="Retail Store"/>
    <x v="3"/>
    <n v="2"/>
    <n v="46152.38"/>
    <n v="20"/>
    <n v="73843.820000000007"/>
    <x v="2"/>
  </r>
  <r>
    <s v="ORD11483"/>
    <d v="2026-09-08T00:00:00"/>
    <x v="4"/>
    <x v="8"/>
    <x v="1"/>
    <x v="2"/>
    <x v="17"/>
    <s v="Home Office"/>
    <s v="Distributor"/>
    <x v="1"/>
    <n v="2"/>
    <n v="7516.02"/>
    <n v="10"/>
    <n v="13528.84"/>
    <x v="0"/>
  </r>
  <r>
    <s v="ORD11153"/>
    <d v="2026-09-09T00:00:00"/>
    <x v="2"/>
    <x v="8"/>
    <x v="8"/>
    <x v="4"/>
    <x v="5"/>
    <s v="Corporate"/>
    <s v="Online"/>
    <x v="2"/>
    <n v="1"/>
    <n v="47152.07"/>
    <n v="10"/>
    <n v="42436.87"/>
    <x v="3"/>
  </r>
  <r>
    <s v="ORD11683"/>
    <d v="2026-09-10T00:00:00"/>
    <x v="3"/>
    <x v="8"/>
    <x v="8"/>
    <x v="0"/>
    <x v="0"/>
    <s v="Consumer"/>
    <s v="Retail Store"/>
    <x v="0"/>
    <n v="2"/>
    <n v="48987.4"/>
    <n v="10"/>
    <n v="88177.33"/>
    <x v="3"/>
  </r>
  <r>
    <s v="ORD10534"/>
    <d v="2026-09-11T00:00:00"/>
    <x v="3"/>
    <x v="8"/>
    <x v="6"/>
    <x v="4"/>
    <x v="10"/>
    <s v="Consumer"/>
    <s v="Retail Store"/>
    <x v="4"/>
    <n v="3"/>
    <n v="38806.58"/>
    <n v="15"/>
    <n v="98956.79"/>
    <x v="0"/>
  </r>
  <r>
    <s v="ORD12213"/>
    <d v="2026-09-12T00:00:00"/>
    <x v="3"/>
    <x v="8"/>
    <x v="8"/>
    <x v="0"/>
    <x v="0"/>
    <s v="Home Office"/>
    <s v="Distributor"/>
    <x v="3"/>
    <n v="3"/>
    <n v="47991.19"/>
    <n v="10"/>
    <n v="129576.23"/>
    <x v="2"/>
  </r>
  <r>
    <s v="ORD11671"/>
    <d v="2026-09-13T00:00:00"/>
    <x v="4"/>
    <x v="8"/>
    <x v="1"/>
    <x v="3"/>
    <x v="3"/>
    <s v="Small Business"/>
    <s v="Online"/>
    <x v="4"/>
    <n v="4"/>
    <n v="37569.68"/>
    <n v="5"/>
    <n v="142764.79999999999"/>
    <x v="3"/>
  </r>
  <r>
    <s v="ORD12167"/>
    <d v="2026-09-14T00:00:00"/>
    <x v="2"/>
    <x v="8"/>
    <x v="6"/>
    <x v="4"/>
    <x v="9"/>
    <s v="Small Business"/>
    <s v="Distributor"/>
    <x v="1"/>
    <n v="4"/>
    <n v="49638.28"/>
    <n v="15"/>
    <n v="168770.17"/>
    <x v="3"/>
  </r>
  <r>
    <s v="ORD10643"/>
    <d v="2026-09-15T00:00:00"/>
    <x v="4"/>
    <x v="8"/>
    <x v="9"/>
    <x v="1"/>
    <x v="4"/>
    <s v="Consumer"/>
    <s v="Distributor"/>
    <x v="2"/>
    <n v="1"/>
    <n v="2690.7"/>
    <n v="0"/>
    <n v="2690.7"/>
    <x v="0"/>
  </r>
  <r>
    <s v="ORD10213"/>
    <d v="2026-09-16T00:00:00"/>
    <x v="0"/>
    <x v="8"/>
    <x v="6"/>
    <x v="3"/>
    <x v="3"/>
    <s v="Consumer"/>
    <s v="Online"/>
    <x v="4"/>
    <n v="1"/>
    <n v="30996.37"/>
    <n v="5"/>
    <n v="29446.55"/>
    <x v="3"/>
  </r>
  <r>
    <s v="ORD11707"/>
    <d v="2026-09-17T00:00:00"/>
    <x v="0"/>
    <x v="8"/>
    <x v="1"/>
    <x v="3"/>
    <x v="7"/>
    <s v="Corporate"/>
    <s v="Distributor"/>
    <x v="0"/>
    <n v="5"/>
    <n v="34777.71"/>
    <n v="20"/>
    <n v="139110.85999999999"/>
    <x v="1"/>
  </r>
  <r>
    <s v="ORD10098"/>
    <d v="2026-09-18T00:00:00"/>
    <x v="4"/>
    <x v="8"/>
    <x v="9"/>
    <x v="0"/>
    <x v="18"/>
    <s v="Small Business"/>
    <s v="Online"/>
    <x v="2"/>
    <n v="3"/>
    <n v="43527.34"/>
    <n v="0"/>
    <n v="130582.03"/>
    <x v="2"/>
  </r>
  <r>
    <s v="ORD10504"/>
    <d v="2026-09-19T00:00:00"/>
    <x v="0"/>
    <x v="8"/>
    <x v="6"/>
    <x v="4"/>
    <x v="10"/>
    <s v="Small Business"/>
    <s v="Distributor"/>
    <x v="0"/>
    <n v="2"/>
    <n v="34889.410000000003"/>
    <n v="0"/>
    <n v="69778.81"/>
    <x v="2"/>
  </r>
  <r>
    <s v="ORD10989"/>
    <d v="2026-09-20T00:00:00"/>
    <x v="1"/>
    <x v="8"/>
    <x v="0"/>
    <x v="4"/>
    <x v="12"/>
    <s v="Home Office"/>
    <s v="Online"/>
    <x v="1"/>
    <n v="3"/>
    <n v="31851.95"/>
    <n v="10"/>
    <n v="86000.27"/>
    <x v="3"/>
  </r>
  <r>
    <s v="ORD10145"/>
    <d v="2026-09-21T00:00:00"/>
    <x v="2"/>
    <x v="8"/>
    <x v="3"/>
    <x v="2"/>
    <x v="17"/>
    <s v="Home Office"/>
    <s v="Distributor"/>
    <x v="3"/>
    <n v="3"/>
    <n v="5533.21"/>
    <n v="5"/>
    <n v="15769.66"/>
    <x v="1"/>
  </r>
  <r>
    <s v="ORD11383"/>
    <d v="2026-09-22T00:00:00"/>
    <x v="3"/>
    <x v="8"/>
    <x v="9"/>
    <x v="2"/>
    <x v="16"/>
    <s v="Home Office"/>
    <s v="Retail Store"/>
    <x v="4"/>
    <n v="4"/>
    <n v="5786.59"/>
    <n v="15"/>
    <n v="19674.400000000001"/>
    <x v="3"/>
  </r>
  <r>
    <s v="ORD11692"/>
    <d v="2026-09-23T00:00:00"/>
    <x v="3"/>
    <x v="8"/>
    <x v="9"/>
    <x v="0"/>
    <x v="6"/>
    <s v="Small Business"/>
    <s v="Distributor"/>
    <x v="0"/>
    <n v="5"/>
    <n v="68965.03"/>
    <n v="5"/>
    <n v="327583.88"/>
    <x v="2"/>
  </r>
  <r>
    <s v="ORD10144"/>
    <d v="2026-09-24T00:00:00"/>
    <x v="3"/>
    <x v="8"/>
    <x v="1"/>
    <x v="4"/>
    <x v="10"/>
    <s v="Small Business"/>
    <s v="Distributor"/>
    <x v="4"/>
    <n v="5"/>
    <n v="39760.11"/>
    <n v="0"/>
    <n v="198800.53"/>
    <x v="3"/>
  </r>
  <r>
    <s v="ORD11392"/>
    <d v="2026-09-25T00:00:00"/>
    <x v="2"/>
    <x v="8"/>
    <x v="9"/>
    <x v="4"/>
    <x v="10"/>
    <s v="Home Office"/>
    <s v="Online"/>
    <x v="3"/>
    <n v="1"/>
    <n v="49323.9"/>
    <n v="0"/>
    <n v="49323.9"/>
    <x v="3"/>
  </r>
  <r>
    <s v="ORD10243"/>
    <d v="2026-09-26T00:00:00"/>
    <x v="0"/>
    <x v="8"/>
    <x v="9"/>
    <x v="0"/>
    <x v="18"/>
    <s v="Consumer"/>
    <s v="Online"/>
    <x v="2"/>
    <n v="1"/>
    <n v="57779.81"/>
    <n v="5"/>
    <n v="54890.82"/>
    <x v="3"/>
  </r>
  <r>
    <s v="ORD11647"/>
    <d v="2026-09-27T00:00:00"/>
    <x v="2"/>
    <x v="8"/>
    <x v="8"/>
    <x v="1"/>
    <x v="14"/>
    <s v="Small Business"/>
    <s v="Retail Store"/>
    <x v="1"/>
    <n v="2"/>
    <n v="2076.66"/>
    <n v="5"/>
    <n v="3945.66"/>
    <x v="1"/>
  </r>
  <r>
    <s v="ORD11182"/>
    <d v="2026-09-28T00:00:00"/>
    <x v="4"/>
    <x v="8"/>
    <x v="6"/>
    <x v="3"/>
    <x v="7"/>
    <s v="Consumer"/>
    <s v="Distributor"/>
    <x v="4"/>
    <n v="4"/>
    <n v="35846.86"/>
    <n v="5"/>
    <n v="136218.07"/>
    <x v="1"/>
  </r>
  <r>
    <s v="ORD12405"/>
    <d v="2026-09-29T00:00:00"/>
    <x v="1"/>
    <x v="8"/>
    <x v="5"/>
    <x v="4"/>
    <x v="9"/>
    <s v="Consumer"/>
    <s v="Distributor"/>
    <x v="0"/>
    <n v="4"/>
    <n v="52312.12"/>
    <n v="0"/>
    <n v="209248.49"/>
    <x v="3"/>
  </r>
  <r>
    <s v="ORD11298"/>
    <d v="2026-09-30T00:00:00"/>
    <x v="0"/>
    <x v="8"/>
    <x v="9"/>
    <x v="1"/>
    <x v="1"/>
    <s v="Home Office"/>
    <s v="Retail Store"/>
    <x v="1"/>
    <n v="4"/>
    <n v="1961.07"/>
    <n v="15"/>
    <n v="6667.64"/>
    <x v="1"/>
  </r>
  <r>
    <s v="ORD10923"/>
    <d v="2026-10-01T00:00:00"/>
    <x v="1"/>
    <x v="9"/>
    <x v="0"/>
    <x v="4"/>
    <x v="10"/>
    <s v="Corporate"/>
    <s v="Distributor"/>
    <x v="1"/>
    <n v="5"/>
    <n v="32376.28"/>
    <n v="0"/>
    <n v="161881.39000000001"/>
    <x v="3"/>
  </r>
  <r>
    <s v="ORD10639"/>
    <d v="2026-10-02T00:00:00"/>
    <x v="0"/>
    <x v="9"/>
    <x v="8"/>
    <x v="1"/>
    <x v="1"/>
    <s v="Small Business"/>
    <s v="Retail Store"/>
    <x v="3"/>
    <n v="3"/>
    <n v="3008.03"/>
    <n v="5"/>
    <n v="8572.9"/>
    <x v="3"/>
  </r>
  <r>
    <s v="ORD10034"/>
    <d v="2026-10-03T00:00:00"/>
    <x v="2"/>
    <x v="9"/>
    <x v="8"/>
    <x v="3"/>
    <x v="19"/>
    <s v="Consumer"/>
    <s v="Distributor"/>
    <x v="3"/>
    <n v="1"/>
    <n v="35100.99"/>
    <n v="5"/>
    <n v="33345.94"/>
    <x v="0"/>
  </r>
  <r>
    <s v="ORD10618"/>
    <d v="2026-10-04T00:00:00"/>
    <x v="1"/>
    <x v="9"/>
    <x v="0"/>
    <x v="3"/>
    <x v="3"/>
    <s v="Home Office"/>
    <s v="Retail Store"/>
    <x v="3"/>
    <n v="5"/>
    <n v="38749.480000000003"/>
    <n v="0"/>
    <n v="193747.38"/>
    <x v="2"/>
  </r>
  <r>
    <s v="ORD11022"/>
    <d v="2026-10-05T00:00:00"/>
    <x v="4"/>
    <x v="9"/>
    <x v="5"/>
    <x v="2"/>
    <x v="17"/>
    <s v="Corporate"/>
    <s v="Distributor"/>
    <x v="1"/>
    <n v="1"/>
    <n v="6024.97"/>
    <n v="10"/>
    <n v="5422.48"/>
    <x v="3"/>
  </r>
  <r>
    <s v="ORD10121"/>
    <d v="2026-10-06T00:00:00"/>
    <x v="0"/>
    <x v="9"/>
    <x v="9"/>
    <x v="0"/>
    <x v="6"/>
    <s v="Corporate"/>
    <s v="Retail Store"/>
    <x v="3"/>
    <n v="2"/>
    <n v="54752.71"/>
    <n v="5"/>
    <n v="104030.15"/>
    <x v="3"/>
  </r>
  <r>
    <s v="ORD10189"/>
    <d v="2026-10-07T00:00:00"/>
    <x v="3"/>
    <x v="9"/>
    <x v="9"/>
    <x v="2"/>
    <x v="2"/>
    <s v="Consumer"/>
    <s v="Retail Store"/>
    <x v="1"/>
    <n v="1"/>
    <n v="5239.63"/>
    <n v="10"/>
    <n v="4715.66"/>
    <x v="3"/>
  </r>
  <r>
    <s v="ORD11330"/>
    <d v="2026-10-08T00:00:00"/>
    <x v="2"/>
    <x v="9"/>
    <x v="2"/>
    <x v="0"/>
    <x v="8"/>
    <s v="Consumer"/>
    <s v="Retail Store"/>
    <x v="4"/>
    <n v="5"/>
    <n v="57203.81"/>
    <n v="10"/>
    <n v="257417.16"/>
    <x v="3"/>
  </r>
  <r>
    <s v="ORD12316"/>
    <d v="2026-10-09T00:00:00"/>
    <x v="3"/>
    <x v="9"/>
    <x v="4"/>
    <x v="0"/>
    <x v="18"/>
    <s v="Home Office"/>
    <s v="Retail Store"/>
    <x v="4"/>
    <n v="1"/>
    <n v="58912.480000000003"/>
    <n v="5"/>
    <n v="55966.85"/>
    <x v="3"/>
  </r>
  <r>
    <s v="ORD10627"/>
    <d v="2026-10-10T00:00:00"/>
    <x v="3"/>
    <x v="9"/>
    <x v="6"/>
    <x v="2"/>
    <x v="11"/>
    <s v="Home Office"/>
    <s v="Retail Store"/>
    <x v="4"/>
    <n v="4"/>
    <n v="7334.05"/>
    <n v="0"/>
    <n v="29336.2"/>
    <x v="3"/>
  </r>
  <r>
    <s v="ORD10940"/>
    <d v="2026-10-11T00:00:00"/>
    <x v="1"/>
    <x v="9"/>
    <x v="0"/>
    <x v="3"/>
    <x v="15"/>
    <s v="Home Office"/>
    <s v="Distributor"/>
    <x v="0"/>
    <n v="5"/>
    <n v="30111.06"/>
    <n v="5"/>
    <n v="143027.51"/>
    <x v="3"/>
  </r>
  <r>
    <s v="ORD12177"/>
    <d v="2026-10-12T00:00:00"/>
    <x v="2"/>
    <x v="9"/>
    <x v="3"/>
    <x v="0"/>
    <x v="18"/>
    <s v="Small Business"/>
    <s v="Retail Store"/>
    <x v="1"/>
    <n v="5"/>
    <n v="50696.56"/>
    <n v="5"/>
    <n v="240808.64"/>
    <x v="3"/>
  </r>
  <r>
    <s v="ORD10892"/>
    <d v="2026-10-13T00:00:00"/>
    <x v="0"/>
    <x v="9"/>
    <x v="4"/>
    <x v="2"/>
    <x v="11"/>
    <s v="Small Business"/>
    <s v="Online"/>
    <x v="3"/>
    <n v="4"/>
    <n v="4932.55"/>
    <n v="20"/>
    <n v="15784.17"/>
    <x v="1"/>
  </r>
  <r>
    <s v="ORD10996"/>
    <d v="2026-10-14T00:00:00"/>
    <x v="1"/>
    <x v="9"/>
    <x v="1"/>
    <x v="3"/>
    <x v="7"/>
    <s v="Consumer"/>
    <s v="Online"/>
    <x v="4"/>
    <n v="1"/>
    <n v="36430.65"/>
    <n v="0"/>
    <n v="36430.65"/>
    <x v="2"/>
  </r>
  <r>
    <s v="ORD10015"/>
    <d v="2026-10-15T00:00:00"/>
    <x v="2"/>
    <x v="9"/>
    <x v="5"/>
    <x v="2"/>
    <x v="16"/>
    <s v="Small Business"/>
    <s v="Online"/>
    <x v="3"/>
    <n v="4"/>
    <n v="6511.07"/>
    <n v="5"/>
    <n v="24742.07"/>
    <x v="0"/>
  </r>
  <r>
    <s v="ORD11345"/>
    <d v="2026-10-16T00:00:00"/>
    <x v="3"/>
    <x v="9"/>
    <x v="7"/>
    <x v="3"/>
    <x v="19"/>
    <s v="Consumer"/>
    <s v="Online"/>
    <x v="4"/>
    <n v="4"/>
    <n v="36404.69"/>
    <n v="5"/>
    <n v="138337.79999999999"/>
    <x v="3"/>
  </r>
  <r>
    <s v="ORD11582"/>
    <d v="2026-10-17T00:00:00"/>
    <x v="3"/>
    <x v="9"/>
    <x v="4"/>
    <x v="0"/>
    <x v="6"/>
    <s v="Small Business"/>
    <s v="Online"/>
    <x v="4"/>
    <n v="3"/>
    <n v="68831.61"/>
    <n v="5"/>
    <n v="196170.08"/>
    <x v="2"/>
  </r>
  <r>
    <s v="ORD12142"/>
    <d v="2026-10-18T00:00:00"/>
    <x v="1"/>
    <x v="9"/>
    <x v="3"/>
    <x v="2"/>
    <x v="11"/>
    <s v="Consumer"/>
    <s v="Distributor"/>
    <x v="4"/>
    <n v="2"/>
    <n v="7880.04"/>
    <n v="10"/>
    <n v="14184.08"/>
    <x v="3"/>
  </r>
  <r>
    <s v="ORD10649"/>
    <d v="2026-10-19T00:00:00"/>
    <x v="0"/>
    <x v="9"/>
    <x v="3"/>
    <x v="1"/>
    <x v="14"/>
    <s v="Corporate"/>
    <s v="Distributor"/>
    <x v="3"/>
    <n v="3"/>
    <n v="2176.64"/>
    <n v="5"/>
    <n v="6203.41"/>
    <x v="2"/>
  </r>
  <r>
    <s v="ORD10393"/>
    <d v="2026-10-20T00:00:00"/>
    <x v="4"/>
    <x v="9"/>
    <x v="5"/>
    <x v="2"/>
    <x v="2"/>
    <s v="Consumer"/>
    <s v="Online"/>
    <x v="0"/>
    <n v="4"/>
    <n v="5316.57"/>
    <n v="15"/>
    <n v="18076.349999999999"/>
    <x v="0"/>
  </r>
  <r>
    <s v="ORD10281"/>
    <d v="2026-10-21T00:00:00"/>
    <x v="0"/>
    <x v="9"/>
    <x v="7"/>
    <x v="2"/>
    <x v="17"/>
    <s v="Small Business"/>
    <s v="Distributor"/>
    <x v="2"/>
    <n v="4"/>
    <n v="8068.94"/>
    <n v="5"/>
    <n v="30661.97"/>
    <x v="3"/>
  </r>
  <r>
    <s v="ORD10087"/>
    <d v="2026-10-22T00:00:00"/>
    <x v="3"/>
    <x v="9"/>
    <x v="6"/>
    <x v="4"/>
    <x v="5"/>
    <s v="Home Office"/>
    <s v="Distributor"/>
    <x v="4"/>
    <n v="1"/>
    <n v="38198.080000000002"/>
    <n v="5"/>
    <n v="36288.18"/>
    <x v="3"/>
  </r>
  <r>
    <s v="ORD10778"/>
    <d v="2026-10-23T00:00:00"/>
    <x v="4"/>
    <x v="9"/>
    <x v="9"/>
    <x v="1"/>
    <x v="1"/>
    <s v="Corporate"/>
    <s v="Online"/>
    <x v="0"/>
    <n v="3"/>
    <n v="3090.88"/>
    <n v="20"/>
    <n v="7418.12"/>
    <x v="2"/>
  </r>
  <r>
    <s v="ORD12090"/>
    <d v="2026-10-24T00:00:00"/>
    <x v="0"/>
    <x v="9"/>
    <x v="1"/>
    <x v="0"/>
    <x v="6"/>
    <s v="Corporate"/>
    <s v="Online"/>
    <x v="4"/>
    <n v="2"/>
    <n v="43922.73"/>
    <n v="10"/>
    <n v="79060.91"/>
    <x v="2"/>
  </r>
  <r>
    <s v="ORD10363"/>
    <d v="2026-10-25T00:00:00"/>
    <x v="0"/>
    <x v="9"/>
    <x v="0"/>
    <x v="3"/>
    <x v="7"/>
    <s v="Small Business"/>
    <s v="Retail Store"/>
    <x v="2"/>
    <n v="3"/>
    <n v="26173.29"/>
    <n v="15"/>
    <n v="66741.89"/>
    <x v="0"/>
  </r>
  <r>
    <s v="ORD11816"/>
    <d v="2026-10-26T00:00:00"/>
    <x v="1"/>
    <x v="9"/>
    <x v="3"/>
    <x v="1"/>
    <x v="14"/>
    <s v="Home Office"/>
    <s v="Retail Store"/>
    <x v="3"/>
    <n v="2"/>
    <n v="2761.88"/>
    <n v="20"/>
    <n v="4419.01"/>
    <x v="2"/>
  </r>
  <r>
    <s v="ORD10663"/>
    <d v="2026-10-27T00:00:00"/>
    <x v="1"/>
    <x v="9"/>
    <x v="4"/>
    <x v="4"/>
    <x v="12"/>
    <s v="Consumer"/>
    <s v="Retail Store"/>
    <x v="4"/>
    <n v="5"/>
    <n v="34873.78"/>
    <n v="5"/>
    <n v="165650.47"/>
    <x v="3"/>
  </r>
  <r>
    <s v="ORD11038"/>
    <d v="2026-10-28T00:00:00"/>
    <x v="3"/>
    <x v="9"/>
    <x v="5"/>
    <x v="1"/>
    <x v="13"/>
    <s v="Corporate"/>
    <s v="Online"/>
    <x v="4"/>
    <n v="4"/>
    <n v="2796.97"/>
    <n v="15"/>
    <n v="9509.69"/>
    <x v="2"/>
  </r>
  <r>
    <s v="ORD11853"/>
    <d v="2026-10-29T00:00:00"/>
    <x v="1"/>
    <x v="9"/>
    <x v="4"/>
    <x v="1"/>
    <x v="1"/>
    <s v="Small Business"/>
    <s v="Retail Store"/>
    <x v="3"/>
    <n v="2"/>
    <n v="2007.44"/>
    <n v="10"/>
    <n v="3613.4"/>
    <x v="0"/>
  </r>
  <r>
    <s v="ORD12273"/>
    <d v="2026-10-30T00:00:00"/>
    <x v="0"/>
    <x v="9"/>
    <x v="4"/>
    <x v="2"/>
    <x v="17"/>
    <s v="Consumer"/>
    <s v="Retail Store"/>
    <x v="3"/>
    <n v="2"/>
    <n v="7794.36"/>
    <n v="15"/>
    <n v="13250.41"/>
    <x v="3"/>
  </r>
  <r>
    <s v="ORD10706"/>
    <d v="2026-10-31T00:00:00"/>
    <x v="0"/>
    <x v="9"/>
    <x v="3"/>
    <x v="2"/>
    <x v="17"/>
    <s v="Home Office"/>
    <s v="Distributor"/>
    <x v="3"/>
    <n v="1"/>
    <n v="7670.38"/>
    <n v="5"/>
    <n v="7286.86"/>
    <x v="3"/>
  </r>
  <r>
    <s v="ORD10845"/>
    <d v="2026-11-01T00:00:00"/>
    <x v="1"/>
    <x v="10"/>
    <x v="1"/>
    <x v="2"/>
    <x v="2"/>
    <s v="Corporate"/>
    <s v="Online"/>
    <x v="0"/>
    <n v="4"/>
    <n v="7442.62"/>
    <n v="10"/>
    <n v="26793.439999999999"/>
    <x v="2"/>
  </r>
  <r>
    <s v="ORD10994"/>
    <d v="2026-11-02T00:00:00"/>
    <x v="2"/>
    <x v="10"/>
    <x v="2"/>
    <x v="3"/>
    <x v="7"/>
    <s v="Small Business"/>
    <s v="Distributor"/>
    <x v="1"/>
    <n v="3"/>
    <n v="27188.03"/>
    <n v="5"/>
    <n v="77485.899999999994"/>
    <x v="0"/>
  </r>
  <r>
    <s v="ORD10053"/>
    <d v="2026-11-03T00:00:00"/>
    <x v="4"/>
    <x v="10"/>
    <x v="7"/>
    <x v="3"/>
    <x v="19"/>
    <s v="Home Office"/>
    <s v="Retail Store"/>
    <x v="0"/>
    <n v="5"/>
    <n v="39617.519999999997"/>
    <n v="10"/>
    <n v="178278.82"/>
    <x v="3"/>
  </r>
  <r>
    <s v="ORD12076"/>
    <d v="2026-11-04T00:00:00"/>
    <x v="2"/>
    <x v="10"/>
    <x v="3"/>
    <x v="3"/>
    <x v="7"/>
    <s v="Consumer"/>
    <s v="Distributor"/>
    <x v="1"/>
    <n v="3"/>
    <n v="39932.32"/>
    <n v="20"/>
    <n v="95837.58"/>
    <x v="2"/>
  </r>
  <r>
    <s v="ORD12062"/>
    <d v="2026-11-05T00:00:00"/>
    <x v="0"/>
    <x v="10"/>
    <x v="9"/>
    <x v="0"/>
    <x v="18"/>
    <s v="Home Office"/>
    <s v="Retail Store"/>
    <x v="3"/>
    <n v="2"/>
    <n v="69316.25"/>
    <n v="15"/>
    <n v="117837.62"/>
    <x v="3"/>
  </r>
  <r>
    <s v="ORD11729"/>
    <d v="2026-11-06T00:00:00"/>
    <x v="4"/>
    <x v="10"/>
    <x v="3"/>
    <x v="3"/>
    <x v="15"/>
    <s v="Consumer"/>
    <s v="Distributor"/>
    <x v="0"/>
    <n v="2"/>
    <n v="33328.480000000003"/>
    <n v="5"/>
    <n v="63324.12"/>
    <x v="2"/>
  </r>
  <r>
    <s v="ORD10135"/>
    <d v="2026-11-07T00:00:00"/>
    <x v="3"/>
    <x v="10"/>
    <x v="4"/>
    <x v="4"/>
    <x v="5"/>
    <s v="Small Business"/>
    <s v="Online"/>
    <x v="1"/>
    <n v="2"/>
    <n v="48699.09"/>
    <n v="0"/>
    <n v="97398.18"/>
    <x v="3"/>
  </r>
  <r>
    <s v="ORD10507"/>
    <d v="2026-11-08T00:00:00"/>
    <x v="0"/>
    <x v="10"/>
    <x v="6"/>
    <x v="2"/>
    <x v="17"/>
    <s v="Consumer"/>
    <s v="Retail Store"/>
    <x v="1"/>
    <n v="5"/>
    <n v="5435.34"/>
    <n v="0"/>
    <n v="27176.720000000001"/>
    <x v="3"/>
  </r>
  <r>
    <s v="ORD10211"/>
    <d v="2026-11-09T00:00:00"/>
    <x v="4"/>
    <x v="10"/>
    <x v="0"/>
    <x v="2"/>
    <x v="2"/>
    <s v="Home Office"/>
    <s v="Distributor"/>
    <x v="1"/>
    <n v="4"/>
    <n v="6875.31"/>
    <n v="5"/>
    <n v="26126.18"/>
    <x v="3"/>
  </r>
  <r>
    <s v="ORD12399"/>
    <d v="2026-11-10T00:00:00"/>
    <x v="0"/>
    <x v="10"/>
    <x v="9"/>
    <x v="4"/>
    <x v="9"/>
    <s v="Home Office"/>
    <s v="Retail Store"/>
    <x v="4"/>
    <n v="5"/>
    <n v="45276.45"/>
    <n v="5"/>
    <n v="215063.13"/>
    <x v="2"/>
  </r>
  <r>
    <s v="ORD11767"/>
    <d v="2026-11-11T00:00:00"/>
    <x v="0"/>
    <x v="10"/>
    <x v="2"/>
    <x v="4"/>
    <x v="9"/>
    <s v="Consumer"/>
    <s v="Distributor"/>
    <x v="3"/>
    <n v="5"/>
    <n v="49323.67"/>
    <n v="0"/>
    <n v="246618.34"/>
    <x v="3"/>
  </r>
  <r>
    <s v="ORD10930"/>
    <d v="2026-11-12T00:00:00"/>
    <x v="2"/>
    <x v="10"/>
    <x v="3"/>
    <x v="0"/>
    <x v="8"/>
    <s v="Corporate"/>
    <s v="Distributor"/>
    <x v="2"/>
    <n v="2"/>
    <n v="63556.93"/>
    <n v="5"/>
    <n v="120758.16"/>
    <x v="3"/>
  </r>
  <r>
    <s v="ORD11626"/>
    <d v="2026-11-13T00:00:00"/>
    <x v="1"/>
    <x v="10"/>
    <x v="8"/>
    <x v="4"/>
    <x v="9"/>
    <s v="Home Office"/>
    <s v="Online"/>
    <x v="3"/>
    <n v="3"/>
    <n v="40081.370000000003"/>
    <n v="15"/>
    <n v="102207.5"/>
    <x v="2"/>
  </r>
  <r>
    <s v="ORD12074"/>
    <d v="2026-11-14T00:00:00"/>
    <x v="1"/>
    <x v="10"/>
    <x v="9"/>
    <x v="4"/>
    <x v="12"/>
    <s v="Home Office"/>
    <s v="Online"/>
    <x v="2"/>
    <n v="5"/>
    <n v="38513.160000000003"/>
    <n v="15"/>
    <n v="163680.94"/>
    <x v="2"/>
  </r>
  <r>
    <s v="ORD10390"/>
    <d v="2026-11-15T00:00:00"/>
    <x v="0"/>
    <x v="10"/>
    <x v="5"/>
    <x v="0"/>
    <x v="18"/>
    <s v="Home Office"/>
    <s v="Distributor"/>
    <x v="4"/>
    <n v="2"/>
    <n v="64225.45"/>
    <n v="0"/>
    <n v="128450.9"/>
    <x v="2"/>
  </r>
  <r>
    <s v="ORD11446"/>
    <d v="2026-11-16T00:00:00"/>
    <x v="2"/>
    <x v="10"/>
    <x v="3"/>
    <x v="0"/>
    <x v="18"/>
    <s v="Home Office"/>
    <s v="Distributor"/>
    <x v="4"/>
    <n v="1"/>
    <n v="66439.03"/>
    <n v="10"/>
    <n v="59795.12"/>
    <x v="3"/>
  </r>
  <r>
    <s v="ORD10610"/>
    <d v="2026-11-17T00:00:00"/>
    <x v="4"/>
    <x v="10"/>
    <x v="5"/>
    <x v="2"/>
    <x v="11"/>
    <s v="Home Office"/>
    <s v="Retail Store"/>
    <x v="2"/>
    <n v="5"/>
    <n v="7149.93"/>
    <n v="20"/>
    <n v="28599.73"/>
    <x v="0"/>
  </r>
  <r>
    <s v="ORD10561"/>
    <d v="2026-11-18T00:00:00"/>
    <x v="3"/>
    <x v="10"/>
    <x v="1"/>
    <x v="3"/>
    <x v="3"/>
    <s v="Home Office"/>
    <s v="Distributor"/>
    <x v="3"/>
    <n v="2"/>
    <n v="31092.43"/>
    <n v="5"/>
    <n v="59075.61"/>
    <x v="3"/>
  </r>
  <r>
    <s v="ORD10061"/>
    <d v="2026-11-19T00:00:00"/>
    <x v="4"/>
    <x v="10"/>
    <x v="1"/>
    <x v="0"/>
    <x v="8"/>
    <s v="Home Office"/>
    <s v="Retail Store"/>
    <x v="1"/>
    <n v="3"/>
    <n v="52981.8"/>
    <n v="5"/>
    <n v="150998.14000000001"/>
    <x v="3"/>
  </r>
  <r>
    <s v="ORD12292"/>
    <d v="2026-11-20T00:00:00"/>
    <x v="0"/>
    <x v="10"/>
    <x v="9"/>
    <x v="4"/>
    <x v="12"/>
    <s v="Corporate"/>
    <s v="Online"/>
    <x v="2"/>
    <n v="1"/>
    <n v="36909.64"/>
    <n v="5"/>
    <n v="35064.160000000003"/>
    <x v="1"/>
  </r>
  <r>
    <s v="ORD11247"/>
    <d v="2026-11-21T00:00:00"/>
    <x v="2"/>
    <x v="10"/>
    <x v="4"/>
    <x v="3"/>
    <x v="15"/>
    <s v="Consumer"/>
    <s v="Retail Store"/>
    <x v="3"/>
    <n v="3"/>
    <n v="39480.839999999997"/>
    <n v="0"/>
    <n v="118442.51"/>
    <x v="1"/>
  </r>
  <r>
    <s v="ORD11011"/>
    <d v="2026-11-22T00:00:00"/>
    <x v="4"/>
    <x v="10"/>
    <x v="3"/>
    <x v="3"/>
    <x v="19"/>
    <s v="Home Office"/>
    <s v="Retail Store"/>
    <x v="0"/>
    <n v="3"/>
    <n v="36336.67"/>
    <n v="15"/>
    <n v="92658.51"/>
    <x v="0"/>
  </r>
  <r>
    <s v="ORD11899"/>
    <d v="2026-11-23T00:00:00"/>
    <x v="1"/>
    <x v="10"/>
    <x v="9"/>
    <x v="4"/>
    <x v="10"/>
    <s v="Small Business"/>
    <s v="Retail Store"/>
    <x v="0"/>
    <n v="1"/>
    <n v="39764.379999999997"/>
    <n v="5"/>
    <n v="37776.160000000003"/>
    <x v="2"/>
  </r>
  <r>
    <s v="ORD11873"/>
    <d v="2026-11-24T00:00:00"/>
    <x v="1"/>
    <x v="10"/>
    <x v="6"/>
    <x v="0"/>
    <x v="8"/>
    <s v="Corporate"/>
    <s v="Online"/>
    <x v="3"/>
    <n v="3"/>
    <n v="54375.47"/>
    <n v="10"/>
    <n v="146813.76999999999"/>
    <x v="3"/>
  </r>
  <r>
    <s v="ORD10609"/>
    <d v="2026-11-25T00:00:00"/>
    <x v="2"/>
    <x v="10"/>
    <x v="3"/>
    <x v="3"/>
    <x v="19"/>
    <s v="Consumer"/>
    <s v="Retail Store"/>
    <x v="3"/>
    <n v="2"/>
    <n v="33030.589999999997"/>
    <n v="0"/>
    <n v="66061.179999999993"/>
    <x v="3"/>
  </r>
  <r>
    <s v="ORD10424"/>
    <d v="2026-11-26T00:00:00"/>
    <x v="1"/>
    <x v="10"/>
    <x v="2"/>
    <x v="4"/>
    <x v="12"/>
    <s v="Corporate"/>
    <s v="Online"/>
    <x v="0"/>
    <n v="1"/>
    <n v="34878.980000000003"/>
    <n v="5"/>
    <n v="33135.03"/>
    <x v="1"/>
  </r>
  <r>
    <s v="ORD10072"/>
    <d v="2026-11-27T00:00:00"/>
    <x v="4"/>
    <x v="10"/>
    <x v="0"/>
    <x v="4"/>
    <x v="10"/>
    <s v="Home Office"/>
    <s v="Retail Store"/>
    <x v="3"/>
    <n v="3"/>
    <n v="43676.37"/>
    <n v="10"/>
    <n v="117926.19"/>
    <x v="1"/>
  </r>
  <r>
    <s v="ORD11355"/>
    <d v="2026-11-28T00:00:00"/>
    <x v="3"/>
    <x v="10"/>
    <x v="4"/>
    <x v="4"/>
    <x v="5"/>
    <s v="Home Office"/>
    <s v="Online"/>
    <x v="2"/>
    <n v="2"/>
    <n v="44003.86"/>
    <n v="15"/>
    <n v="74806.559999999998"/>
    <x v="1"/>
  </r>
  <r>
    <s v="ORD11419"/>
    <d v="2026-11-29T00:00:00"/>
    <x v="3"/>
    <x v="10"/>
    <x v="7"/>
    <x v="0"/>
    <x v="8"/>
    <s v="Corporate"/>
    <s v="Online"/>
    <x v="3"/>
    <n v="1"/>
    <n v="62708.39"/>
    <n v="20"/>
    <n v="50166.71"/>
    <x v="0"/>
  </r>
  <r>
    <s v="ORD10527"/>
    <d v="2026-11-30T00:00:00"/>
    <x v="4"/>
    <x v="10"/>
    <x v="2"/>
    <x v="1"/>
    <x v="4"/>
    <s v="Corporate"/>
    <s v="Retail Store"/>
    <x v="4"/>
    <n v="5"/>
    <n v="1875.83"/>
    <n v="5"/>
    <n v="8910.19"/>
    <x v="2"/>
  </r>
  <r>
    <s v="ORD11781"/>
    <d v="2026-12-01T00:00:00"/>
    <x v="0"/>
    <x v="11"/>
    <x v="5"/>
    <x v="0"/>
    <x v="18"/>
    <s v="Small Business"/>
    <s v="Online"/>
    <x v="1"/>
    <n v="4"/>
    <n v="50445.52"/>
    <n v="0"/>
    <n v="201782.08"/>
    <x v="3"/>
  </r>
  <r>
    <s v="ORD10809"/>
    <d v="2026-12-02T00:00:00"/>
    <x v="0"/>
    <x v="11"/>
    <x v="7"/>
    <x v="2"/>
    <x v="16"/>
    <s v="Consumer"/>
    <s v="Online"/>
    <x v="0"/>
    <n v="3"/>
    <n v="4926.95"/>
    <n v="5"/>
    <n v="14041.82"/>
    <x v="3"/>
  </r>
  <r>
    <s v="ORD11791"/>
    <d v="2026-12-03T00:00:00"/>
    <x v="1"/>
    <x v="11"/>
    <x v="6"/>
    <x v="1"/>
    <x v="14"/>
    <s v="Corporate"/>
    <s v="Online"/>
    <x v="4"/>
    <n v="3"/>
    <n v="2691.29"/>
    <n v="20"/>
    <n v="6459.09"/>
    <x v="3"/>
  </r>
  <r>
    <s v="ORD10248"/>
    <d v="2026-12-04T00:00:00"/>
    <x v="3"/>
    <x v="11"/>
    <x v="9"/>
    <x v="1"/>
    <x v="13"/>
    <s v="Consumer"/>
    <s v="Retail Store"/>
    <x v="0"/>
    <n v="5"/>
    <n v="2279.3000000000002"/>
    <n v="5"/>
    <n v="10826.67"/>
    <x v="3"/>
  </r>
  <r>
    <s v="ORD10653"/>
    <d v="2026-12-05T00:00:00"/>
    <x v="3"/>
    <x v="11"/>
    <x v="0"/>
    <x v="0"/>
    <x v="8"/>
    <s v="Consumer"/>
    <s v="Online"/>
    <x v="3"/>
    <n v="2"/>
    <n v="65952.210000000006"/>
    <n v="0"/>
    <n v="131904.43"/>
    <x v="1"/>
  </r>
  <r>
    <s v="ORD11410"/>
    <d v="2026-12-06T00:00:00"/>
    <x v="4"/>
    <x v="11"/>
    <x v="7"/>
    <x v="3"/>
    <x v="3"/>
    <s v="Small Business"/>
    <s v="Retail Store"/>
    <x v="4"/>
    <n v="2"/>
    <n v="26590.48"/>
    <n v="15"/>
    <n v="45203.82"/>
    <x v="3"/>
  </r>
  <r>
    <s v="ORD10670"/>
    <d v="2026-12-07T00:00:00"/>
    <x v="4"/>
    <x v="11"/>
    <x v="5"/>
    <x v="0"/>
    <x v="18"/>
    <s v="Consumer"/>
    <s v="Online"/>
    <x v="3"/>
    <n v="4"/>
    <n v="56592.75"/>
    <n v="0"/>
    <n v="226370.99"/>
    <x v="3"/>
  </r>
  <r>
    <s v="ORD10002"/>
    <d v="2026-12-08T00:00:00"/>
    <x v="1"/>
    <x v="11"/>
    <x v="5"/>
    <x v="3"/>
    <x v="3"/>
    <s v="Home Office"/>
    <s v="Retail Store"/>
    <x v="1"/>
    <n v="2"/>
    <n v="24634.19"/>
    <n v="5"/>
    <n v="46804.959999999999"/>
    <x v="3"/>
  </r>
  <r>
    <s v="ORD11720"/>
    <d v="2026-12-09T00:00:00"/>
    <x v="1"/>
    <x v="11"/>
    <x v="5"/>
    <x v="2"/>
    <x v="2"/>
    <s v="Small Business"/>
    <s v="Online"/>
    <x v="4"/>
    <n v="3"/>
    <n v="5241.45"/>
    <n v="20"/>
    <n v="12579.48"/>
    <x v="0"/>
  </r>
  <r>
    <s v="ORD10122"/>
    <d v="2026-12-10T00:00:00"/>
    <x v="0"/>
    <x v="11"/>
    <x v="1"/>
    <x v="1"/>
    <x v="4"/>
    <s v="Consumer"/>
    <s v="Retail Store"/>
    <x v="3"/>
    <n v="4"/>
    <n v="3085.37"/>
    <n v="0"/>
    <n v="12341.49"/>
    <x v="2"/>
  </r>
  <r>
    <s v="ORD11777"/>
    <d v="2026-12-11T00:00:00"/>
    <x v="0"/>
    <x v="11"/>
    <x v="0"/>
    <x v="2"/>
    <x v="17"/>
    <s v="Corporate"/>
    <s v="Distributor"/>
    <x v="1"/>
    <n v="3"/>
    <n v="7210.9"/>
    <n v="10"/>
    <n v="19469.43"/>
    <x v="3"/>
  </r>
  <r>
    <s v="ORD10134"/>
    <d v="2026-12-12T00:00:00"/>
    <x v="3"/>
    <x v="11"/>
    <x v="9"/>
    <x v="3"/>
    <x v="3"/>
    <s v="Corporate"/>
    <s v="Retail Store"/>
    <x v="0"/>
    <n v="4"/>
    <n v="30880.84"/>
    <n v="0"/>
    <n v="123523.37"/>
    <x v="1"/>
  </r>
  <r>
    <s v="ORD10443"/>
    <d v="2026-12-13T00:00:00"/>
    <x v="2"/>
    <x v="11"/>
    <x v="1"/>
    <x v="0"/>
    <x v="8"/>
    <s v="Small Business"/>
    <s v="Online"/>
    <x v="2"/>
    <n v="4"/>
    <n v="43879.23"/>
    <n v="5"/>
    <n v="166741.09"/>
    <x v="3"/>
  </r>
  <r>
    <s v="ORD11685"/>
    <d v="2026-12-14T00:00:00"/>
    <x v="3"/>
    <x v="11"/>
    <x v="8"/>
    <x v="1"/>
    <x v="13"/>
    <s v="Consumer"/>
    <s v="Retail Store"/>
    <x v="1"/>
    <n v="3"/>
    <n v="2321.4699999999998"/>
    <n v="5"/>
    <n v="6616.18"/>
    <x v="2"/>
  </r>
  <r>
    <s v="ORD10039"/>
    <d v="2026-12-15T00:00:00"/>
    <x v="1"/>
    <x v="11"/>
    <x v="7"/>
    <x v="2"/>
    <x v="11"/>
    <s v="Home Office"/>
    <s v="Retail Store"/>
    <x v="0"/>
    <n v="1"/>
    <n v="5666.93"/>
    <n v="0"/>
    <n v="5666.93"/>
    <x v="1"/>
  </r>
  <r>
    <s v="ORD12442"/>
    <d v="2026-12-16T00:00:00"/>
    <x v="2"/>
    <x v="11"/>
    <x v="4"/>
    <x v="0"/>
    <x v="0"/>
    <s v="Small Business"/>
    <s v="Online"/>
    <x v="0"/>
    <n v="2"/>
    <n v="56190.26"/>
    <n v="15"/>
    <n v="95523.44"/>
    <x v="3"/>
  </r>
  <r>
    <s v="ORD12354"/>
    <d v="2026-12-17T00:00:00"/>
    <x v="4"/>
    <x v="11"/>
    <x v="9"/>
    <x v="1"/>
    <x v="14"/>
    <s v="Corporate"/>
    <s v="Distributor"/>
    <x v="1"/>
    <n v="2"/>
    <n v="2532.37"/>
    <n v="15"/>
    <n v="4305.03"/>
    <x v="1"/>
  </r>
  <r>
    <s v="ORD11894"/>
    <d v="2026-12-18T00:00:00"/>
    <x v="4"/>
    <x v="11"/>
    <x v="9"/>
    <x v="4"/>
    <x v="5"/>
    <s v="Small Business"/>
    <s v="Distributor"/>
    <x v="4"/>
    <n v="1"/>
    <n v="46450.32"/>
    <n v="20"/>
    <n v="37160.25"/>
    <x v="2"/>
  </r>
  <r>
    <s v="ORD10521"/>
    <d v="2026-12-19T00:00:00"/>
    <x v="1"/>
    <x v="11"/>
    <x v="3"/>
    <x v="2"/>
    <x v="17"/>
    <s v="Small Business"/>
    <s v="Retail Store"/>
    <x v="4"/>
    <n v="3"/>
    <n v="6017.75"/>
    <n v="0"/>
    <n v="18053.25"/>
    <x v="1"/>
  </r>
  <r>
    <s v="ORD11099"/>
    <d v="2026-12-20T00:00:00"/>
    <x v="3"/>
    <x v="11"/>
    <x v="8"/>
    <x v="0"/>
    <x v="8"/>
    <s v="Small Business"/>
    <s v="Online"/>
    <x v="0"/>
    <n v="3"/>
    <n v="46486.73"/>
    <n v="0"/>
    <n v="139460.20000000001"/>
    <x v="1"/>
  </r>
  <r>
    <s v="ORD10916"/>
    <d v="2026-12-21T00:00:00"/>
    <x v="2"/>
    <x v="11"/>
    <x v="5"/>
    <x v="2"/>
    <x v="16"/>
    <s v="Home Office"/>
    <s v="Online"/>
    <x v="4"/>
    <n v="2"/>
    <n v="8068.68"/>
    <n v="10"/>
    <n v="14523.63"/>
    <x v="0"/>
  </r>
  <r>
    <s v="ORD12436"/>
    <d v="2026-12-22T00:00:00"/>
    <x v="2"/>
    <x v="11"/>
    <x v="2"/>
    <x v="3"/>
    <x v="7"/>
    <s v="Home Office"/>
    <s v="Retail Store"/>
    <x v="0"/>
    <n v="1"/>
    <n v="28952.34"/>
    <n v="0"/>
    <n v="28952.34"/>
    <x v="1"/>
  </r>
  <r>
    <s v="ORD10831"/>
    <d v="2026-12-23T00:00:00"/>
    <x v="3"/>
    <x v="11"/>
    <x v="3"/>
    <x v="4"/>
    <x v="5"/>
    <s v="Home Office"/>
    <s v="Retail Store"/>
    <x v="4"/>
    <n v="3"/>
    <n v="47623.22"/>
    <n v="15"/>
    <n v="121439.21"/>
    <x v="3"/>
  </r>
  <r>
    <s v="ORD10116"/>
    <d v="2026-12-24T00:00:00"/>
    <x v="4"/>
    <x v="11"/>
    <x v="8"/>
    <x v="4"/>
    <x v="9"/>
    <s v="Consumer"/>
    <s v="Online"/>
    <x v="4"/>
    <n v="3"/>
    <n v="40731.72"/>
    <n v="15"/>
    <n v="103865.88"/>
    <x v="2"/>
  </r>
  <r>
    <s v="ORD11759"/>
    <d v="2026-12-25T00:00:00"/>
    <x v="1"/>
    <x v="11"/>
    <x v="9"/>
    <x v="0"/>
    <x v="0"/>
    <s v="Consumer"/>
    <s v="Online"/>
    <x v="2"/>
    <n v="4"/>
    <n v="54187.94"/>
    <n v="5"/>
    <n v="205914.17"/>
    <x v="3"/>
  </r>
  <r>
    <s v="ORD10319"/>
    <d v="2026-12-26T00:00:00"/>
    <x v="3"/>
    <x v="11"/>
    <x v="4"/>
    <x v="1"/>
    <x v="13"/>
    <s v="Consumer"/>
    <s v="Online"/>
    <x v="2"/>
    <n v="5"/>
    <n v="2698.9"/>
    <n v="0"/>
    <n v="13494.52"/>
    <x v="3"/>
  </r>
  <r>
    <s v="ORD12310"/>
    <d v="2026-12-27T00:00:00"/>
    <x v="4"/>
    <x v="11"/>
    <x v="0"/>
    <x v="1"/>
    <x v="13"/>
    <s v="Small Business"/>
    <s v="Retail Store"/>
    <x v="2"/>
    <n v="4"/>
    <n v="3103.74"/>
    <n v="10"/>
    <n v="11173.48"/>
    <x v="3"/>
  </r>
  <r>
    <s v="ORD10761"/>
    <d v="2026-12-28T00:00:00"/>
    <x v="3"/>
    <x v="11"/>
    <x v="7"/>
    <x v="4"/>
    <x v="9"/>
    <s v="Consumer"/>
    <s v="Retail Store"/>
    <x v="3"/>
    <n v="1"/>
    <n v="34516.68"/>
    <n v="0"/>
    <n v="34516.68"/>
    <x v="3"/>
  </r>
  <r>
    <s v="ORD10528"/>
    <d v="2026-12-29T00:00:00"/>
    <x v="0"/>
    <x v="11"/>
    <x v="5"/>
    <x v="3"/>
    <x v="3"/>
    <s v="Home Office"/>
    <s v="Distributor"/>
    <x v="2"/>
    <n v="4"/>
    <n v="28341.13"/>
    <n v="0"/>
    <n v="113364.54"/>
    <x v="3"/>
  </r>
  <r>
    <s v="ORD10016"/>
    <d v="2026-12-30T00:00:00"/>
    <x v="2"/>
    <x v="11"/>
    <x v="6"/>
    <x v="3"/>
    <x v="19"/>
    <s v="Home Office"/>
    <s v="Retail Store"/>
    <x v="4"/>
    <n v="1"/>
    <n v="37660.17"/>
    <n v="5"/>
    <n v="35777.17"/>
    <x v="2"/>
  </r>
  <r>
    <s v="ORD12293"/>
    <d v="2026-12-31T00:00:00"/>
    <x v="3"/>
    <x v="11"/>
    <x v="3"/>
    <x v="2"/>
    <x v="11"/>
    <s v="Consumer"/>
    <s v="Online"/>
    <x v="3"/>
    <n v="5"/>
    <n v="4933.37"/>
    <n v="15"/>
    <n v="20966.84"/>
    <x v="3"/>
  </r>
  <r>
    <s v="ORD10352"/>
    <d v="2027-01-01T00:00:00"/>
    <x v="4"/>
    <x v="0"/>
    <x v="0"/>
    <x v="1"/>
    <x v="13"/>
    <s v="Consumer"/>
    <s v="Online"/>
    <x v="1"/>
    <n v="4"/>
    <n v="2249.59"/>
    <n v="0"/>
    <n v="8998.36"/>
    <x v="0"/>
  </r>
  <r>
    <s v="ORD10471"/>
    <d v="2027-01-02T00:00:00"/>
    <x v="1"/>
    <x v="0"/>
    <x v="3"/>
    <x v="0"/>
    <x v="8"/>
    <s v="Home Office"/>
    <s v="Online"/>
    <x v="1"/>
    <n v="4"/>
    <n v="53302.2"/>
    <n v="15"/>
    <n v="181227.47"/>
    <x v="3"/>
  </r>
  <r>
    <s v="ORD11883"/>
    <d v="2027-01-03T00:00:00"/>
    <x v="0"/>
    <x v="0"/>
    <x v="9"/>
    <x v="4"/>
    <x v="12"/>
    <s v="Consumer"/>
    <s v="Retail Store"/>
    <x v="4"/>
    <n v="2"/>
    <n v="47763.76"/>
    <n v="15"/>
    <n v="81198.39"/>
    <x v="2"/>
  </r>
  <r>
    <s v="ORD10215"/>
    <d v="2027-01-04T00:00:00"/>
    <x v="0"/>
    <x v="0"/>
    <x v="0"/>
    <x v="4"/>
    <x v="10"/>
    <s v="Small Business"/>
    <s v="Online"/>
    <x v="3"/>
    <n v="1"/>
    <n v="50017.23"/>
    <n v="0"/>
    <n v="50017.23"/>
    <x v="1"/>
  </r>
  <r>
    <s v="ORD10427"/>
    <d v="2027-01-05T00:00:00"/>
    <x v="2"/>
    <x v="0"/>
    <x v="0"/>
    <x v="3"/>
    <x v="15"/>
    <s v="Small Business"/>
    <s v="Retail Store"/>
    <x v="4"/>
    <n v="2"/>
    <n v="36542.019999999997"/>
    <n v="15"/>
    <n v="62121.440000000002"/>
    <x v="3"/>
  </r>
  <r>
    <s v="ORD11844"/>
    <d v="2027-01-06T00:00:00"/>
    <x v="4"/>
    <x v="0"/>
    <x v="2"/>
    <x v="3"/>
    <x v="15"/>
    <s v="Home Office"/>
    <s v="Distributor"/>
    <x v="2"/>
    <n v="1"/>
    <n v="30662.95"/>
    <n v="10"/>
    <n v="27596.65"/>
    <x v="2"/>
  </r>
  <r>
    <s v="ORD11513"/>
    <d v="2027-01-07T00:00:00"/>
    <x v="2"/>
    <x v="0"/>
    <x v="3"/>
    <x v="3"/>
    <x v="19"/>
    <s v="Small Business"/>
    <s v="Retail Store"/>
    <x v="1"/>
    <n v="1"/>
    <n v="28471.88"/>
    <n v="0"/>
    <n v="28471.88"/>
    <x v="3"/>
  </r>
  <r>
    <s v="ORD10741"/>
    <d v="2027-01-08T00:00:00"/>
    <x v="2"/>
    <x v="0"/>
    <x v="1"/>
    <x v="3"/>
    <x v="19"/>
    <s v="Consumer"/>
    <s v="Online"/>
    <x v="0"/>
    <n v="5"/>
    <n v="39165.480000000003"/>
    <n v="0"/>
    <n v="195827.41"/>
    <x v="1"/>
  </r>
  <r>
    <s v="ORD12477"/>
    <d v="2027-01-09T00:00:00"/>
    <x v="0"/>
    <x v="0"/>
    <x v="9"/>
    <x v="1"/>
    <x v="14"/>
    <s v="Corporate"/>
    <s v="Distributor"/>
    <x v="3"/>
    <n v="4"/>
    <n v="2869.98"/>
    <n v="15"/>
    <n v="9757.92"/>
    <x v="3"/>
  </r>
  <r>
    <s v="ORD10168"/>
    <d v="2027-01-10T00:00:00"/>
    <x v="3"/>
    <x v="0"/>
    <x v="2"/>
    <x v="2"/>
    <x v="11"/>
    <s v="Home Office"/>
    <s v="Distributor"/>
    <x v="1"/>
    <n v="2"/>
    <n v="5693.91"/>
    <n v="10"/>
    <n v="10249.030000000001"/>
    <x v="2"/>
  </r>
  <r>
    <s v="ORD11955"/>
    <d v="2027-01-11T00:00:00"/>
    <x v="0"/>
    <x v="0"/>
    <x v="5"/>
    <x v="4"/>
    <x v="10"/>
    <s v="Corporate"/>
    <s v="Retail Store"/>
    <x v="3"/>
    <n v="5"/>
    <n v="38009.629999999997"/>
    <n v="5"/>
    <n v="180545.76"/>
    <x v="2"/>
  </r>
  <r>
    <s v="ORD12077"/>
    <d v="2027-01-12T00:00:00"/>
    <x v="2"/>
    <x v="0"/>
    <x v="8"/>
    <x v="2"/>
    <x v="11"/>
    <s v="Consumer"/>
    <s v="Online"/>
    <x v="4"/>
    <n v="1"/>
    <n v="5894.6"/>
    <n v="0"/>
    <n v="5894.6"/>
    <x v="3"/>
  </r>
  <r>
    <s v="ORD11301"/>
    <d v="2027-01-13T00:00:00"/>
    <x v="0"/>
    <x v="0"/>
    <x v="8"/>
    <x v="0"/>
    <x v="8"/>
    <s v="Small Business"/>
    <s v="Retail Store"/>
    <x v="0"/>
    <n v="2"/>
    <n v="55322.55"/>
    <n v="15"/>
    <n v="94048.34"/>
    <x v="0"/>
  </r>
  <r>
    <s v="ORD11996"/>
    <d v="2027-01-14T00:00:00"/>
    <x v="1"/>
    <x v="0"/>
    <x v="2"/>
    <x v="2"/>
    <x v="17"/>
    <s v="Home Office"/>
    <s v="Retail Store"/>
    <x v="3"/>
    <n v="5"/>
    <n v="6843.57"/>
    <n v="20"/>
    <n v="27374.29"/>
    <x v="3"/>
  </r>
  <r>
    <s v="ORD10403"/>
    <d v="2027-01-15T00:00:00"/>
    <x v="0"/>
    <x v="0"/>
    <x v="0"/>
    <x v="4"/>
    <x v="5"/>
    <s v="Home Office"/>
    <s v="Retail Store"/>
    <x v="1"/>
    <n v="2"/>
    <n v="34516.07"/>
    <n v="0"/>
    <n v="69032.13"/>
    <x v="1"/>
  </r>
  <r>
    <s v="ORD11063"/>
    <d v="2027-01-16T00:00:00"/>
    <x v="1"/>
    <x v="0"/>
    <x v="4"/>
    <x v="4"/>
    <x v="10"/>
    <s v="Consumer"/>
    <s v="Retail Store"/>
    <x v="0"/>
    <n v="1"/>
    <n v="51187.58"/>
    <n v="10"/>
    <n v="46068.82"/>
    <x v="0"/>
  </r>
  <r>
    <s v="ORD10750"/>
    <d v="2027-01-17T00:00:00"/>
    <x v="0"/>
    <x v="0"/>
    <x v="0"/>
    <x v="4"/>
    <x v="10"/>
    <s v="Corporate"/>
    <s v="Online"/>
    <x v="4"/>
    <n v="4"/>
    <n v="32839.370000000003"/>
    <n v="10"/>
    <n v="118221.72"/>
    <x v="3"/>
  </r>
  <r>
    <s v="ORD12071"/>
    <d v="2027-01-18T00:00:00"/>
    <x v="1"/>
    <x v="0"/>
    <x v="6"/>
    <x v="1"/>
    <x v="13"/>
    <s v="Corporate"/>
    <s v="Online"/>
    <x v="3"/>
    <n v="4"/>
    <n v="1998.35"/>
    <n v="10"/>
    <n v="7194.05"/>
    <x v="2"/>
  </r>
  <r>
    <s v="ORD11938"/>
    <d v="2027-01-19T00:00:00"/>
    <x v="3"/>
    <x v="0"/>
    <x v="4"/>
    <x v="2"/>
    <x v="17"/>
    <s v="Corporate"/>
    <s v="Retail Store"/>
    <x v="3"/>
    <n v="4"/>
    <n v="5989.66"/>
    <n v="20"/>
    <n v="19166.900000000001"/>
    <x v="0"/>
  </r>
  <r>
    <s v="ORD10212"/>
    <d v="2027-01-20T00:00:00"/>
    <x v="4"/>
    <x v="0"/>
    <x v="8"/>
    <x v="0"/>
    <x v="6"/>
    <s v="Corporate"/>
    <s v="Online"/>
    <x v="0"/>
    <n v="1"/>
    <n v="52347.77"/>
    <n v="0"/>
    <n v="52347.77"/>
    <x v="1"/>
  </r>
  <r>
    <s v="ORD11761"/>
    <d v="2027-01-21T00:00:00"/>
    <x v="1"/>
    <x v="0"/>
    <x v="9"/>
    <x v="0"/>
    <x v="0"/>
    <s v="Consumer"/>
    <s v="Online"/>
    <x v="4"/>
    <n v="2"/>
    <n v="43667.92"/>
    <n v="0"/>
    <n v="87335.85"/>
    <x v="3"/>
  </r>
  <r>
    <s v="ORD10829"/>
    <d v="2027-01-22T00:00:00"/>
    <x v="3"/>
    <x v="0"/>
    <x v="7"/>
    <x v="3"/>
    <x v="7"/>
    <s v="Corporate"/>
    <s v="Distributor"/>
    <x v="2"/>
    <n v="4"/>
    <n v="25801.02"/>
    <n v="10"/>
    <n v="92883.67"/>
    <x v="3"/>
  </r>
  <r>
    <s v="ORD12392"/>
    <d v="2027-01-23T00:00:00"/>
    <x v="0"/>
    <x v="0"/>
    <x v="4"/>
    <x v="0"/>
    <x v="8"/>
    <s v="Small Business"/>
    <s v="Retail Store"/>
    <x v="3"/>
    <n v="5"/>
    <n v="68663.3"/>
    <n v="10"/>
    <n v="308984.83"/>
    <x v="3"/>
  </r>
  <r>
    <s v="ORD10044"/>
    <d v="2027-01-24T00:00:00"/>
    <x v="3"/>
    <x v="0"/>
    <x v="4"/>
    <x v="3"/>
    <x v="15"/>
    <s v="Corporate"/>
    <s v="Distributor"/>
    <x v="1"/>
    <n v="4"/>
    <n v="38115.75"/>
    <n v="5"/>
    <n v="144839.84"/>
    <x v="0"/>
  </r>
  <r>
    <s v="ORD10895"/>
    <d v="2027-01-25T00:00:00"/>
    <x v="0"/>
    <x v="0"/>
    <x v="1"/>
    <x v="0"/>
    <x v="0"/>
    <s v="Consumer"/>
    <s v="Retail Store"/>
    <x v="1"/>
    <n v="3"/>
    <n v="50587.9"/>
    <n v="5"/>
    <n v="144175.51"/>
    <x v="3"/>
  </r>
  <r>
    <s v="ORD11016"/>
    <d v="2027-01-26T00:00:00"/>
    <x v="2"/>
    <x v="0"/>
    <x v="4"/>
    <x v="2"/>
    <x v="17"/>
    <s v="Small Business"/>
    <s v="Distributor"/>
    <x v="0"/>
    <n v="2"/>
    <n v="4933.46"/>
    <n v="15"/>
    <n v="8386.8799999999992"/>
    <x v="1"/>
  </r>
  <r>
    <s v="ORD12357"/>
    <d v="2027-01-27T00:00:00"/>
    <x v="1"/>
    <x v="0"/>
    <x v="8"/>
    <x v="2"/>
    <x v="16"/>
    <s v="Small Business"/>
    <s v="Online"/>
    <x v="2"/>
    <n v="2"/>
    <n v="6062.95"/>
    <n v="10"/>
    <n v="10913.31"/>
    <x v="0"/>
  </r>
  <r>
    <s v="ORD10170"/>
    <d v="2027-01-28T00:00:00"/>
    <x v="4"/>
    <x v="0"/>
    <x v="1"/>
    <x v="4"/>
    <x v="9"/>
    <s v="Corporate"/>
    <s v="Distributor"/>
    <x v="3"/>
    <n v="5"/>
    <n v="42820.55"/>
    <n v="5"/>
    <n v="203397.63"/>
    <x v="0"/>
  </r>
  <r>
    <s v="ORD10133"/>
    <d v="2027-01-29T00:00:00"/>
    <x v="0"/>
    <x v="0"/>
    <x v="1"/>
    <x v="3"/>
    <x v="7"/>
    <s v="Small Business"/>
    <s v="Distributor"/>
    <x v="0"/>
    <n v="4"/>
    <n v="33381.25"/>
    <n v="10"/>
    <n v="120172.5"/>
    <x v="3"/>
  </r>
  <r>
    <s v="ORD11183"/>
    <d v="2027-01-30T00:00:00"/>
    <x v="4"/>
    <x v="0"/>
    <x v="2"/>
    <x v="1"/>
    <x v="13"/>
    <s v="Home Office"/>
    <s v="Retail Store"/>
    <x v="4"/>
    <n v="2"/>
    <n v="2782.04"/>
    <n v="10"/>
    <n v="5007.67"/>
    <x v="3"/>
  </r>
  <r>
    <s v="ORD11197"/>
    <d v="2027-01-31T00:00:00"/>
    <x v="3"/>
    <x v="0"/>
    <x v="0"/>
    <x v="2"/>
    <x v="16"/>
    <s v="Home Office"/>
    <s v="Retail Store"/>
    <x v="0"/>
    <n v="5"/>
    <n v="5031.2299999999996"/>
    <n v="5"/>
    <n v="23898.34"/>
    <x v="2"/>
  </r>
  <r>
    <s v="ORD10488"/>
    <d v="2027-02-01T00:00:00"/>
    <x v="0"/>
    <x v="1"/>
    <x v="7"/>
    <x v="2"/>
    <x v="16"/>
    <s v="Corporate"/>
    <s v="Retail Store"/>
    <x v="2"/>
    <n v="3"/>
    <n v="5707.94"/>
    <n v="10"/>
    <n v="15411.44"/>
    <x v="2"/>
  </r>
  <r>
    <s v="ORD12032"/>
    <d v="2027-02-02T00:00:00"/>
    <x v="2"/>
    <x v="1"/>
    <x v="3"/>
    <x v="1"/>
    <x v="13"/>
    <s v="Consumer"/>
    <s v="Online"/>
    <x v="2"/>
    <n v="4"/>
    <n v="3104.48"/>
    <n v="15"/>
    <n v="10555.22"/>
    <x v="0"/>
  </r>
  <r>
    <s v="ORD12403"/>
    <d v="2027-02-03T00:00:00"/>
    <x v="4"/>
    <x v="1"/>
    <x v="5"/>
    <x v="4"/>
    <x v="9"/>
    <s v="Consumer"/>
    <s v="Online"/>
    <x v="2"/>
    <n v="3"/>
    <n v="39159.519999999997"/>
    <n v="0"/>
    <n v="117478.55"/>
    <x v="3"/>
  </r>
  <r>
    <s v="ORD10490"/>
    <d v="2027-02-04T00:00:00"/>
    <x v="4"/>
    <x v="1"/>
    <x v="1"/>
    <x v="4"/>
    <x v="10"/>
    <s v="Home Office"/>
    <s v="Distributor"/>
    <x v="2"/>
    <n v="2"/>
    <n v="46830.53"/>
    <n v="5"/>
    <n v="88978"/>
    <x v="3"/>
  </r>
  <r>
    <s v="ORD11458"/>
    <d v="2027-02-05T00:00:00"/>
    <x v="1"/>
    <x v="1"/>
    <x v="8"/>
    <x v="3"/>
    <x v="7"/>
    <s v="Corporate"/>
    <s v="Retail Store"/>
    <x v="4"/>
    <n v="4"/>
    <n v="29171.29"/>
    <n v="0"/>
    <n v="116685.15"/>
    <x v="3"/>
  </r>
  <r>
    <s v="ORD10863"/>
    <d v="2027-02-06T00:00:00"/>
    <x v="0"/>
    <x v="1"/>
    <x v="5"/>
    <x v="2"/>
    <x v="2"/>
    <s v="Consumer"/>
    <s v="Online"/>
    <x v="3"/>
    <n v="3"/>
    <n v="5350.58"/>
    <n v="10"/>
    <n v="14446.57"/>
    <x v="1"/>
  </r>
  <r>
    <s v="ORD10432"/>
    <d v="2027-02-07T00:00:00"/>
    <x v="2"/>
    <x v="1"/>
    <x v="0"/>
    <x v="0"/>
    <x v="18"/>
    <s v="Consumer"/>
    <s v="Online"/>
    <x v="4"/>
    <n v="1"/>
    <n v="56235.47"/>
    <n v="10"/>
    <n v="50611.92"/>
    <x v="0"/>
  </r>
  <r>
    <s v="ORD12216"/>
    <d v="2027-02-08T00:00:00"/>
    <x v="1"/>
    <x v="1"/>
    <x v="1"/>
    <x v="0"/>
    <x v="18"/>
    <s v="Small Business"/>
    <s v="Online"/>
    <x v="2"/>
    <n v="1"/>
    <n v="55700.71"/>
    <n v="5"/>
    <n v="52915.68"/>
    <x v="0"/>
  </r>
  <r>
    <s v="ORD11135"/>
    <d v="2027-02-09T00:00:00"/>
    <x v="4"/>
    <x v="1"/>
    <x v="1"/>
    <x v="0"/>
    <x v="6"/>
    <s v="Home Office"/>
    <s v="Retail Store"/>
    <x v="2"/>
    <n v="2"/>
    <n v="56162.879999999997"/>
    <n v="5"/>
    <n v="106709.48"/>
    <x v="1"/>
  </r>
  <r>
    <s v="ORD10719"/>
    <d v="2027-02-10T00:00:00"/>
    <x v="2"/>
    <x v="1"/>
    <x v="7"/>
    <x v="3"/>
    <x v="7"/>
    <s v="Corporate"/>
    <s v="Online"/>
    <x v="2"/>
    <n v="4"/>
    <n v="24580.61"/>
    <n v="20"/>
    <n v="78657.95"/>
    <x v="3"/>
  </r>
  <r>
    <s v="ORD12391"/>
    <d v="2027-02-11T00:00:00"/>
    <x v="3"/>
    <x v="1"/>
    <x v="2"/>
    <x v="2"/>
    <x v="11"/>
    <s v="Small Business"/>
    <s v="Retail Store"/>
    <x v="1"/>
    <n v="5"/>
    <n v="6566.65"/>
    <n v="0"/>
    <n v="32833.269999999997"/>
    <x v="3"/>
  </r>
  <r>
    <s v="ORD11102"/>
    <d v="2027-02-12T00:00:00"/>
    <x v="1"/>
    <x v="1"/>
    <x v="0"/>
    <x v="3"/>
    <x v="15"/>
    <s v="Corporate"/>
    <s v="Online"/>
    <x v="0"/>
    <n v="4"/>
    <n v="32805.480000000003"/>
    <n v="0"/>
    <n v="131221.91"/>
    <x v="3"/>
  </r>
  <r>
    <s v="ORD10614"/>
    <d v="2027-02-13T00:00:00"/>
    <x v="4"/>
    <x v="1"/>
    <x v="4"/>
    <x v="3"/>
    <x v="7"/>
    <s v="Corporate"/>
    <s v="Online"/>
    <x v="2"/>
    <n v="3"/>
    <n v="39762.910000000003"/>
    <n v="10"/>
    <n v="107359.85"/>
    <x v="3"/>
  </r>
  <r>
    <s v="ORD10466"/>
    <d v="2027-02-14T00:00:00"/>
    <x v="0"/>
    <x v="1"/>
    <x v="7"/>
    <x v="4"/>
    <x v="9"/>
    <s v="Consumer"/>
    <s v="Online"/>
    <x v="3"/>
    <n v="4"/>
    <n v="43495.69"/>
    <n v="15"/>
    <n v="147885.35"/>
    <x v="3"/>
  </r>
  <r>
    <s v="ORD11659"/>
    <d v="2027-02-15T00:00:00"/>
    <x v="3"/>
    <x v="1"/>
    <x v="3"/>
    <x v="1"/>
    <x v="13"/>
    <s v="Corporate"/>
    <s v="Retail Store"/>
    <x v="3"/>
    <n v="4"/>
    <n v="2114.1799999999998"/>
    <n v="0"/>
    <n v="8456.7099999999991"/>
    <x v="1"/>
  </r>
  <r>
    <s v="ORD10759"/>
    <d v="2027-02-16T00:00:00"/>
    <x v="1"/>
    <x v="1"/>
    <x v="5"/>
    <x v="0"/>
    <x v="6"/>
    <s v="Consumer"/>
    <s v="Retail Store"/>
    <x v="0"/>
    <n v="4"/>
    <n v="48052.29"/>
    <n v="5"/>
    <n v="182598.69"/>
    <x v="3"/>
  </r>
  <r>
    <s v="ORD10214"/>
    <d v="2027-02-17T00:00:00"/>
    <x v="0"/>
    <x v="1"/>
    <x v="9"/>
    <x v="4"/>
    <x v="9"/>
    <s v="Home Office"/>
    <s v="Distributor"/>
    <x v="0"/>
    <n v="3"/>
    <n v="40009.1"/>
    <n v="15"/>
    <n v="102023.2"/>
    <x v="3"/>
  </r>
  <r>
    <s v="ORD10083"/>
    <d v="2027-02-18T00:00:00"/>
    <x v="4"/>
    <x v="1"/>
    <x v="0"/>
    <x v="4"/>
    <x v="9"/>
    <s v="Home Office"/>
    <s v="Retail Store"/>
    <x v="1"/>
    <n v="5"/>
    <n v="42093.95"/>
    <n v="10"/>
    <n v="189422.77"/>
    <x v="0"/>
  </r>
  <r>
    <s v="ORD11059"/>
    <d v="2027-02-19T00:00:00"/>
    <x v="1"/>
    <x v="1"/>
    <x v="1"/>
    <x v="3"/>
    <x v="3"/>
    <s v="Small Business"/>
    <s v="Online"/>
    <x v="3"/>
    <n v="3"/>
    <n v="26850.91"/>
    <n v="5"/>
    <n v="76525.100000000006"/>
    <x v="3"/>
  </r>
  <r>
    <s v="ORD12060"/>
    <d v="2027-02-20T00:00:00"/>
    <x v="2"/>
    <x v="1"/>
    <x v="9"/>
    <x v="2"/>
    <x v="17"/>
    <s v="Consumer"/>
    <s v="Retail Store"/>
    <x v="4"/>
    <n v="2"/>
    <n v="6715.3"/>
    <n v="5"/>
    <n v="12759.07"/>
    <x v="0"/>
  </r>
  <r>
    <s v="ORD11008"/>
    <d v="2027-02-21T00:00:00"/>
    <x v="3"/>
    <x v="1"/>
    <x v="7"/>
    <x v="1"/>
    <x v="13"/>
    <s v="Small Business"/>
    <s v="Retail Store"/>
    <x v="0"/>
    <n v="1"/>
    <n v="2014.8"/>
    <n v="20"/>
    <n v="1611.84"/>
    <x v="3"/>
  </r>
  <r>
    <s v="ORD12498"/>
    <d v="2027-02-22T00:00:00"/>
    <x v="4"/>
    <x v="1"/>
    <x v="0"/>
    <x v="4"/>
    <x v="10"/>
    <s v="Small Business"/>
    <s v="Retail Store"/>
    <x v="3"/>
    <n v="2"/>
    <n v="40959.97"/>
    <n v="20"/>
    <n v="65535.95"/>
    <x v="2"/>
  </r>
  <r>
    <s v="ORD12210"/>
    <d v="2027-02-23T00:00:00"/>
    <x v="3"/>
    <x v="1"/>
    <x v="2"/>
    <x v="4"/>
    <x v="12"/>
    <s v="Corporate"/>
    <s v="Retail Store"/>
    <x v="1"/>
    <n v="5"/>
    <n v="37246.15"/>
    <n v="15"/>
    <n v="158296.15"/>
    <x v="2"/>
  </r>
  <r>
    <s v="ORD11365"/>
    <d v="2027-02-24T00:00:00"/>
    <x v="0"/>
    <x v="1"/>
    <x v="3"/>
    <x v="0"/>
    <x v="8"/>
    <s v="Home Office"/>
    <s v="Retail Store"/>
    <x v="3"/>
    <n v="4"/>
    <n v="61886.25"/>
    <n v="20"/>
    <n v="198036"/>
    <x v="2"/>
  </r>
  <r>
    <s v="ORD12383"/>
    <d v="2027-02-25T00:00:00"/>
    <x v="2"/>
    <x v="1"/>
    <x v="6"/>
    <x v="1"/>
    <x v="4"/>
    <s v="Corporate"/>
    <s v="Retail Store"/>
    <x v="2"/>
    <n v="2"/>
    <n v="2969.8"/>
    <n v="10"/>
    <n v="5345.65"/>
    <x v="3"/>
  </r>
  <r>
    <s v="ORD10052"/>
    <d v="2027-02-26T00:00:00"/>
    <x v="4"/>
    <x v="1"/>
    <x v="3"/>
    <x v="0"/>
    <x v="6"/>
    <s v="Consumer"/>
    <s v="Retail Store"/>
    <x v="2"/>
    <n v="3"/>
    <n v="45811.33"/>
    <n v="15"/>
    <n v="116818.9"/>
    <x v="3"/>
  </r>
  <r>
    <s v="ORD12469"/>
    <d v="2027-02-27T00:00:00"/>
    <x v="0"/>
    <x v="1"/>
    <x v="0"/>
    <x v="3"/>
    <x v="15"/>
    <s v="Consumer"/>
    <s v="Retail Store"/>
    <x v="3"/>
    <n v="5"/>
    <n v="32020.54"/>
    <n v="15"/>
    <n v="136087.29"/>
    <x v="2"/>
  </r>
  <r>
    <s v="ORD10968"/>
    <d v="2027-02-28T00:00:00"/>
    <x v="1"/>
    <x v="1"/>
    <x v="8"/>
    <x v="0"/>
    <x v="18"/>
    <s v="Small Business"/>
    <s v="Online"/>
    <x v="1"/>
    <n v="3"/>
    <n v="69138.990000000005"/>
    <n v="10"/>
    <n v="186675.26"/>
    <x v="3"/>
  </r>
  <r>
    <s v="ORD10238"/>
    <d v="2027-03-01T00:00:00"/>
    <x v="3"/>
    <x v="2"/>
    <x v="8"/>
    <x v="0"/>
    <x v="0"/>
    <s v="Small Business"/>
    <s v="Online"/>
    <x v="3"/>
    <n v="4"/>
    <n v="50385.22"/>
    <n v="0"/>
    <n v="201540.9"/>
    <x v="0"/>
  </r>
  <r>
    <s v="ORD11711"/>
    <d v="2027-03-02T00:00:00"/>
    <x v="1"/>
    <x v="2"/>
    <x v="4"/>
    <x v="0"/>
    <x v="8"/>
    <s v="Consumer"/>
    <s v="Online"/>
    <x v="2"/>
    <n v="2"/>
    <n v="61196.13"/>
    <n v="10"/>
    <n v="110153.04"/>
    <x v="1"/>
  </r>
  <r>
    <s v="ORD11232"/>
    <d v="2027-03-03T00:00:00"/>
    <x v="0"/>
    <x v="2"/>
    <x v="7"/>
    <x v="3"/>
    <x v="7"/>
    <s v="Corporate"/>
    <s v="Distributor"/>
    <x v="4"/>
    <n v="2"/>
    <n v="29725.87"/>
    <n v="10"/>
    <n v="53506.559999999998"/>
    <x v="3"/>
  </r>
  <r>
    <s v="ORD10076"/>
    <d v="2027-03-04T00:00:00"/>
    <x v="3"/>
    <x v="2"/>
    <x v="6"/>
    <x v="2"/>
    <x v="17"/>
    <s v="Corporate"/>
    <s v="Retail Store"/>
    <x v="3"/>
    <n v="3"/>
    <n v="5250.17"/>
    <n v="15"/>
    <n v="13387.94"/>
    <x v="2"/>
  </r>
  <r>
    <s v="ORD10515"/>
    <d v="2027-03-05T00:00:00"/>
    <x v="0"/>
    <x v="2"/>
    <x v="7"/>
    <x v="0"/>
    <x v="18"/>
    <s v="Home Office"/>
    <s v="Distributor"/>
    <x v="3"/>
    <n v="4"/>
    <n v="66859.72"/>
    <n v="5"/>
    <n v="254066.92"/>
    <x v="2"/>
  </r>
  <r>
    <s v="ORD11681"/>
    <d v="2027-03-06T00:00:00"/>
    <x v="3"/>
    <x v="2"/>
    <x v="9"/>
    <x v="0"/>
    <x v="0"/>
    <s v="Consumer"/>
    <s v="Online"/>
    <x v="2"/>
    <n v="2"/>
    <n v="59844.18"/>
    <n v="10"/>
    <n v="107719.53"/>
    <x v="3"/>
  </r>
  <r>
    <s v="ORD11727"/>
    <d v="2027-03-07T00:00:00"/>
    <x v="4"/>
    <x v="2"/>
    <x v="2"/>
    <x v="0"/>
    <x v="8"/>
    <s v="Corporate"/>
    <s v="Online"/>
    <x v="2"/>
    <n v="3"/>
    <n v="54019.83"/>
    <n v="10"/>
    <n v="145853.53"/>
    <x v="3"/>
  </r>
  <r>
    <s v="ORD10321"/>
    <d v="2027-03-08T00:00:00"/>
    <x v="4"/>
    <x v="2"/>
    <x v="2"/>
    <x v="1"/>
    <x v="14"/>
    <s v="Corporate"/>
    <s v="Online"/>
    <x v="2"/>
    <n v="4"/>
    <n v="2460.36"/>
    <n v="5"/>
    <n v="9349.3799999999992"/>
    <x v="3"/>
  </r>
  <r>
    <s v="ORD11677"/>
    <d v="2027-03-09T00:00:00"/>
    <x v="4"/>
    <x v="2"/>
    <x v="6"/>
    <x v="4"/>
    <x v="9"/>
    <s v="Corporate"/>
    <s v="Distributor"/>
    <x v="1"/>
    <n v="1"/>
    <n v="32909.019999999997"/>
    <n v="20"/>
    <n v="26327.22"/>
    <x v="2"/>
  </r>
  <r>
    <s v="ORD11588"/>
    <d v="2027-03-10T00:00:00"/>
    <x v="2"/>
    <x v="2"/>
    <x v="3"/>
    <x v="0"/>
    <x v="0"/>
    <s v="Home Office"/>
    <s v="Distributor"/>
    <x v="0"/>
    <n v="2"/>
    <n v="58297.47"/>
    <n v="10"/>
    <n v="104935.44"/>
    <x v="2"/>
  </r>
  <r>
    <s v="ORD10637"/>
    <d v="2027-03-11T00:00:00"/>
    <x v="0"/>
    <x v="2"/>
    <x v="4"/>
    <x v="2"/>
    <x v="17"/>
    <s v="Consumer"/>
    <s v="Distributor"/>
    <x v="1"/>
    <n v="5"/>
    <n v="7317.86"/>
    <n v="20"/>
    <n v="29271.42"/>
    <x v="3"/>
  </r>
  <r>
    <s v="ORD11323"/>
    <d v="2027-03-12T00:00:00"/>
    <x v="1"/>
    <x v="2"/>
    <x v="7"/>
    <x v="1"/>
    <x v="1"/>
    <s v="Small Business"/>
    <s v="Online"/>
    <x v="1"/>
    <n v="5"/>
    <n v="2940.34"/>
    <n v="10"/>
    <n v="13231.52"/>
    <x v="3"/>
  </r>
  <r>
    <s v="ORD10992"/>
    <d v="2027-03-13T00:00:00"/>
    <x v="4"/>
    <x v="2"/>
    <x v="8"/>
    <x v="1"/>
    <x v="14"/>
    <s v="Consumer"/>
    <s v="Distributor"/>
    <x v="2"/>
    <n v="2"/>
    <n v="2854.92"/>
    <n v="5"/>
    <n v="5424.34"/>
    <x v="1"/>
  </r>
  <r>
    <s v="ORD11412"/>
    <d v="2027-03-14T00:00:00"/>
    <x v="2"/>
    <x v="2"/>
    <x v="3"/>
    <x v="2"/>
    <x v="17"/>
    <s v="Consumer"/>
    <s v="Online"/>
    <x v="3"/>
    <n v="5"/>
    <n v="5204.24"/>
    <n v="0"/>
    <n v="26021.19"/>
    <x v="3"/>
  </r>
  <r>
    <s v="ORD11715"/>
    <d v="2027-03-15T00:00:00"/>
    <x v="0"/>
    <x v="2"/>
    <x v="6"/>
    <x v="4"/>
    <x v="5"/>
    <s v="Corporate"/>
    <s v="Retail Store"/>
    <x v="4"/>
    <n v="3"/>
    <n v="44240.94"/>
    <n v="10"/>
    <n v="119450.53"/>
    <x v="3"/>
  </r>
  <r>
    <s v="ORD11189"/>
    <d v="2027-03-16T00:00:00"/>
    <x v="2"/>
    <x v="2"/>
    <x v="6"/>
    <x v="0"/>
    <x v="0"/>
    <s v="Home Office"/>
    <s v="Retail Store"/>
    <x v="0"/>
    <n v="2"/>
    <n v="66368.89"/>
    <n v="5"/>
    <n v="126100.89"/>
    <x v="3"/>
  </r>
  <r>
    <s v="ORD11731"/>
    <d v="2027-03-17T00:00:00"/>
    <x v="3"/>
    <x v="2"/>
    <x v="9"/>
    <x v="1"/>
    <x v="14"/>
    <s v="Corporate"/>
    <s v="Distributor"/>
    <x v="1"/>
    <n v="3"/>
    <n v="2665.86"/>
    <n v="10"/>
    <n v="7197.82"/>
    <x v="3"/>
  </r>
  <r>
    <s v="ORD11672"/>
    <d v="2027-03-18T00:00:00"/>
    <x v="0"/>
    <x v="2"/>
    <x v="9"/>
    <x v="3"/>
    <x v="7"/>
    <s v="Home Office"/>
    <s v="Distributor"/>
    <x v="1"/>
    <n v="5"/>
    <n v="35859.33"/>
    <n v="0"/>
    <n v="179296.66"/>
    <x v="2"/>
  </r>
  <r>
    <s v="ORD10777"/>
    <d v="2027-03-19T00:00:00"/>
    <x v="4"/>
    <x v="2"/>
    <x v="6"/>
    <x v="3"/>
    <x v="19"/>
    <s v="Home Office"/>
    <s v="Retail Store"/>
    <x v="2"/>
    <n v="1"/>
    <n v="38087.51"/>
    <n v="10"/>
    <n v="34278.76"/>
    <x v="0"/>
  </r>
  <r>
    <s v="ORD11973"/>
    <d v="2027-03-20T00:00:00"/>
    <x v="3"/>
    <x v="2"/>
    <x v="4"/>
    <x v="1"/>
    <x v="13"/>
    <s v="Corporate"/>
    <s v="Online"/>
    <x v="4"/>
    <n v="3"/>
    <n v="2924.47"/>
    <n v="0"/>
    <n v="8773.41"/>
    <x v="3"/>
  </r>
  <r>
    <s v="ORD11911"/>
    <d v="2027-03-21T00:00:00"/>
    <x v="4"/>
    <x v="2"/>
    <x v="2"/>
    <x v="2"/>
    <x v="17"/>
    <s v="Home Office"/>
    <s v="Online"/>
    <x v="0"/>
    <n v="2"/>
    <n v="6504.67"/>
    <n v="20"/>
    <n v="10407.469999999999"/>
    <x v="2"/>
  </r>
  <r>
    <s v="ORD11075"/>
    <d v="2027-03-22T00:00:00"/>
    <x v="2"/>
    <x v="2"/>
    <x v="0"/>
    <x v="0"/>
    <x v="18"/>
    <s v="Corporate"/>
    <s v="Distributor"/>
    <x v="0"/>
    <n v="1"/>
    <n v="60915.93"/>
    <n v="5"/>
    <n v="57870.13"/>
    <x v="1"/>
  </r>
  <r>
    <s v="ORD11694"/>
    <d v="2027-03-23T00:00:00"/>
    <x v="2"/>
    <x v="2"/>
    <x v="8"/>
    <x v="3"/>
    <x v="19"/>
    <s v="Home Office"/>
    <s v="Online"/>
    <x v="3"/>
    <n v="3"/>
    <n v="31856.13"/>
    <n v="0"/>
    <n v="95568.4"/>
    <x v="1"/>
  </r>
  <r>
    <s v="ORD11520"/>
    <d v="2027-03-24T00:00:00"/>
    <x v="4"/>
    <x v="2"/>
    <x v="0"/>
    <x v="3"/>
    <x v="19"/>
    <s v="Small Business"/>
    <s v="Retail Store"/>
    <x v="4"/>
    <n v="3"/>
    <n v="31499"/>
    <n v="5"/>
    <n v="89772.14"/>
    <x v="3"/>
  </r>
  <r>
    <s v="ORD10788"/>
    <d v="2027-03-25T00:00:00"/>
    <x v="2"/>
    <x v="2"/>
    <x v="8"/>
    <x v="3"/>
    <x v="19"/>
    <s v="Small Business"/>
    <s v="Retail Store"/>
    <x v="3"/>
    <n v="2"/>
    <n v="29897.83"/>
    <n v="5"/>
    <n v="56805.88"/>
    <x v="3"/>
  </r>
  <r>
    <s v="ORD10202"/>
    <d v="2027-03-26T00:00:00"/>
    <x v="2"/>
    <x v="2"/>
    <x v="2"/>
    <x v="0"/>
    <x v="6"/>
    <s v="Corporate"/>
    <s v="Online"/>
    <x v="1"/>
    <n v="5"/>
    <n v="63730.12"/>
    <n v="0"/>
    <n v="318650.59000000003"/>
    <x v="3"/>
  </r>
  <r>
    <s v="ORD11808"/>
    <d v="2027-03-27T00:00:00"/>
    <x v="4"/>
    <x v="2"/>
    <x v="0"/>
    <x v="3"/>
    <x v="3"/>
    <s v="Corporate"/>
    <s v="Online"/>
    <x v="1"/>
    <n v="1"/>
    <n v="25687.29"/>
    <n v="5"/>
    <n v="24402.93"/>
    <x v="3"/>
  </r>
  <r>
    <s v="ORD11251"/>
    <d v="2027-03-28T00:00:00"/>
    <x v="3"/>
    <x v="2"/>
    <x v="5"/>
    <x v="0"/>
    <x v="8"/>
    <s v="Home Office"/>
    <s v="Retail Store"/>
    <x v="2"/>
    <n v="3"/>
    <n v="68603.06"/>
    <n v="0"/>
    <n v="205809.19"/>
    <x v="3"/>
  </r>
  <r>
    <s v="ORD10773"/>
    <d v="2027-03-29T00:00:00"/>
    <x v="3"/>
    <x v="2"/>
    <x v="2"/>
    <x v="4"/>
    <x v="5"/>
    <s v="Consumer"/>
    <s v="Distributor"/>
    <x v="2"/>
    <n v="5"/>
    <n v="44054.26"/>
    <n v="0"/>
    <n v="220271.3"/>
    <x v="3"/>
  </r>
  <r>
    <s v="ORD11828"/>
    <d v="2027-03-30T00:00:00"/>
    <x v="0"/>
    <x v="2"/>
    <x v="6"/>
    <x v="1"/>
    <x v="14"/>
    <s v="Corporate"/>
    <s v="Retail Store"/>
    <x v="3"/>
    <n v="3"/>
    <n v="2300.88"/>
    <n v="15"/>
    <n v="5867.24"/>
    <x v="2"/>
  </r>
  <r>
    <s v="ORD11196"/>
    <d v="2027-03-31T00:00:00"/>
    <x v="2"/>
    <x v="2"/>
    <x v="1"/>
    <x v="2"/>
    <x v="2"/>
    <s v="Home Office"/>
    <s v="Retail Store"/>
    <x v="0"/>
    <n v="5"/>
    <n v="5820.57"/>
    <n v="5"/>
    <n v="27647.73"/>
    <x v="1"/>
  </r>
  <r>
    <s v="ORD10988"/>
    <d v="2027-04-01T00:00:00"/>
    <x v="1"/>
    <x v="3"/>
    <x v="1"/>
    <x v="4"/>
    <x v="10"/>
    <s v="Consumer"/>
    <s v="Distributor"/>
    <x v="4"/>
    <n v="2"/>
    <n v="43176.08"/>
    <n v="10"/>
    <n v="77716.94"/>
    <x v="1"/>
  </r>
  <r>
    <s v="ORD10539"/>
    <d v="2027-04-02T00:00:00"/>
    <x v="2"/>
    <x v="3"/>
    <x v="5"/>
    <x v="1"/>
    <x v="13"/>
    <s v="Consumer"/>
    <s v="Online"/>
    <x v="3"/>
    <n v="5"/>
    <n v="2643.59"/>
    <n v="0"/>
    <n v="13217.96"/>
    <x v="2"/>
  </r>
  <r>
    <s v="ORD12138"/>
    <d v="2027-04-03T00:00:00"/>
    <x v="3"/>
    <x v="3"/>
    <x v="0"/>
    <x v="1"/>
    <x v="14"/>
    <s v="Small Business"/>
    <s v="Online"/>
    <x v="4"/>
    <n v="4"/>
    <n v="2133.73"/>
    <n v="15"/>
    <n v="7254.67"/>
    <x v="1"/>
  </r>
  <r>
    <s v="ORD12109"/>
    <d v="2027-04-04T00:00:00"/>
    <x v="1"/>
    <x v="3"/>
    <x v="2"/>
    <x v="0"/>
    <x v="8"/>
    <s v="Small Business"/>
    <s v="Distributor"/>
    <x v="1"/>
    <n v="2"/>
    <n v="60684.88"/>
    <n v="10"/>
    <n v="109232.78"/>
    <x v="0"/>
  </r>
  <r>
    <s v="ORD10756"/>
    <d v="2027-04-05T00:00:00"/>
    <x v="3"/>
    <x v="3"/>
    <x v="5"/>
    <x v="2"/>
    <x v="11"/>
    <s v="Corporate"/>
    <s v="Online"/>
    <x v="0"/>
    <n v="3"/>
    <n v="7134"/>
    <n v="0"/>
    <n v="21402"/>
    <x v="0"/>
  </r>
  <r>
    <s v="ORD10557"/>
    <d v="2027-04-06T00:00:00"/>
    <x v="2"/>
    <x v="3"/>
    <x v="6"/>
    <x v="3"/>
    <x v="19"/>
    <s v="Consumer"/>
    <s v="Retail Store"/>
    <x v="2"/>
    <n v="5"/>
    <n v="26106.58"/>
    <n v="5"/>
    <n v="124006.26"/>
    <x v="1"/>
  </r>
  <r>
    <s v="ORD11992"/>
    <d v="2027-04-07T00:00:00"/>
    <x v="0"/>
    <x v="3"/>
    <x v="9"/>
    <x v="0"/>
    <x v="18"/>
    <s v="Corporate"/>
    <s v="Distributor"/>
    <x v="2"/>
    <n v="3"/>
    <n v="69240.03"/>
    <n v="0"/>
    <n v="207720.09"/>
    <x v="3"/>
  </r>
  <r>
    <s v="ORD11434"/>
    <d v="2027-04-08T00:00:00"/>
    <x v="1"/>
    <x v="3"/>
    <x v="1"/>
    <x v="0"/>
    <x v="6"/>
    <s v="Corporate"/>
    <s v="Distributor"/>
    <x v="1"/>
    <n v="2"/>
    <n v="53671.02"/>
    <n v="0"/>
    <n v="107342.04"/>
    <x v="1"/>
  </r>
  <r>
    <s v="ORD11452"/>
    <d v="2027-04-09T00:00:00"/>
    <x v="3"/>
    <x v="3"/>
    <x v="5"/>
    <x v="4"/>
    <x v="9"/>
    <s v="Corporate"/>
    <s v="Retail Store"/>
    <x v="4"/>
    <n v="2"/>
    <n v="52072.38"/>
    <n v="0"/>
    <n v="104144.75"/>
    <x v="3"/>
  </r>
  <r>
    <s v="ORD10172"/>
    <d v="2027-04-10T00:00:00"/>
    <x v="1"/>
    <x v="3"/>
    <x v="9"/>
    <x v="2"/>
    <x v="11"/>
    <s v="Corporate"/>
    <s v="Online"/>
    <x v="3"/>
    <n v="2"/>
    <n v="5375.23"/>
    <n v="15"/>
    <n v="9137.89"/>
    <x v="1"/>
  </r>
  <r>
    <s v="ORD11225"/>
    <d v="2027-04-11T00:00:00"/>
    <x v="1"/>
    <x v="3"/>
    <x v="6"/>
    <x v="4"/>
    <x v="5"/>
    <s v="Consumer"/>
    <s v="Retail Store"/>
    <x v="1"/>
    <n v="2"/>
    <n v="34873.980000000003"/>
    <n v="10"/>
    <n v="62773.16"/>
    <x v="0"/>
  </r>
  <r>
    <s v="ORD10867"/>
    <d v="2027-04-12T00:00:00"/>
    <x v="2"/>
    <x v="3"/>
    <x v="8"/>
    <x v="0"/>
    <x v="6"/>
    <s v="Consumer"/>
    <s v="Retail Store"/>
    <x v="1"/>
    <n v="2"/>
    <n v="47457.59"/>
    <n v="10"/>
    <n v="85423.66"/>
    <x v="1"/>
  </r>
  <r>
    <s v="ORD12418"/>
    <d v="2027-04-13T00:00:00"/>
    <x v="1"/>
    <x v="3"/>
    <x v="8"/>
    <x v="2"/>
    <x v="2"/>
    <s v="Consumer"/>
    <s v="Retail Store"/>
    <x v="4"/>
    <n v="5"/>
    <n v="7690.26"/>
    <n v="20"/>
    <n v="30761.02"/>
    <x v="3"/>
  </r>
  <r>
    <s v="ORD10874"/>
    <d v="2027-04-14T00:00:00"/>
    <x v="2"/>
    <x v="3"/>
    <x v="5"/>
    <x v="0"/>
    <x v="6"/>
    <s v="Consumer"/>
    <s v="Distributor"/>
    <x v="3"/>
    <n v="2"/>
    <n v="47106.48"/>
    <n v="5"/>
    <n v="89502.31"/>
    <x v="3"/>
  </r>
  <r>
    <s v="ORD10271"/>
    <d v="2027-04-15T00:00:00"/>
    <x v="3"/>
    <x v="3"/>
    <x v="8"/>
    <x v="2"/>
    <x v="16"/>
    <s v="Home Office"/>
    <s v="Retail Store"/>
    <x v="2"/>
    <n v="2"/>
    <n v="5094.04"/>
    <n v="0"/>
    <n v="10188.08"/>
    <x v="0"/>
  </r>
  <r>
    <s v="ORD12359"/>
    <d v="2027-04-16T00:00:00"/>
    <x v="0"/>
    <x v="3"/>
    <x v="5"/>
    <x v="4"/>
    <x v="9"/>
    <s v="Small Business"/>
    <s v="Distributor"/>
    <x v="4"/>
    <n v="1"/>
    <n v="31786.36"/>
    <n v="5"/>
    <n v="30197.040000000001"/>
    <x v="3"/>
  </r>
  <r>
    <s v="ORD11538"/>
    <d v="2027-04-17T00:00:00"/>
    <x v="1"/>
    <x v="3"/>
    <x v="5"/>
    <x v="0"/>
    <x v="6"/>
    <s v="Small Business"/>
    <s v="Distributor"/>
    <x v="0"/>
    <n v="4"/>
    <n v="62121.64"/>
    <n v="20"/>
    <n v="198789.24"/>
    <x v="1"/>
  </r>
  <r>
    <s v="ORD10945"/>
    <d v="2027-04-18T00:00:00"/>
    <x v="2"/>
    <x v="3"/>
    <x v="4"/>
    <x v="1"/>
    <x v="1"/>
    <s v="Home Office"/>
    <s v="Online"/>
    <x v="1"/>
    <n v="4"/>
    <n v="2068.4299999999998"/>
    <n v="0"/>
    <n v="8273.74"/>
    <x v="3"/>
  </r>
  <r>
    <s v="ORD10285"/>
    <d v="2027-04-19T00:00:00"/>
    <x v="1"/>
    <x v="3"/>
    <x v="0"/>
    <x v="4"/>
    <x v="5"/>
    <s v="Home Office"/>
    <s v="Online"/>
    <x v="3"/>
    <n v="4"/>
    <n v="49202.77"/>
    <n v="20"/>
    <n v="157448.85999999999"/>
    <x v="3"/>
  </r>
  <r>
    <s v="ORD11057"/>
    <d v="2027-04-20T00:00:00"/>
    <x v="4"/>
    <x v="3"/>
    <x v="5"/>
    <x v="2"/>
    <x v="16"/>
    <s v="Corporate"/>
    <s v="Distributor"/>
    <x v="1"/>
    <n v="5"/>
    <n v="7357.02"/>
    <n v="5"/>
    <n v="34945.85"/>
    <x v="3"/>
  </r>
  <r>
    <s v="ORD11888"/>
    <d v="2027-04-21T00:00:00"/>
    <x v="3"/>
    <x v="3"/>
    <x v="9"/>
    <x v="1"/>
    <x v="13"/>
    <s v="Corporate"/>
    <s v="Retail Store"/>
    <x v="3"/>
    <n v="5"/>
    <n v="2412.9699999999998"/>
    <n v="0"/>
    <n v="12064.83"/>
    <x v="1"/>
  </r>
  <r>
    <s v="ORD12013"/>
    <d v="2027-04-22T00:00:00"/>
    <x v="1"/>
    <x v="3"/>
    <x v="7"/>
    <x v="4"/>
    <x v="9"/>
    <s v="Consumer"/>
    <s v="Distributor"/>
    <x v="2"/>
    <n v="5"/>
    <n v="47788.55"/>
    <n v="5"/>
    <n v="226995.62"/>
    <x v="2"/>
  </r>
  <r>
    <s v="ORD11952"/>
    <d v="2027-04-23T00:00:00"/>
    <x v="2"/>
    <x v="3"/>
    <x v="6"/>
    <x v="0"/>
    <x v="6"/>
    <s v="Small Business"/>
    <s v="Online"/>
    <x v="3"/>
    <n v="3"/>
    <n v="61804.31"/>
    <n v="15"/>
    <n v="157600.98000000001"/>
    <x v="3"/>
  </r>
  <r>
    <s v="ORD12404"/>
    <d v="2027-04-24T00:00:00"/>
    <x v="0"/>
    <x v="3"/>
    <x v="9"/>
    <x v="3"/>
    <x v="19"/>
    <s v="Home Office"/>
    <s v="Retail Store"/>
    <x v="3"/>
    <n v="2"/>
    <n v="25545.55"/>
    <n v="5"/>
    <n v="48536.54"/>
    <x v="3"/>
  </r>
  <r>
    <s v="ORD10943"/>
    <d v="2027-04-25T00:00:00"/>
    <x v="2"/>
    <x v="3"/>
    <x v="0"/>
    <x v="4"/>
    <x v="5"/>
    <s v="Home Office"/>
    <s v="Retail Store"/>
    <x v="4"/>
    <n v="1"/>
    <n v="42743.69"/>
    <n v="20"/>
    <n v="34194.959999999999"/>
    <x v="2"/>
  </r>
  <r>
    <s v="ORD10104"/>
    <d v="2027-04-26T00:00:00"/>
    <x v="0"/>
    <x v="3"/>
    <x v="4"/>
    <x v="0"/>
    <x v="0"/>
    <s v="Home Office"/>
    <s v="Distributor"/>
    <x v="4"/>
    <n v="3"/>
    <n v="60646.76"/>
    <n v="10"/>
    <n v="163746.25"/>
    <x v="2"/>
  </r>
  <r>
    <s v="ORD10648"/>
    <d v="2027-04-27T00:00:00"/>
    <x v="0"/>
    <x v="3"/>
    <x v="6"/>
    <x v="2"/>
    <x v="16"/>
    <s v="Corporate"/>
    <s v="Online"/>
    <x v="3"/>
    <n v="1"/>
    <n v="7107.25"/>
    <n v="5"/>
    <n v="6751.89"/>
    <x v="3"/>
  </r>
  <r>
    <s v="ORD11110"/>
    <d v="2027-04-28T00:00:00"/>
    <x v="3"/>
    <x v="3"/>
    <x v="5"/>
    <x v="1"/>
    <x v="13"/>
    <s v="Small Business"/>
    <s v="Distributor"/>
    <x v="0"/>
    <n v="4"/>
    <n v="2037.46"/>
    <n v="20"/>
    <n v="6519.87"/>
    <x v="2"/>
  </r>
  <r>
    <s v="ORD11978"/>
    <d v="2027-04-29T00:00:00"/>
    <x v="0"/>
    <x v="3"/>
    <x v="6"/>
    <x v="3"/>
    <x v="19"/>
    <s v="Small Business"/>
    <s v="Online"/>
    <x v="0"/>
    <n v="2"/>
    <n v="32990.57"/>
    <n v="15"/>
    <n v="56083.97"/>
    <x v="0"/>
  </r>
  <r>
    <s v="ORD10459"/>
    <d v="2027-04-30T00:00:00"/>
    <x v="0"/>
    <x v="3"/>
    <x v="0"/>
    <x v="4"/>
    <x v="12"/>
    <s v="Small Business"/>
    <s v="Online"/>
    <x v="1"/>
    <n v="5"/>
    <n v="37002.959999999999"/>
    <n v="5"/>
    <n v="175764.05"/>
    <x v="3"/>
  </r>
  <r>
    <s v="ORD11859"/>
    <d v="2027-05-01T00:00:00"/>
    <x v="4"/>
    <x v="4"/>
    <x v="6"/>
    <x v="4"/>
    <x v="10"/>
    <s v="Consumer"/>
    <s v="Retail Store"/>
    <x v="0"/>
    <n v="1"/>
    <n v="45413.51"/>
    <n v="10"/>
    <n v="40872.160000000003"/>
    <x v="1"/>
  </r>
  <r>
    <s v="ORD11248"/>
    <d v="2027-05-02T00:00:00"/>
    <x v="3"/>
    <x v="4"/>
    <x v="0"/>
    <x v="3"/>
    <x v="15"/>
    <s v="Consumer"/>
    <s v="Retail Store"/>
    <x v="4"/>
    <n v="1"/>
    <n v="27032.95"/>
    <n v="0"/>
    <n v="27032.95"/>
    <x v="2"/>
  </r>
  <r>
    <s v="ORD11359"/>
    <d v="2027-05-03T00:00:00"/>
    <x v="4"/>
    <x v="4"/>
    <x v="0"/>
    <x v="3"/>
    <x v="19"/>
    <s v="Home Office"/>
    <s v="Distributor"/>
    <x v="2"/>
    <n v="3"/>
    <n v="32426"/>
    <n v="20"/>
    <n v="77822.399999999994"/>
    <x v="3"/>
  </r>
  <r>
    <s v="ORD12146"/>
    <d v="2027-05-04T00:00:00"/>
    <x v="2"/>
    <x v="4"/>
    <x v="0"/>
    <x v="1"/>
    <x v="4"/>
    <s v="Small Business"/>
    <s v="Online"/>
    <x v="0"/>
    <n v="3"/>
    <n v="2832.95"/>
    <n v="0"/>
    <n v="8498.84"/>
    <x v="1"/>
  </r>
  <r>
    <s v="ORD11468"/>
    <d v="2027-05-05T00:00:00"/>
    <x v="3"/>
    <x v="4"/>
    <x v="0"/>
    <x v="4"/>
    <x v="12"/>
    <s v="Consumer"/>
    <s v="Distributor"/>
    <x v="1"/>
    <n v="3"/>
    <n v="33462.69"/>
    <n v="15"/>
    <n v="85329.85"/>
    <x v="0"/>
  </r>
  <r>
    <s v="ORD12460"/>
    <d v="2027-05-06T00:00:00"/>
    <x v="3"/>
    <x v="4"/>
    <x v="5"/>
    <x v="4"/>
    <x v="12"/>
    <s v="Home Office"/>
    <s v="Retail Store"/>
    <x v="3"/>
    <n v="3"/>
    <n v="50899.85"/>
    <n v="0"/>
    <n v="152699.54"/>
    <x v="3"/>
  </r>
  <r>
    <s v="ORD10755"/>
    <d v="2027-05-07T00:00:00"/>
    <x v="0"/>
    <x v="4"/>
    <x v="2"/>
    <x v="0"/>
    <x v="0"/>
    <s v="Home Office"/>
    <s v="Retail Store"/>
    <x v="0"/>
    <n v="2"/>
    <n v="59203.27"/>
    <n v="15"/>
    <n v="100645.57"/>
    <x v="3"/>
  </r>
  <r>
    <s v="ORD10849"/>
    <d v="2027-05-08T00:00:00"/>
    <x v="4"/>
    <x v="4"/>
    <x v="3"/>
    <x v="2"/>
    <x v="17"/>
    <s v="Small Business"/>
    <s v="Retail Store"/>
    <x v="1"/>
    <n v="5"/>
    <n v="7106.71"/>
    <n v="0"/>
    <n v="35533.53"/>
    <x v="3"/>
  </r>
  <r>
    <s v="ORD10518"/>
    <d v="2027-05-09T00:00:00"/>
    <x v="4"/>
    <x v="4"/>
    <x v="5"/>
    <x v="2"/>
    <x v="17"/>
    <s v="Consumer"/>
    <s v="Online"/>
    <x v="4"/>
    <n v="1"/>
    <n v="5351.28"/>
    <n v="0"/>
    <n v="5351.28"/>
    <x v="3"/>
  </r>
  <r>
    <s v="ORD10300"/>
    <d v="2027-05-10T00:00:00"/>
    <x v="2"/>
    <x v="4"/>
    <x v="3"/>
    <x v="2"/>
    <x v="16"/>
    <s v="Consumer"/>
    <s v="Online"/>
    <x v="2"/>
    <n v="3"/>
    <n v="6683.35"/>
    <n v="15"/>
    <n v="17042.53"/>
    <x v="0"/>
  </r>
  <r>
    <s v="ORD12468"/>
    <d v="2027-05-11T00:00:00"/>
    <x v="0"/>
    <x v="4"/>
    <x v="9"/>
    <x v="1"/>
    <x v="13"/>
    <s v="Home Office"/>
    <s v="Online"/>
    <x v="1"/>
    <n v="4"/>
    <n v="2927.58"/>
    <n v="20"/>
    <n v="9368.25"/>
    <x v="2"/>
  </r>
  <r>
    <s v="ORD10447"/>
    <d v="2027-05-12T00:00:00"/>
    <x v="2"/>
    <x v="4"/>
    <x v="8"/>
    <x v="4"/>
    <x v="10"/>
    <s v="Small Business"/>
    <s v="Retail Store"/>
    <x v="1"/>
    <n v="4"/>
    <n v="31766.51"/>
    <n v="0"/>
    <n v="127066.06"/>
    <x v="0"/>
  </r>
  <r>
    <s v="ORD10013"/>
    <d v="2027-05-13T00:00:00"/>
    <x v="1"/>
    <x v="4"/>
    <x v="8"/>
    <x v="1"/>
    <x v="1"/>
    <s v="Small Business"/>
    <s v="Retail Store"/>
    <x v="4"/>
    <n v="3"/>
    <n v="1877.86"/>
    <n v="10"/>
    <n v="5070.2299999999996"/>
    <x v="0"/>
  </r>
  <r>
    <s v="ORD10195"/>
    <d v="2027-05-14T00:00:00"/>
    <x v="1"/>
    <x v="4"/>
    <x v="9"/>
    <x v="0"/>
    <x v="18"/>
    <s v="Home Office"/>
    <s v="Retail Store"/>
    <x v="3"/>
    <n v="3"/>
    <n v="66095"/>
    <n v="10"/>
    <n v="178456.5"/>
    <x v="3"/>
  </r>
  <r>
    <s v="ORD11476"/>
    <d v="2027-05-15T00:00:00"/>
    <x v="4"/>
    <x v="4"/>
    <x v="5"/>
    <x v="2"/>
    <x v="11"/>
    <s v="Corporate"/>
    <s v="Retail Store"/>
    <x v="0"/>
    <n v="2"/>
    <n v="5143.26"/>
    <n v="0"/>
    <n v="10286.52"/>
    <x v="3"/>
  </r>
  <r>
    <s v="ORD12158"/>
    <d v="2027-05-16T00:00:00"/>
    <x v="4"/>
    <x v="4"/>
    <x v="3"/>
    <x v="4"/>
    <x v="5"/>
    <s v="Small Business"/>
    <s v="Retail Store"/>
    <x v="1"/>
    <n v="1"/>
    <n v="47574.76"/>
    <n v="0"/>
    <n v="47574.76"/>
    <x v="3"/>
  </r>
  <r>
    <s v="ORD11114"/>
    <d v="2027-05-17T00:00:00"/>
    <x v="4"/>
    <x v="4"/>
    <x v="4"/>
    <x v="3"/>
    <x v="3"/>
    <s v="Home Office"/>
    <s v="Distributor"/>
    <x v="2"/>
    <n v="1"/>
    <n v="38803.94"/>
    <n v="10"/>
    <n v="34923.54"/>
    <x v="3"/>
  </r>
  <r>
    <s v="ORD11094"/>
    <d v="2027-05-18T00:00:00"/>
    <x v="2"/>
    <x v="4"/>
    <x v="8"/>
    <x v="4"/>
    <x v="5"/>
    <s v="Consumer"/>
    <s v="Retail Store"/>
    <x v="2"/>
    <n v="1"/>
    <n v="50382.27"/>
    <n v="5"/>
    <n v="47863.16"/>
    <x v="2"/>
  </r>
  <r>
    <s v="ORD11543"/>
    <d v="2027-05-19T00:00:00"/>
    <x v="2"/>
    <x v="4"/>
    <x v="6"/>
    <x v="2"/>
    <x v="2"/>
    <s v="Small Business"/>
    <s v="Retail Store"/>
    <x v="0"/>
    <n v="1"/>
    <n v="7479.76"/>
    <n v="20"/>
    <n v="5983.81"/>
    <x v="3"/>
  </r>
  <r>
    <s v="ORD11574"/>
    <d v="2027-05-20T00:00:00"/>
    <x v="2"/>
    <x v="4"/>
    <x v="6"/>
    <x v="0"/>
    <x v="18"/>
    <s v="Corporate"/>
    <s v="Online"/>
    <x v="4"/>
    <n v="3"/>
    <n v="55189.57"/>
    <n v="0"/>
    <n v="165568.70000000001"/>
    <x v="3"/>
  </r>
  <r>
    <s v="ORD10960"/>
    <d v="2027-05-21T00:00:00"/>
    <x v="1"/>
    <x v="4"/>
    <x v="7"/>
    <x v="2"/>
    <x v="17"/>
    <s v="Small Business"/>
    <s v="Retail Store"/>
    <x v="3"/>
    <n v="1"/>
    <n v="4943.99"/>
    <n v="5"/>
    <n v="4696.79"/>
    <x v="1"/>
  </r>
  <r>
    <s v="ORD12068"/>
    <d v="2027-05-22T00:00:00"/>
    <x v="2"/>
    <x v="4"/>
    <x v="9"/>
    <x v="4"/>
    <x v="12"/>
    <s v="Consumer"/>
    <s v="Online"/>
    <x v="0"/>
    <n v="4"/>
    <n v="49598.96"/>
    <n v="15"/>
    <n v="168636.47"/>
    <x v="3"/>
  </r>
  <r>
    <s v="ORD10716"/>
    <d v="2027-05-23T00:00:00"/>
    <x v="4"/>
    <x v="4"/>
    <x v="9"/>
    <x v="1"/>
    <x v="13"/>
    <s v="Corporate"/>
    <s v="Distributor"/>
    <x v="3"/>
    <n v="2"/>
    <n v="2556.04"/>
    <n v="15"/>
    <n v="4345.2700000000004"/>
    <x v="1"/>
  </r>
  <r>
    <s v="ORD12069"/>
    <d v="2027-05-24T00:00:00"/>
    <x v="0"/>
    <x v="4"/>
    <x v="9"/>
    <x v="2"/>
    <x v="11"/>
    <s v="Corporate"/>
    <s v="Online"/>
    <x v="3"/>
    <n v="3"/>
    <n v="7539.76"/>
    <n v="15"/>
    <n v="19226.38"/>
    <x v="2"/>
  </r>
  <r>
    <s v="ORD10460"/>
    <d v="2027-05-25T00:00:00"/>
    <x v="3"/>
    <x v="4"/>
    <x v="8"/>
    <x v="0"/>
    <x v="0"/>
    <s v="Corporate"/>
    <s v="Distributor"/>
    <x v="4"/>
    <n v="3"/>
    <n v="49412.13"/>
    <n v="10"/>
    <n v="133412.76"/>
    <x v="3"/>
  </r>
  <r>
    <s v="ORD12343"/>
    <d v="2027-05-26T00:00:00"/>
    <x v="2"/>
    <x v="4"/>
    <x v="9"/>
    <x v="2"/>
    <x v="11"/>
    <s v="Consumer"/>
    <s v="Distributor"/>
    <x v="0"/>
    <n v="2"/>
    <n v="6958.52"/>
    <n v="10"/>
    <n v="12525.33"/>
    <x v="0"/>
  </r>
  <r>
    <s v="ORD11969"/>
    <d v="2027-05-27T00:00:00"/>
    <x v="0"/>
    <x v="4"/>
    <x v="1"/>
    <x v="0"/>
    <x v="18"/>
    <s v="Home Office"/>
    <s v="Online"/>
    <x v="0"/>
    <n v="3"/>
    <n v="70532.23"/>
    <n v="10"/>
    <n v="190437.03"/>
    <x v="1"/>
  </r>
  <r>
    <s v="ORD12281"/>
    <d v="2027-05-28T00:00:00"/>
    <x v="3"/>
    <x v="4"/>
    <x v="2"/>
    <x v="1"/>
    <x v="13"/>
    <s v="Small Business"/>
    <s v="Retail Store"/>
    <x v="4"/>
    <n v="5"/>
    <n v="2153.29"/>
    <n v="20"/>
    <n v="8613.17"/>
    <x v="3"/>
  </r>
  <r>
    <s v="ORD10961"/>
    <d v="2027-05-29T00:00:00"/>
    <x v="2"/>
    <x v="4"/>
    <x v="5"/>
    <x v="0"/>
    <x v="8"/>
    <s v="Corporate"/>
    <s v="Distributor"/>
    <x v="1"/>
    <n v="4"/>
    <n v="67146.58"/>
    <n v="20"/>
    <n v="214869.06"/>
    <x v="1"/>
  </r>
  <r>
    <s v="ORD11841"/>
    <d v="2027-05-30T00:00:00"/>
    <x v="2"/>
    <x v="4"/>
    <x v="9"/>
    <x v="0"/>
    <x v="0"/>
    <s v="Home Office"/>
    <s v="Online"/>
    <x v="1"/>
    <n v="3"/>
    <n v="51743.78"/>
    <n v="10"/>
    <n v="139708.22"/>
    <x v="3"/>
  </r>
  <r>
    <s v="ORD10315"/>
    <d v="2027-05-31T00:00:00"/>
    <x v="2"/>
    <x v="4"/>
    <x v="3"/>
    <x v="2"/>
    <x v="17"/>
    <s v="Consumer"/>
    <s v="Distributor"/>
    <x v="2"/>
    <n v="1"/>
    <n v="7232.18"/>
    <n v="10"/>
    <n v="6508.96"/>
    <x v="3"/>
  </r>
  <r>
    <s v="ORD10802"/>
    <d v="2027-06-01T00:00:00"/>
    <x v="1"/>
    <x v="5"/>
    <x v="1"/>
    <x v="3"/>
    <x v="19"/>
    <s v="Consumer"/>
    <s v="Retail Store"/>
    <x v="1"/>
    <n v="3"/>
    <n v="29022.95"/>
    <n v="0"/>
    <n v="87068.85"/>
    <x v="3"/>
  </r>
  <r>
    <s v="ORD11423"/>
    <d v="2027-06-02T00:00:00"/>
    <x v="1"/>
    <x v="5"/>
    <x v="2"/>
    <x v="1"/>
    <x v="1"/>
    <s v="Consumer"/>
    <s v="Retail Store"/>
    <x v="3"/>
    <n v="2"/>
    <n v="2965.54"/>
    <n v="20"/>
    <n v="4744.8599999999997"/>
    <x v="1"/>
  </r>
  <r>
    <s v="ORD10331"/>
    <d v="2027-06-03T00:00:00"/>
    <x v="1"/>
    <x v="5"/>
    <x v="4"/>
    <x v="0"/>
    <x v="18"/>
    <s v="Home Office"/>
    <s v="Retail Store"/>
    <x v="3"/>
    <n v="3"/>
    <n v="47239.1"/>
    <n v="0"/>
    <n v="141717.29"/>
    <x v="0"/>
  </r>
  <r>
    <s v="ORD11961"/>
    <d v="2027-06-04T00:00:00"/>
    <x v="0"/>
    <x v="5"/>
    <x v="1"/>
    <x v="4"/>
    <x v="5"/>
    <s v="Consumer"/>
    <s v="Online"/>
    <x v="4"/>
    <n v="1"/>
    <n v="45527.8"/>
    <n v="5"/>
    <n v="43251.41"/>
    <x v="2"/>
  </r>
  <r>
    <s v="ORD10800"/>
    <d v="2027-06-05T00:00:00"/>
    <x v="1"/>
    <x v="5"/>
    <x v="8"/>
    <x v="3"/>
    <x v="15"/>
    <s v="Corporate"/>
    <s v="Distributor"/>
    <x v="2"/>
    <n v="4"/>
    <n v="33710.519999999997"/>
    <n v="10"/>
    <n v="121357.86"/>
    <x v="3"/>
  </r>
  <r>
    <s v="ORD10108"/>
    <d v="2027-06-06T00:00:00"/>
    <x v="3"/>
    <x v="5"/>
    <x v="8"/>
    <x v="4"/>
    <x v="9"/>
    <s v="Small Business"/>
    <s v="Online"/>
    <x v="2"/>
    <n v="3"/>
    <n v="40584.61"/>
    <n v="20"/>
    <n v="97403.06"/>
    <x v="3"/>
  </r>
  <r>
    <s v="ORD10982"/>
    <d v="2027-06-07T00:00:00"/>
    <x v="3"/>
    <x v="5"/>
    <x v="3"/>
    <x v="0"/>
    <x v="8"/>
    <s v="Consumer"/>
    <s v="Distributor"/>
    <x v="0"/>
    <n v="3"/>
    <n v="63621.18"/>
    <n v="5"/>
    <n v="181320.37"/>
    <x v="3"/>
  </r>
  <r>
    <s v="ORD10167"/>
    <d v="2027-06-08T00:00:00"/>
    <x v="4"/>
    <x v="5"/>
    <x v="2"/>
    <x v="3"/>
    <x v="19"/>
    <s v="Corporate"/>
    <s v="Distributor"/>
    <x v="1"/>
    <n v="4"/>
    <n v="39828.879999999997"/>
    <n v="5"/>
    <n v="151349.75"/>
    <x v="3"/>
  </r>
  <r>
    <s v="ORD11213"/>
    <d v="2027-06-09T00:00:00"/>
    <x v="4"/>
    <x v="5"/>
    <x v="5"/>
    <x v="2"/>
    <x v="11"/>
    <s v="Consumer"/>
    <s v="Distributor"/>
    <x v="3"/>
    <n v="3"/>
    <n v="7253.03"/>
    <n v="5"/>
    <n v="20671.14"/>
    <x v="3"/>
  </r>
  <r>
    <s v="ORD11676"/>
    <d v="2027-06-10T00:00:00"/>
    <x v="0"/>
    <x v="5"/>
    <x v="4"/>
    <x v="3"/>
    <x v="15"/>
    <s v="Small Business"/>
    <s v="Distributor"/>
    <x v="4"/>
    <n v="1"/>
    <n v="25917.71"/>
    <n v="20"/>
    <n v="20734.169999999998"/>
    <x v="2"/>
  </r>
  <r>
    <s v="ORD10405"/>
    <d v="2027-06-11T00:00:00"/>
    <x v="3"/>
    <x v="5"/>
    <x v="1"/>
    <x v="2"/>
    <x v="17"/>
    <s v="Small Business"/>
    <s v="Retail Store"/>
    <x v="0"/>
    <n v="4"/>
    <n v="7687.09"/>
    <n v="15"/>
    <n v="26136.12"/>
    <x v="3"/>
  </r>
  <r>
    <s v="ORD10676"/>
    <d v="2027-06-12T00:00:00"/>
    <x v="2"/>
    <x v="5"/>
    <x v="7"/>
    <x v="4"/>
    <x v="5"/>
    <s v="Home Office"/>
    <s v="Distributor"/>
    <x v="3"/>
    <n v="3"/>
    <n v="39890.239999999998"/>
    <n v="10"/>
    <n v="107703.64"/>
    <x v="1"/>
  </r>
  <r>
    <s v="ORD10641"/>
    <d v="2027-06-13T00:00:00"/>
    <x v="0"/>
    <x v="5"/>
    <x v="5"/>
    <x v="4"/>
    <x v="5"/>
    <s v="Small Business"/>
    <s v="Distributor"/>
    <x v="4"/>
    <n v="2"/>
    <n v="44142.65"/>
    <n v="10"/>
    <n v="79456.77"/>
    <x v="3"/>
  </r>
  <r>
    <s v="ORD11949"/>
    <d v="2027-06-14T00:00:00"/>
    <x v="4"/>
    <x v="5"/>
    <x v="5"/>
    <x v="4"/>
    <x v="12"/>
    <s v="Small Business"/>
    <s v="Distributor"/>
    <x v="3"/>
    <n v="4"/>
    <n v="50941.75"/>
    <n v="0"/>
    <n v="203767.01"/>
    <x v="2"/>
  </r>
  <r>
    <s v="ORD10325"/>
    <d v="2027-06-15T00:00:00"/>
    <x v="0"/>
    <x v="5"/>
    <x v="8"/>
    <x v="2"/>
    <x v="2"/>
    <s v="Home Office"/>
    <s v="Distributor"/>
    <x v="4"/>
    <n v="3"/>
    <n v="8046.78"/>
    <n v="0"/>
    <n v="24140.34"/>
    <x v="3"/>
  </r>
  <r>
    <s v="ORD12256"/>
    <d v="2027-06-16T00:00:00"/>
    <x v="1"/>
    <x v="5"/>
    <x v="6"/>
    <x v="0"/>
    <x v="6"/>
    <s v="Small Business"/>
    <s v="Online"/>
    <x v="3"/>
    <n v="4"/>
    <n v="56403.93"/>
    <n v="10"/>
    <n v="203054.16"/>
    <x v="3"/>
  </r>
  <r>
    <s v="ORD11541"/>
    <d v="2027-06-17T00:00:00"/>
    <x v="4"/>
    <x v="5"/>
    <x v="7"/>
    <x v="4"/>
    <x v="5"/>
    <s v="Consumer"/>
    <s v="Retail Store"/>
    <x v="3"/>
    <n v="3"/>
    <n v="50174.06"/>
    <n v="10"/>
    <n v="135469.97"/>
    <x v="1"/>
  </r>
  <r>
    <s v="ORD10879"/>
    <d v="2027-06-18T00:00:00"/>
    <x v="1"/>
    <x v="5"/>
    <x v="7"/>
    <x v="4"/>
    <x v="5"/>
    <s v="Consumer"/>
    <s v="Distributor"/>
    <x v="1"/>
    <n v="5"/>
    <n v="35748.21"/>
    <n v="5"/>
    <n v="169803.97"/>
    <x v="3"/>
  </r>
  <r>
    <s v="ORD11804"/>
    <d v="2027-06-19T00:00:00"/>
    <x v="4"/>
    <x v="5"/>
    <x v="0"/>
    <x v="3"/>
    <x v="7"/>
    <s v="Corporate"/>
    <s v="Online"/>
    <x v="1"/>
    <n v="1"/>
    <n v="33617.79"/>
    <n v="15"/>
    <n v="28575.119999999999"/>
    <x v="2"/>
  </r>
  <r>
    <s v="ORD10194"/>
    <d v="2027-06-20T00:00:00"/>
    <x v="1"/>
    <x v="5"/>
    <x v="0"/>
    <x v="2"/>
    <x v="11"/>
    <s v="Corporate"/>
    <s v="Distributor"/>
    <x v="0"/>
    <n v="3"/>
    <n v="7425.28"/>
    <n v="5"/>
    <n v="21162.06"/>
    <x v="3"/>
  </r>
  <r>
    <s v="ORD10149"/>
    <d v="2027-06-21T00:00:00"/>
    <x v="1"/>
    <x v="5"/>
    <x v="2"/>
    <x v="0"/>
    <x v="8"/>
    <s v="Small Business"/>
    <s v="Distributor"/>
    <x v="1"/>
    <n v="3"/>
    <n v="49041.93"/>
    <n v="5"/>
    <n v="139769.5"/>
    <x v="1"/>
  </r>
  <r>
    <s v="ORD11144"/>
    <d v="2027-06-22T00:00:00"/>
    <x v="2"/>
    <x v="5"/>
    <x v="3"/>
    <x v="4"/>
    <x v="9"/>
    <s v="Corporate"/>
    <s v="Online"/>
    <x v="0"/>
    <n v="2"/>
    <n v="44422.18"/>
    <n v="15"/>
    <n v="75517.710000000006"/>
    <x v="0"/>
  </r>
  <r>
    <s v="ORD12300"/>
    <d v="2027-06-23T00:00:00"/>
    <x v="4"/>
    <x v="5"/>
    <x v="4"/>
    <x v="3"/>
    <x v="19"/>
    <s v="Small Business"/>
    <s v="Distributor"/>
    <x v="3"/>
    <n v="5"/>
    <n v="38868.82"/>
    <n v="5"/>
    <n v="184626.88"/>
    <x v="3"/>
  </r>
  <r>
    <s v="ORD12209"/>
    <d v="2027-06-24T00:00:00"/>
    <x v="0"/>
    <x v="5"/>
    <x v="2"/>
    <x v="2"/>
    <x v="11"/>
    <s v="Home Office"/>
    <s v="Distributor"/>
    <x v="4"/>
    <n v="3"/>
    <n v="6430.58"/>
    <n v="10"/>
    <n v="17362.560000000001"/>
    <x v="0"/>
  </r>
  <r>
    <s v="ORD12247"/>
    <d v="2027-06-25T00:00:00"/>
    <x v="3"/>
    <x v="5"/>
    <x v="7"/>
    <x v="1"/>
    <x v="13"/>
    <s v="Small Business"/>
    <s v="Online"/>
    <x v="1"/>
    <n v="2"/>
    <n v="2325.7199999999998"/>
    <n v="20"/>
    <n v="3721.15"/>
    <x v="3"/>
  </r>
  <r>
    <s v="ORD12409"/>
    <d v="2027-06-26T00:00:00"/>
    <x v="1"/>
    <x v="5"/>
    <x v="9"/>
    <x v="1"/>
    <x v="13"/>
    <s v="Consumer"/>
    <s v="Retail Store"/>
    <x v="2"/>
    <n v="3"/>
    <n v="2219.2399999999998"/>
    <n v="15"/>
    <n v="5659.06"/>
    <x v="1"/>
  </r>
  <r>
    <s v="ORD11560"/>
    <d v="2027-06-27T00:00:00"/>
    <x v="2"/>
    <x v="5"/>
    <x v="9"/>
    <x v="3"/>
    <x v="19"/>
    <s v="Consumer"/>
    <s v="Retail Store"/>
    <x v="4"/>
    <n v="5"/>
    <n v="27390.97"/>
    <n v="20"/>
    <n v="109563.87"/>
    <x v="2"/>
  </r>
  <r>
    <s v="ORD10708"/>
    <d v="2027-06-28T00:00:00"/>
    <x v="4"/>
    <x v="5"/>
    <x v="9"/>
    <x v="3"/>
    <x v="3"/>
    <s v="Home Office"/>
    <s v="Distributor"/>
    <x v="1"/>
    <n v="1"/>
    <n v="26447.61"/>
    <n v="0"/>
    <n v="26447.61"/>
    <x v="3"/>
  </r>
  <r>
    <s v="ORD12394"/>
    <d v="2027-06-29T00:00:00"/>
    <x v="1"/>
    <x v="5"/>
    <x v="9"/>
    <x v="0"/>
    <x v="0"/>
    <s v="Small Business"/>
    <s v="Distributor"/>
    <x v="0"/>
    <n v="1"/>
    <n v="58235.82"/>
    <n v="15"/>
    <n v="49500.45"/>
    <x v="2"/>
  </r>
  <r>
    <s v="ORD11577"/>
    <d v="2027-06-30T00:00:00"/>
    <x v="3"/>
    <x v="5"/>
    <x v="5"/>
    <x v="3"/>
    <x v="3"/>
    <s v="Consumer"/>
    <s v="Retail Store"/>
    <x v="2"/>
    <n v="4"/>
    <n v="33303.15"/>
    <n v="10"/>
    <n v="119891.33"/>
    <x v="1"/>
  </r>
  <r>
    <s v="ORD12232"/>
    <d v="2027-07-01T00:00:00"/>
    <x v="0"/>
    <x v="6"/>
    <x v="9"/>
    <x v="4"/>
    <x v="12"/>
    <s v="Small Business"/>
    <s v="Distributor"/>
    <x v="2"/>
    <n v="3"/>
    <n v="41999.24"/>
    <n v="5"/>
    <n v="119697.84"/>
    <x v="3"/>
  </r>
  <r>
    <s v="ORD11592"/>
    <d v="2027-07-02T00:00:00"/>
    <x v="0"/>
    <x v="6"/>
    <x v="4"/>
    <x v="1"/>
    <x v="4"/>
    <s v="Home Office"/>
    <s v="Online"/>
    <x v="1"/>
    <n v="5"/>
    <n v="3116.98"/>
    <n v="15"/>
    <n v="13247.16"/>
    <x v="2"/>
  </r>
  <r>
    <s v="ORD12180"/>
    <d v="2027-07-03T00:00:00"/>
    <x v="4"/>
    <x v="6"/>
    <x v="9"/>
    <x v="4"/>
    <x v="12"/>
    <s v="Consumer"/>
    <s v="Online"/>
    <x v="4"/>
    <n v="4"/>
    <n v="36949.81"/>
    <n v="10"/>
    <n v="133019.32999999999"/>
    <x v="1"/>
  </r>
  <r>
    <s v="ORD12128"/>
    <d v="2027-07-04T00:00:00"/>
    <x v="1"/>
    <x v="6"/>
    <x v="6"/>
    <x v="0"/>
    <x v="6"/>
    <s v="Consumer"/>
    <s v="Retail Store"/>
    <x v="2"/>
    <n v="2"/>
    <n v="58669.24"/>
    <n v="15"/>
    <n v="99737.71"/>
    <x v="3"/>
  </r>
  <r>
    <s v="ORD11544"/>
    <d v="2027-07-05T00:00:00"/>
    <x v="3"/>
    <x v="6"/>
    <x v="9"/>
    <x v="4"/>
    <x v="10"/>
    <s v="Small Business"/>
    <s v="Distributor"/>
    <x v="0"/>
    <n v="2"/>
    <n v="34332.57"/>
    <n v="15"/>
    <n v="58365.37"/>
    <x v="2"/>
  </r>
  <r>
    <s v="ORD11360"/>
    <d v="2027-07-06T00:00:00"/>
    <x v="1"/>
    <x v="6"/>
    <x v="9"/>
    <x v="4"/>
    <x v="10"/>
    <s v="Consumer"/>
    <s v="Distributor"/>
    <x v="3"/>
    <n v="1"/>
    <n v="52344.07"/>
    <n v="5"/>
    <n v="49726.87"/>
    <x v="1"/>
  </r>
  <r>
    <s v="ORD11709"/>
    <d v="2027-07-07T00:00:00"/>
    <x v="2"/>
    <x v="6"/>
    <x v="4"/>
    <x v="1"/>
    <x v="14"/>
    <s v="Home Office"/>
    <s v="Distributor"/>
    <x v="3"/>
    <n v="5"/>
    <n v="2046.69"/>
    <n v="0"/>
    <n v="10233.459999999999"/>
    <x v="3"/>
  </r>
  <r>
    <s v="ORD11619"/>
    <d v="2027-07-08T00:00:00"/>
    <x v="4"/>
    <x v="6"/>
    <x v="8"/>
    <x v="1"/>
    <x v="4"/>
    <s v="Consumer"/>
    <s v="Online"/>
    <x v="1"/>
    <n v="3"/>
    <n v="2122.77"/>
    <n v="20"/>
    <n v="5094.6400000000003"/>
    <x v="3"/>
  </r>
  <r>
    <s v="ORD12380"/>
    <d v="2027-07-09T00:00:00"/>
    <x v="0"/>
    <x v="6"/>
    <x v="3"/>
    <x v="3"/>
    <x v="19"/>
    <s v="Consumer"/>
    <s v="Online"/>
    <x v="2"/>
    <n v="5"/>
    <n v="24940.61"/>
    <n v="10"/>
    <n v="112232.75"/>
    <x v="0"/>
  </r>
  <r>
    <s v="ORD10408"/>
    <d v="2027-07-10T00:00:00"/>
    <x v="2"/>
    <x v="6"/>
    <x v="5"/>
    <x v="0"/>
    <x v="8"/>
    <s v="Corporate"/>
    <s v="Online"/>
    <x v="2"/>
    <n v="5"/>
    <n v="43678.55"/>
    <n v="0"/>
    <n v="218392.73"/>
    <x v="3"/>
  </r>
  <r>
    <s v="ORD11411"/>
    <d v="2027-07-11T00:00:00"/>
    <x v="1"/>
    <x v="6"/>
    <x v="1"/>
    <x v="1"/>
    <x v="4"/>
    <s v="Small Business"/>
    <s v="Retail Store"/>
    <x v="2"/>
    <n v="3"/>
    <n v="1944.94"/>
    <n v="15"/>
    <n v="4959.59"/>
    <x v="3"/>
  </r>
  <r>
    <s v="ORD10112"/>
    <d v="2027-07-12T00:00:00"/>
    <x v="1"/>
    <x v="6"/>
    <x v="6"/>
    <x v="0"/>
    <x v="18"/>
    <s v="Small Business"/>
    <s v="Distributor"/>
    <x v="2"/>
    <n v="3"/>
    <n v="54000.13"/>
    <n v="10"/>
    <n v="145800.35"/>
    <x v="0"/>
  </r>
  <r>
    <s v="ORD11080"/>
    <d v="2027-07-13T00:00:00"/>
    <x v="3"/>
    <x v="6"/>
    <x v="0"/>
    <x v="0"/>
    <x v="18"/>
    <s v="Small Business"/>
    <s v="Retail Store"/>
    <x v="1"/>
    <n v="5"/>
    <n v="69893.3"/>
    <n v="10"/>
    <n v="314519.87"/>
    <x v="0"/>
  </r>
  <r>
    <s v="ORD11610"/>
    <d v="2027-07-14T00:00:00"/>
    <x v="3"/>
    <x v="6"/>
    <x v="2"/>
    <x v="2"/>
    <x v="16"/>
    <s v="Consumer"/>
    <s v="Distributor"/>
    <x v="1"/>
    <n v="1"/>
    <n v="6408.35"/>
    <n v="20"/>
    <n v="5126.68"/>
    <x v="3"/>
  </r>
  <r>
    <s v="ORD11587"/>
    <d v="2027-07-15T00:00:00"/>
    <x v="2"/>
    <x v="6"/>
    <x v="9"/>
    <x v="3"/>
    <x v="19"/>
    <s v="Consumer"/>
    <s v="Online"/>
    <x v="2"/>
    <n v="4"/>
    <n v="31658.959999999999"/>
    <n v="10"/>
    <n v="113972.25"/>
    <x v="2"/>
  </r>
  <r>
    <s v="ORD10662"/>
    <d v="2027-07-16T00:00:00"/>
    <x v="2"/>
    <x v="6"/>
    <x v="4"/>
    <x v="4"/>
    <x v="5"/>
    <s v="Home Office"/>
    <s v="Distributor"/>
    <x v="2"/>
    <n v="5"/>
    <n v="36643.93"/>
    <n v="15"/>
    <n v="155736.71"/>
    <x v="0"/>
  </r>
  <r>
    <s v="ORD12393"/>
    <d v="2027-07-17T00:00:00"/>
    <x v="3"/>
    <x v="6"/>
    <x v="8"/>
    <x v="2"/>
    <x v="2"/>
    <s v="Home Office"/>
    <s v="Distributor"/>
    <x v="1"/>
    <n v="2"/>
    <n v="5357.79"/>
    <n v="5"/>
    <n v="10179.790000000001"/>
    <x v="1"/>
  </r>
  <r>
    <s v="ORD10467"/>
    <d v="2027-07-18T00:00:00"/>
    <x v="3"/>
    <x v="6"/>
    <x v="4"/>
    <x v="1"/>
    <x v="4"/>
    <s v="Small Business"/>
    <s v="Retail Store"/>
    <x v="4"/>
    <n v="3"/>
    <n v="2550.56"/>
    <n v="0"/>
    <n v="7651.67"/>
    <x v="2"/>
  </r>
  <r>
    <s v="ORD12174"/>
    <d v="2027-07-19T00:00:00"/>
    <x v="2"/>
    <x v="6"/>
    <x v="1"/>
    <x v="4"/>
    <x v="5"/>
    <s v="Corporate"/>
    <s v="Distributor"/>
    <x v="0"/>
    <n v="5"/>
    <n v="50813.74"/>
    <n v="20"/>
    <n v="203254.96"/>
    <x v="1"/>
  </r>
  <r>
    <s v="ORD10250"/>
    <d v="2027-07-20T00:00:00"/>
    <x v="3"/>
    <x v="6"/>
    <x v="5"/>
    <x v="0"/>
    <x v="0"/>
    <s v="Small Business"/>
    <s v="Distributor"/>
    <x v="3"/>
    <n v="3"/>
    <n v="55407.57"/>
    <n v="0"/>
    <n v="166222.70000000001"/>
    <x v="3"/>
  </r>
  <r>
    <s v="ORD12050"/>
    <d v="2027-07-21T00:00:00"/>
    <x v="3"/>
    <x v="6"/>
    <x v="3"/>
    <x v="0"/>
    <x v="18"/>
    <s v="Home Office"/>
    <s v="Online"/>
    <x v="3"/>
    <n v="1"/>
    <n v="57387.61"/>
    <n v="0"/>
    <n v="57387.61"/>
    <x v="0"/>
  </r>
  <r>
    <s v="ORD10339"/>
    <d v="2027-07-22T00:00:00"/>
    <x v="0"/>
    <x v="6"/>
    <x v="8"/>
    <x v="4"/>
    <x v="10"/>
    <s v="Corporate"/>
    <s v="Retail Store"/>
    <x v="2"/>
    <n v="3"/>
    <n v="31874.84"/>
    <n v="15"/>
    <n v="81280.83"/>
    <x v="2"/>
  </r>
  <r>
    <s v="ORD10181"/>
    <d v="2027-07-23T00:00:00"/>
    <x v="2"/>
    <x v="6"/>
    <x v="2"/>
    <x v="4"/>
    <x v="5"/>
    <s v="Corporate"/>
    <s v="Retail Store"/>
    <x v="0"/>
    <n v="2"/>
    <n v="42930.13"/>
    <n v="10"/>
    <n v="77274.240000000005"/>
    <x v="1"/>
  </r>
  <r>
    <s v="ORD10399"/>
    <d v="2027-07-24T00:00:00"/>
    <x v="1"/>
    <x v="6"/>
    <x v="1"/>
    <x v="4"/>
    <x v="12"/>
    <s v="Corporate"/>
    <s v="Online"/>
    <x v="1"/>
    <n v="1"/>
    <n v="33707.33"/>
    <n v="0"/>
    <n v="33707.33"/>
    <x v="0"/>
  </r>
  <r>
    <s v="ORD11085"/>
    <d v="2027-07-25T00:00:00"/>
    <x v="3"/>
    <x v="6"/>
    <x v="4"/>
    <x v="3"/>
    <x v="3"/>
    <s v="Small Business"/>
    <s v="Online"/>
    <x v="3"/>
    <n v="4"/>
    <n v="35799.53"/>
    <n v="10"/>
    <n v="128878.31"/>
    <x v="3"/>
  </r>
  <r>
    <s v="ORD11607"/>
    <d v="2027-07-26T00:00:00"/>
    <x v="0"/>
    <x v="6"/>
    <x v="8"/>
    <x v="4"/>
    <x v="10"/>
    <s v="Corporate"/>
    <s v="Distributor"/>
    <x v="0"/>
    <n v="3"/>
    <n v="32097.47"/>
    <n v="5"/>
    <n v="91477.79"/>
    <x v="2"/>
  </r>
  <r>
    <s v="ORD11998"/>
    <d v="2027-07-27T00:00:00"/>
    <x v="2"/>
    <x v="6"/>
    <x v="4"/>
    <x v="2"/>
    <x v="2"/>
    <s v="Small Business"/>
    <s v="Online"/>
    <x v="2"/>
    <n v="4"/>
    <n v="7948.04"/>
    <n v="20"/>
    <n v="25433.72"/>
    <x v="2"/>
  </r>
  <r>
    <s v="ORD11408"/>
    <d v="2027-07-28T00:00:00"/>
    <x v="3"/>
    <x v="6"/>
    <x v="7"/>
    <x v="4"/>
    <x v="9"/>
    <s v="Home Office"/>
    <s v="Retail Store"/>
    <x v="3"/>
    <n v="2"/>
    <n v="36630.69"/>
    <n v="15"/>
    <n v="62272.17"/>
    <x v="3"/>
  </r>
  <r>
    <s v="ORD12358"/>
    <d v="2027-07-29T00:00:00"/>
    <x v="2"/>
    <x v="6"/>
    <x v="9"/>
    <x v="2"/>
    <x v="11"/>
    <s v="Small Business"/>
    <s v="Distributor"/>
    <x v="2"/>
    <n v="1"/>
    <n v="5274.15"/>
    <n v="15"/>
    <n v="4483.03"/>
    <x v="3"/>
  </r>
  <r>
    <s v="ORD10550"/>
    <d v="2027-07-30T00:00:00"/>
    <x v="0"/>
    <x v="6"/>
    <x v="2"/>
    <x v="3"/>
    <x v="19"/>
    <s v="Small Business"/>
    <s v="Online"/>
    <x v="1"/>
    <n v="2"/>
    <n v="36146.300000000003"/>
    <n v="0"/>
    <n v="72292.600000000006"/>
    <x v="1"/>
  </r>
  <r>
    <s v="ORD10175"/>
    <d v="2027-07-31T00:00:00"/>
    <x v="3"/>
    <x v="6"/>
    <x v="3"/>
    <x v="2"/>
    <x v="16"/>
    <s v="Consumer"/>
    <s v="Retail Store"/>
    <x v="3"/>
    <n v="1"/>
    <n v="7299.16"/>
    <n v="20"/>
    <n v="5839.33"/>
    <x v="3"/>
  </r>
  <r>
    <s v="ORD10297"/>
    <d v="2027-08-01T00:00:00"/>
    <x v="2"/>
    <x v="7"/>
    <x v="4"/>
    <x v="2"/>
    <x v="11"/>
    <s v="Small Business"/>
    <s v="Distributor"/>
    <x v="1"/>
    <n v="3"/>
    <n v="5814.7"/>
    <n v="10"/>
    <n v="15699.68"/>
    <x v="0"/>
  </r>
  <r>
    <s v="ORD10991"/>
    <d v="2027-08-02T00:00:00"/>
    <x v="2"/>
    <x v="7"/>
    <x v="9"/>
    <x v="4"/>
    <x v="9"/>
    <s v="Corporate"/>
    <s v="Retail Store"/>
    <x v="2"/>
    <n v="5"/>
    <n v="48478.59"/>
    <n v="15"/>
    <n v="206034.01"/>
    <x v="3"/>
  </r>
  <r>
    <s v="ORD12075"/>
    <d v="2027-08-03T00:00:00"/>
    <x v="2"/>
    <x v="7"/>
    <x v="2"/>
    <x v="1"/>
    <x v="13"/>
    <s v="Small Business"/>
    <s v="Retail Store"/>
    <x v="2"/>
    <n v="4"/>
    <n v="2032.22"/>
    <n v="0"/>
    <n v="8128.9"/>
    <x v="0"/>
  </r>
  <r>
    <s v="ORD10060"/>
    <d v="2027-08-04T00:00:00"/>
    <x v="2"/>
    <x v="7"/>
    <x v="5"/>
    <x v="2"/>
    <x v="17"/>
    <s v="Consumer"/>
    <s v="Distributor"/>
    <x v="1"/>
    <n v="4"/>
    <n v="6086.99"/>
    <n v="20"/>
    <n v="19478.38"/>
    <x v="3"/>
  </r>
  <r>
    <s v="ORD11741"/>
    <d v="2027-08-05T00:00:00"/>
    <x v="2"/>
    <x v="7"/>
    <x v="0"/>
    <x v="2"/>
    <x v="16"/>
    <s v="Corporate"/>
    <s v="Retail Store"/>
    <x v="1"/>
    <n v="2"/>
    <n v="6119.13"/>
    <n v="5"/>
    <n v="11626.34"/>
    <x v="3"/>
  </r>
  <r>
    <s v="ORD11778"/>
    <d v="2027-08-06T00:00:00"/>
    <x v="0"/>
    <x v="7"/>
    <x v="1"/>
    <x v="1"/>
    <x v="13"/>
    <s v="Small Business"/>
    <s v="Retail Store"/>
    <x v="2"/>
    <n v="2"/>
    <n v="2186.4299999999998"/>
    <n v="10"/>
    <n v="3935.58"/>
    <x v="3"/>
  </r>
  <r>
    <s v="ORD10311"/>
    <d v="2027-08-07T00:00:00"/>
    <x v="1"/>
    <x v="7"/>
    <x v="8"/>
    <x v="1"/>
    <x v="14"/>
    <s v="Small Business"/>
    <s v="Retail Store"/>
    <x v="3"/>
    <n v="3"/>
    <n v="2048.29"/>
    <n v="5"/>
    <n v="5837.63"/>
    <x v="2"/>
  </r>
  <r>
    <s v="ORD11502"/>
    <d v="2027-08-08T00:00:00"/>
    <x v="1"/>
    <x v="7"/>
    <x v="0"/>
    <x v="0"/>
    <x v="18"/>
    <s v="Small Business"/>
    <s v="Online"/>
    <x v="0"/>
    <n v="3"/>
    <n v="60955.72"/>
    <n v="5"/>
    <n v="173723.79"/>
    <x v="3"/>
  </r>
  <r>
    <s v="ORD10326"/>
    <d v="2027-08-09T00:00:00"/>
    <x v="0"/>
    <x v="7"/>
    <x v="3"/>
    <x v="4"/>
    <x v="9"/>
    <s v="Corporate"/>
    <s v="Online"/>
    <x v="2"/>
    <n v="2"/>
    <n v="34337.769999999997"/>
    <n v="20"/>
    <n v="54940.43"/>
    <x v="0"/>
  </r>
  <r>
    <s v="ORD11655"/>
    <d v="2027-08-10T00:00:00"/>
    <x v="3"/>
    <x v="7"/>
    <x v="2"/>
    <x v="0"/>
    <x v="0"/>
    <s v="Home Office"/>
    <s v="Retail Store"/>
    <x v="1"/>
    <n v="3"/>
    <n v="70763.360000000001"/>
    <n v="0"/>
    <n v="212290.08"/>
    <x v="2"/>
  </r>
  <r>
    <s v="ORD12464"/>
    <d v="2027-08-11T00:00:00"/>
    <x v="1"/>
    <x v="7"/>
    <x v="3"/>
    <x v="1"/>
    <x v="4"/>
    <s v="Small Business"/>
    <s v="Online"/>
    <x v="4"/>
    <n v="2"/>
    <n v="1924.63"/>
    <n v="5"/>
    <n v="3656.8"/>
    <x v="2"/>
  </r>
  <r>
    <s v="ORD11293"/>
    <d v="2027-08-12T00:00:00"/>
    <x v="1"/>
    <x v="7"/>
    <x v="3"/>
    <x v="3"/>
    <x v="7"/>
    <s v="Consumer"/>
    <s v="Retail Store"/>
    <x v="2"/>
    <n v="1"/>
    <n v="28811.11"/>
    <n v="5"/>
    <n v="27370.55"/>
    <x v="3"/>
  </r>
  <r>
    <s v="ORD11869"/>
    <d v="2027-08-13T00:00:00"/>
    <x v="2"/>
    <x v="7"/>
    <x v="2"/>
    <x v="0"/>
    <x v="0"/>
    <s v="Home Office"/>
    <s v="Distributor"/>
    <x v="0"/>
    <n v="4"/>
    <n v="49548.75"/>
    <n v="10"/>
    <n v="178375.51"/>
    <x v="3"/>
  </r>
  <r>
    <s v="ORD10535"/>
    <d v="2027-08-14T00:00:00"/>
    <x v="0"/>
    <x v="7"/>
    <x v="8"/>
    <x v="4"/>
    <x v="9"/>
    <s v="Small Business"/>
    <s v="Online"/>
    <x v="3"/>
    <n v="2"/>
    <n v="32605.51"/>
    <n v="10"/>
    <n v="58689.93"/>
    <x v="3"/>
  </r>
  <r>
    <s v="ORD10858"/>
    <d v="2027-08-15T00:00:00"/>
    <x v="2"/>
    <x v="7"/>
    <x v="4"/>
    <x v="1"/>
    <x v="4"/>
    <s v="Consumer"/>
    <s v="Distributor"/>
    <x v="3"/>
    <n v="5"/>
    <n v="2993.41"/>
    <n v="10"/>
    <n v="13470.37"/>
    <x v="2"/>
  </r>
  <r>
    <s v="ORD11148"/>
    <d v="2027-08-16T00:00:00"/>
    <x v="1"/>
    <x v="7"/>
    <x v="0"/>
    <x v="2"/>
    <x v="11"/>
    <s v="Small Business"/>
    <s v="Distributor"/>
    <x v="4"/>
    <n v="2"/>
    <n v="7761.08"/>
    <n v="10"/>
    <n v="13969.94"/>
    <x v="3"/>
  </r>
  <r>
    <s v="ORD11451"/>
    <d v="2027-08-17T00:00:00"/>
    <x v="3"/>
    <x v="7"/>
    <x v="9"/>
    <x v="0"/>
    <x v="8"/>
    <s v="Home Office"/>
    <s v="Online"/>
    <x v="2"/>
    <n v="4"/>
    <n v="59511.26"/>
    <n v="5"/>
    <n v="226142.78"/>
    <x v="3"/>
  </r>
  <r>
    <s v="ORD12289"/>
    <d v="2027-08-18T00:00:00"/>
    <x v="2"/>
    <x v="7"/>
    <x v="1"/>
    <x v="3"/>
    <x v="7"/>
    <s v="Consumer"/>
    <s v="Retail Store"/>
    <x v="2"/>
    <n v="1"/>
    <n v="29279.78"/>
    <n v="20"/>
    <n v="23423.82"/>
    <x v="0"/>
  </r>
  <r>
    <s v="ORD11413"/>
    <d v="2027-08-19T00:00:00"/>
    <x v="0"/>
    <x v="7"/>
    <x v="1"/>
    <x v="4"/>
    <x v="9"/>
    <s v="Home Office"/>
    <s v="Distributor"/>
    <x v="4"/>
    <n v="3"/>
    <n v="31661.39"/>
    <n v="10"/>
    <n v="85485.77"/>
    <x v="0"/>
  </r>
  <r>
    <s v="ORD10024"/>
    <d v="2027-08-20T00:00:00"/>
    <x v="1"/>
    <x v="7"/>
    <x v="2"/>
    <x v="2"/>
    <x v="2"/>
    <s v="Small Business"/>
    <s v="Retail Store"/>
    <x v="0"/>
    <n v="4"/>
    <n v="7575.31"/>
    <n v="10"/>
    <n v="27271.11"/>
    <x v="1"/>
  </r>
  <r>
    <s v="ORD12481"/>
    <d v="2027-08-21T00:00:00"/>
    <x v="0"/>
    <x v="7"/>
    <x v="5"/>
    <x v="0"/>
    <x v="8"/>
    <s v="Corporate"/>
    <s v="Distributor"/>
    <x v="0"/>
    <n v="1"/>
    <n v="48249.33"/>
    <n v="10"/>
    <n v="43424.4"/>
    <x v="3"/>
  </r>
  <r>
    <s v="ORD11241"/>
    <d v="2027-08-22T00:00:00"/>
    <x v="4"/>
    <x v="7"/>
    <x v="9"/>
    <x v="2"/>
    <x v="11"/>
    <s v="Corporate"/>
    <s v="Retail Store"/>
    <x v="1"/>
    <n v="1"/>
    <n v="6884.99"/>
    <n v="10"/>
    <n v="6196.49"/>
    <x v="3"/>
  </r>
  <r>
    <s v="ORD10562"/>
    <d v="2027-08-23T00:00:00"/>
    <x v="0"/>
    <x v="7"/>
    <x v="2"/>
    <x v="0"/>
    <x v="6"/>
    <s v="Small Business"/>
    <s v="Online"/>
    <x v="2"/>
    <n v="1"/>
    <n v="65316.49"/>
    <n v="15"/>
    <n v="55519.01"/>
    <x v="3"/>
  </r>
  <r>
    <s v="ORD10682"/>
    <d v="2027-08-24T00:00:00"/>
    <x v="1"/>
    <x v="7"/>
    <x v="0"/>
    <x v="4"/>
    <x v="5"/>
    <s v="Consumer"/>
    <s v="Retail Store"/>
    <x v="0"/>
    <n v="2"/>
    <n v="33097.370000000003"/>
    <n v="0"/>
    <n v="66194.75"/>
    <x v="0"/>
  </r>
  <r>
    <s v="ORD10200"/>
    <d v="2027-08-25T00:00:00"/>
    <x v="3"/>
    <x v="7"/>
    <x v="8"/>
    <x v="4"/>
    <x v="10"/>
    <s v="Corporate"/>
    <s v="Online"/>
    <x v="1"/>
    <n v="4"/>
    <n v="48004.13"/>
    <n v="0"/>
    <n v="192016.53"/>
    <x v="3"/>
  </r>
  <r>
    <s v="ORD10314"/>
    <d v="2027-08-26T00:00:00"/>
    <x v="0"/>
    <x v="7"/>
    <x v="2"/>
    <x v="3"/>
    <x v="15"/>
    <s v="Home Office"/>
    <s v="Online"/>
    <x v="0"/>
    <n v="3"/>
    <n v="37026.75"/>
    <n v="10"/>
    <n v="99972.22"/>
    <x v="2"/>
  </r>
  <r>
    <s v="ORD10902"/>
    <d v="2027-08-27T00:00:00"/>
    <x v="2"/>
    <x v="7"/>
    <x v="2"/>
    <x v="0"/>
    <x v="18"/>
    <s v="Small Business"/>
    <s v="Online"/>
    <x v="3"/>
    <n v="5"/>
    <n v="68735.27"/>
    <n v="5"/>
    <n v="326492.55"/>
    <x v="0"/>
  </r>
  <r>
    <s v="ORD12041"/>
    <d v="2027-08-28T00:00:00"/>
    <x v="0"/>
    <x v="7"/>
    <x v="0"/>
    <x v="2"/>
    <x v="17"/>
    <s v="Home Office"/>
    <s v="Online"/>
    <x v="3"/>
    <n v="1"/>
    <n v="5669.07"/>
    <n v="0"/>
    <n v="5669.07"/>
    <x v="3"/>
  </r>
  <r>
    <s v="ORD10533"/>
    <d v="2027-08-29T00:00:00"/>
    <x v="4"/>
    <x v="7"/>
    <x v="6"/>
    <x v="2"/>
    <x v="2"/>
    <s v="Corporate"/>
    <s v="Distributor"/>
    <x v="4"/>
    <n v="1"/>
    <n v="7820.94"/>
    <n v="15"/>
    <n v="6647.8"/>
    <x v="3"/>
  </r>
  <r>
    <s v="ORD12491"/>
    <d v="2027-08-30T00:00:00"/>
    <x v="1"/>
    <x v="7"/>
    <x v="0"/>
    <x v="3"/>
    <x v="7"/>
    <s v="Home Office"/>
    <s v="Online"/>
    <x v="3"/>
    <n v="3"/>
    <n v="39661.78"/>
    <n v="15"/>
    <n v="101137.54"/>
    <x v="1"/>
  </r>
  <r>
    <s v="ORD10249"/>
    <d v="2027-08-31T00:00:00"/>
    <x v="3"/>
    <x v="7"/>
    <x v="0"/>
    <x v="0"/>
    <x v="6"/>
    <s v="Corporate"/>
    <s v="Online"/>
    <x v="2"/>
    <n v="2"/>
    <n v="55183.39"/>
    <n v="0"/>
    <n v="110366.77"/>
    <x v="0"/>
  </r>
  <r>
    <s v="ORD12007"/>
    <d v="2027-09-01T00:00:00"/>
    <x v="1"/>
    <x v="8"/>
    <x v="2"/>
    <x v="3"/>
    <x v="7"/>
    <s v="Consumer"/>
    <s v="Retail Store"/>
    <x v="2"/>
    <n v="4"/>
    <n v="29559.96"/>
    <n v="15"/>
    <n v="100503.85"/>
    <x v="0"/>
  </r>
  <r>
    <s v="ORD11308"/>
    <d v="2027-09-02T00:00:00"/>
    <x v="3"/>
    <x v="8"/>
    <x v="6"/>
    <x v="1"/>
    <x v="1"/>
    <s v="Small Business"/>
    <s v="Online"/>
    <x v="3"/>
    <n v="1"/>
    <n v="1999.69"/>
    <n v="15"/>
    <n v="1699.74"/>
    <x v="3"/>
  </r>
  <r>
    <s v="ORD12384"/>
    <d v="2027-09-03T00:00:00"/>
    <x v="0"/>
    <x v="8"/>
    <x v="4"/>
    <x v="4"/>
    <x v="10"/>
    <s v="Consumer"/>
    <s v="Retail Store"/>
    <x v="0"/>
    <n v="3"/>
    <n v="38465.57"/>
    <n v="10"/>
    <n v="103857.05"/>
    <x v="3"/>
  </r>
  <r>
    <s v="ORD11058"/>
    <d v="2027-09-04T00:00:00"/>
    <x v="0"/>
    <x v="8"/>
    <x v="8"/>
    <x v="2"/>
    <x v="16"/>
    <s v="Consumer"/>
    <s v="Online"/>
    <x v="4"/>
    <n v="2"/>
    <n v="8045.04"/>
    <n v="0"/>
    <n v="16090.08"/>
    <x v="3"/>
  </r>
  <r>
    <s v="ORD10094"/>
    <d v="2027-09-05T00:00:00"/>
    <x v="0"/>
    <x v="8"/>
    <x v="7"/>
    <x v="4"/>
    <x v="9"/>
    <s v="Consumer"/>
    <s v="Online"/>
    <x v="2"/>
    <n v="1"/>
    <n v="32314.77"/>
    <n v="0"/>
    <n v="32314.77"/>
    <x v="2"/>
  </r>
  <r>
    <s v="ORD12389"/>
    <d v="2027-09-06T00:00:00"/>
    <x v="0"/>
    <x v="8"/>
    <x v="9"/>
    <x v="1"/>
    <x v="4"/>
    <s v="Corporate"/>
    <s v="Distributor"/>
    <x v="3"/>
    <n v="3"/>
    <n v="2713.18"/>
    <n v="15"/>
    <n v="6918.62"/>
    <x v="2"/>
  </r>
  <r>
    <s v="ORD11482"/>
    <d v="2027-09-07T00:00:00"/>
    <x v="1"/>
    <x v="8"/>
    <x v="4"/>
    <x v="3"/>
    <x v="15"/>
    <s v="Small Business"/>
    <s v="Distributor"/>
    <x v="1"/>
    <n v="5"/>
    <n v="37127.85"/>
    <n v="15"/>
    <n v="157793.37"/>
    <x v="2"/>
  </r>
  <r>
    <s v="ORD10871"/>
    <d v="2027-09-08T00:00:00"/>
    <x v="2"/>
    <x v="8"/>
    <x v="0"/>
    <x v="2"/>
    <x v="17"/>
    <s v="Small Business"/>
    <s v="Distributor"/>
    <x v="4"/>
    <n v="4"/>
    <n v="5571.35"/>
    <n v="0"/>
    <n v="22285.41"/>
    <x v="2"/>
  </r>
  <r>
    <s v="ORD11710"/>
    <d v="2027-09-09T00:00:00"/>
    <x v="4"/>
    <x v="8"/>
    <x v="0"/>
    <x v="3"/>
    <x v="19"/>
    <s v="Consumer"/>
    <s v="Distributor"/>
    <x v="1"/>
    <n v="4"/>
    <n v="30341.88"/>
    <n v="15"/>
    <n v="103162.39"/>
    <x v="2"/>
  </r>
  <r>
    <s v="ORD11616"/>
    <d v="2027-09-10T00:00:00"/>
    <x v="4"/>
    <x v="8"/>
    <x v="0"/>
    <x v="0"/>
    <x v="18"/>
    <s v="Small Business"/>
    <s v="Distributor"/>
    <x v="3"/>
    <n v="2"/>
    <n v="53035.87"/>
    <n v="0"/>
    <n v="106071.74"/>
    <x v="2"/>
  </r>
  <r>
    <s v="ORD10472"/>
    <d v="2027-09-11T00:00:00"/>
    <x v="3"/>
    <x v="8"/>
    <x v="0"/>
    <x v="4"/>
    <x v="10"/>
    <s v="Small Business"/>
    <s v="Retail Store"/>
    <x v="4"/>
    <n v="4"/>
    <n v="50015.97"/>
    <n v="10"/>
    <n v="180057.5"/>
    <x v="0"/>
  </r>
  <r>
    <s v="ORD10671"/>
    <d v="2027-09-12T00:00:00"/>
    <x v="0"/>
    <x v="8"/>
    <x v="4"/>
    <x v="2"/>
    <x v="11"/>
    <s v="Consumer"/>
    <s v="Distributor"/>
    <x v="0"/>
    <n v="1"/>
    <n v="6529.61"/>
    <n v="0"/>
    <n v="6529.61"/>
    <x v="2"/>
  </r>
  <r>
    <s v="ORD10935"/>
    <d v="2027-09-13T00:00:00"/>
    <x v="1"/>
    <x v="8"/>
    <x v="2"/>
    <x v="0"/>
    <x v="0"/>
    <s v="Small Business"/>
    <s v="Distributor"/>
    <x v="1"/>
    <n v="1"/>
    <n v="59592.12"/>
    <n v="5"/>
    <n v="56612.52"/>
    <x v="2"/>
  </r>
  <r>
    <s v="ORD12100"/>
    <d v="2027-09-14T00:00:00"/>
    <x v="0"/>
    <x v="8"/>
    <x v="8"/>
    <x v="0"/>
    <x v="18"/>
    <s v="Consumer"/>
    <s v="Distributor"/>
    <x v="0"/>
    <n v="1"/>
    <n v="53136.33"/>
    <n v="5"/>
    <n v="50479.51"/>
    <x v="3"/>
  </r>
  <r>
    <s v="ORD12266"/>
    <d v="2027-09-15T00:00:00"/>
    <x v="1"/>
    <x v="8"/>
    <x v="1"/>
    <x v="0"/>
    <x v="18"/>
    <s v="Home Office"/>
    <s v="Distributor"/>
    <x v="1"/>
    <n v="3"/>
    <n v="72283.25"/>
    <n v="10"/>
    <n v="195164.78"/>
    <x v="3"/>
  </r>
  <r>
    <s v="ORD12089"/>
    <d v="2027-09-16T00:00:00"/>
    <x v="1"/>
    <x v="8"/>
    <x v="3"/>
    <x v="0"/>
    <x v="6"/>
    <s v="Home Office"/>
    <s v="Retail Store"/>
    <x v="4"/>
    <n v="4"/>
    <n v="61842.18"/>
    <n v="0"/>
    <n v="247368.71"/>
    <x v="3"/>
  </r>
  <r>
    <s v="ORD10208"/>
    <d v="2027-09-17T00:00:00"/>
    <x v="4"/>
    <x v="8"/>
    <x v="0"/>
    <x v="0"/>
    <x v="8"/>
    <s v="Home Office"/>
    <s v="Distributor"/>
    <x v="3"/>
    <n v="5"/>
    <n v="45946.15"/>
    <n v="0"/>
    <n v="229730.76"/>
    <x v="3"/>
  </r>
  <r>
    <s v="ORD10500"/>
    <d v="2027-09-18T00:00:00"/>
    <x v="4"/>
    <x v="8"/>
    <x v="2"/>
    <x v="4"/>
    <x v="10"/>
    <s v="Corporate"/>
    <s v="Retail Store"/>
    <x v="2"/>
    <n v="5"/>
    <n v="45585.760000000002"/>
    <n v="0"/>
    <n v="227928.78"/>
    <x v="1"/>
  </r>
  <r>
    <s v="ORD10796"/>
    <d v="2027-09-19T00:00:00"/>
    <x v="0"/>
    <x v="8"/>
    <x v="6"/>
    <x v="0"/>
    <x v="6"/>
    <s v="Home Office"/>
    <s v="Online"/>
    <x v="0"/>
    <n v="4"/>
    <n v="52406.49"/>
    <n v="0"/>
    <n v="209625.96"/>
    <x v="3"/>
  </r>
  <r>
    <s v="ORD10936"/>
    <d v="2027-09-20T00:00:00"/>
    <x v="1"/>
    <x v="8"/>
    <x v="0"/>
    <x v="3"/>
    <x v="19"/>
    <s v="Home Office"/>
    <s v="Retail Store"/>
    <x v="3"/>
    <n v="1"/>
    <n v="39022.620000000003"/>
    <n v="0"/>
    <n v="39022.620000000003"/>
    <x v="3"/>
  </r>
  <r>
    <s v="ORD12276"/>
    <d v="2027-09-21T00:00:00"/>
    <x v="0"/>
    <x v="8"/>
    <x v="0"/>
    <x v="3"/>
    <x v="19"/>
    <s v="Corporate"/>
    <s v="Online"/>
    <x v="2"/>
    <n v="5"/>
    <n v="36560.15"/>
    <n v="5"/>
    <n v="173660.69"/>
    <x v="3"/>
  </r>
  <r>
    <s v="ORD11358"/>
    <d v="2027-09-22T00:00:00"/>
    <x v="3"/>
    <x v="8"/>
    <x v="1"/>
    <x v="2"/>
    <x v="16"/>
    <s v="Home Office"/>
    <s v="Retail Store"/>
    <x v="3"/>
    <n v="3"/>
    <n v="6890.22"/>
    <n v="15"/>
    <n v="17570.060000000001"/>
    <x v="3"/>
  </r>
  <r>
    <s v="ORD10470"/>
    <d v="2027-09-23T00:00:00"/>
    <x v="4"/>
    <x v="8"/>
    <x v="9"/>
    <x v="1"/>
    <x v="14"/>
    <s v="Corporate"/>
    <s v="Retail Store"/>
    <x v="0"/>
    <n v="3"/>
    <n v="2240.11"/>
    <n v="0"/>
    <n v="6720.33"/>
    <x v="3"/>
  </r>
  <r>
    <s v="ORD11072"/>
    <d v="2027-09-24T00:00:00"/>
    <x v="3"/>
    <x v="8"/>
    <x v="6"/>
    <x v="1"/>
    <x v="4"/>
    <s v="Small Business"/>
    <s v="Distributor"/>
    <x v="2"/>
    <n v="1"/>
    <n v="2028.12"/>
    <n v="10"/>
    <n v="1825.31"/>
    <x v="3"/>
  </r>
  <r>
    <s v="ORD10337"/>
    <d v="2027-09-25T00:00:00"/>
    <x v="2"/>
    <x v="8"/>
    <x v="5"/>
    <x v="2"/>
    <x v="11"/>
    <s v="Corporate"/>
    <s v="Online"/>
    <x v="0"/>
    <n v="1"/>
    <n v="6355.2"/>
    <n v="15"/>
    <n v="5401.92"/>
    <x v="1"/>
  </r>
  <r>
    <s v="ORD11035"/>
    <d v="2027-09-26T00:00:00"/>
    <x v="4"/>
    <x v="8"/>
    <x v="0"/>
    <x v="4"/>
    <x v="9"/>
    <s v="Home Office"/>
    <s v="Distributor"/>
    <x v="2"/>
    <n v="3"/>
    <n v="32809.25"/>
    <n v="10"/>
    <n v="88584.97"/>
    <x v="3"/>
  </r>
  <r>
    <s v="ORD10784"/>
    <d v="2027-09-27T00:00:00"/>
    <x v="2"/>
    <x v="8"/>
    <x v="8"/>
    <x v="2"/>
    <x v="16"/>
    <s v="Home Office"/>
    <s v="Retail Store"/>
    <x v="3"/>
    <n v="4"/>
    <n v="6205.86"/>
    <n v="20"/>
    <n v="19858.75"/>
    <x v="0"/>
  </r>
  <r>
    <s v="ORD10970"/>
    <d v="2027-09-28T00:00:00"/>
    <x v="3"/>
    <x v="8"/>
    <x v="4"/>
    <x v="4"/>
    <x v="12"/>
    <s v="Small Business"/>
    <s v="Retail Store"/>
    <x v="4"/>
    <n v="4"/>
    <n v="34449.68"/>
    <n v="0"/>
    <n v="137798.71"/>
    <x v="3"/>
  </r>
  <r>
    <s v="ORD10551"/>
    <d v="2027-09-29T00:00:00"/>
    <x v="0"/>
    <x v="8"/>
    <x v="5"/>
    <x v="0"/>
    <x v="8"/>
    <s v="Small Business"/>
    <s v="Distributor"/>
    <x v="1"/>
    <n v="4"/>
    <n v="54903.94"/>
    <n v="0"/>
    <n v="219615.76"/>
    <x v="2"/>
  </r>
  <r>
    <s v="ORD10514"/>
    <d v="2027-09-30T00:00:00"/>
    <x v="2"/>
    <x v="8"/>
    <x v="0"/>
    <x v="1"/>
    <x v="14"/>
    <s v="Home Office"/>
    <s v="Online"/>
    <x v="1"/>
    <n v="1"/>
    <n v="2725.8"/>
    <n v="10"/>
    <n v="2453.2199999999998"/>
    <x v="2"/>
  </r>
  <r>
    <s v="ORD10106"/>
    <d v="2027-10-01T00:00:00"/>
    <x v="2"/>
    <x v="9"/>
    <x v="2"/>
    <x v="0"/>
    <x v="18"/>
    <s v="Home Office"/>
    <s v="Distributor"/>
    <x v="0"/>
    <n v="1"/>
    <n v="61579.89"/>
    <n v="5"/>
    <n v="58500.9"/>
    <x v="2"/>
  </r>
  <r>
    <s v="ORD10814"/>
    <d v="2027-10-02T00:00:00"/>
    <x v="3"/>
    <x v="9"/>
    <x v="9"/>
    <x v="4"/>
    <x v="10"/>
    <s v="Home Office"/>
    <s v="Retail Store"/>
    <x v="0"/>
    <n v="3"/>
    <n v="34085.040000000001"/>
    <n v="15"/>
    <n v="86916.86"/>
    <x v="0"/>
  </r>
  <r>
    <s v="ORD11866"/>
    <d v="2027-10-03T00:00:00"/>
    <x v="2"/>
    <x v="9"/>
    <x v="1"/>
    <x v="3"/>
    <x v="7"/>
    <s v="Consumer"/>
    <s v="Retail Store"/>
    <x v="2"/>
    <n v="4"/>
    <n v="25751.77"/>
    <n v="15"/>
    <n v="87556.03"/>
    <x v="3"/>
  </r>
  <r>
    <s v="ORD10742"/>
    <d v="2027-10-04T00:00:00"/>
    <x v="0"/>
    <x v="9"/>
    <x v="4"/>
    <x v="0"/>
    <x v="6"/>
    <s v="Consumer"/>
    <s v="Online"/>
    <x v="0"/>
    <n v="3"/>
    <n v="55011.13"/>
    <n v="10"/>
    <n v="148530.06"/>
    <x v="1"/>
  </r>
  <r>
    <s v="ORD11566"/>
    <d v="2027-10-05T00:00:00"/>
    <x v="4"/>
    <x v="9"/>
    <x v="5"/>
    <x v="2"/>
    <x v="17"/>
    <s v="Consumer"/>
    <s v="Online"/>
    <x v="4"/>
    <n v="2"/>
    <n v="5155.17"/>
    <n v="20"/>
    <n v="8248.2800000000007"/>
    <x v="3"/>
  </r>
  <r>
    <s v="ORD12424"/>
    <d v="2027-10-06T00:00:00"/>
    <x v="4"/>
    <x v="9"/>
    <x v="7"/>
    <x v="0"/>
    <x v="0"/>
    <s v="Consumer"/>
    <s v="Online"/>
    <x v="2"/>
    <n v="2"/>
    <n v="46225.49"/>
    <n v="10"/>
    <n v="83205.89"/>
    <x v="2"/>
  </r>
  <r>
    <s v="ORD11418"/>
    <d v="2027-10-07T00:00:00"/>
    <x v="2"/>
    <x v="9"/>
    <x v="3"/>
    <x v="2"/>
    <x v="11"/>
    <s v="Corporate"/>
    <s v="Distributor"/>
    <x v="0"/>
    <n v="4"/>
    <n v="5749.87"/>
    <n v="5"/>
    <n v="21849.49"/>
    <x v="3"/>
  </r>
  <r>
    <s v="ORD10903"/>
    <d v="2027-10-08T00:00:00"/>
    <x v="0"/>
    <x v="9"/>
    <x v="1"/>
    <x v="4"/>
    <x v="12"/>
    <s v="Consumer"/>
    <s v="Retail Store"/>
    <x v="4"/>
    <n v="3"/>
    <n v="40571.56"/>
    <n v="10"/>
    <n v="109543.2"/>
    <x v="3"/>
  </r>
  <r>
    <s v="ORD11214"/>
    <d v="2027-10-09T00:00:00"/>
    <x v="0"/>
    <x v="9"/>
    <x v="9"/>
    <x v="3"/>
    <x v="15"/>
    <s v="Consumer"/>
    <s v="Online"/>
    <x v="2"/>
    <n v="4"/>
    <n v="28045.95"/>
    <n v="10"/>
    <n v="100965.41"/>
    <x v="3"/>
  </r>
  <r>
    <s v="ORD10251"/>
    <d v="2027-10-10T00:00:00"/>
    <x v="2"/>
    <x v="9"/>
    <x v="3"/>
    <x v="2"/>
    <x v="11"/>
    <s v="Small Business"/>
    <s v="Retail Store"/>
    <x v="3"/>
    <n v="2"/>
    <n v="6229.72"/>
    <n v="10"/>
    <n v="11213.49"/>
    <x v="3"/>
  </r>
  <r>
    <s v="ORD11050"/>
    <d v="2027-10-11T00:00:00"/>
    <x v="4"/>
    <x v="9"/>
    <x v="3"/>
    <x v="2"/>
    <x v="11"/>
    <s v="Small Business"/>
    <s v="Distributor"/>
    <x v="3"/>
    <n v="1"/>
    <n v="6044.62"/>
    <n v="5"/>
    <n v="5742.39"/>
    <x v="3"/>
  </r>
  <r>
    <s v="ORD11073"/>
    <d v="2027-10-12T00:00:00"/>
    <x v="4"/>
    <x v="9"/>
    <x v="5"/>
    <x v="3"/>
    <x v="19"/>
    <s v="Small Business"/>
    <s v="Retail Store"/>
    <x v="2"/>
    <n v="3"/>
    <n v="28005.83"/>
    <n v="20"/>
    <n v="67214"/>
    <x v="3"/>
  </r>
  <r>
    <s v="ORD11867"/>
    <d v="2027-10-13T00:00:00"/>
    <x v="3"/>
    <x v="9"/>
    <x v="9"/>
    <x v="2"/>
    <x v="17"/>
    <s v="Consumer"/>
    <s v="Online"/>
    <x v="2"/>
    <n v="3"/>
    <n v="5778.44"/>
    <n v="15"/>
    <n v="14735.02"/>
    <x v="3"/>
  </r>
  <r>
    <s v="ORD11280"/>
    <d v="2027-10-14T00:00:00"/>
    <x v="4"/>
    <x v="9"/>
    <x v="2"/>
    <x v="4"/>
    <x v="5"/>
    <s v="Consumer"/>
    <s v="Online"/>
    <x v="4"/>
    <n v="2"/>
    <n v="43196.88"/>
    <n v="0"/>
    <n v="86393.76"/>
    <x v="3"/>
  </r>
  <r>
    <s v="ORD10483"/>
    <d v="2027-10-15T00:00:00"/>
    <x v="3"/>
    <x v="9"/>
    <x v="6"/>
    <x v="4"/>
    <x v="10"/>
    <s v="Corporate"/>
    <s v="Retail Store"/>
    <x v="4"/>
    <n v="2"/>
    <n v="51100.68"/>
    <n v="10"/>
    <n v="91981.22"/>
    <x v="2"/>
  </r>
  <r>
    <s v="ORD11608"/>
    <d v="2027-10-16T00:00:00"/>
    <x v="0"/>
    <x v="9"/>
    <x v="7"/>
    <x v="1"/>
    <x v="1"/>
    <s v="Consumer"/>
    <s v="Online"/>
    <x v="3"/>
    <n v="4"/>
    <n v="2666.3"/>
    <n v="0"/>
    <n v="10665.21"/>
    <x v="3"/>
  </r>
  <r>
    <s v="ORD11854"/>
    <d v="2027-10-17T00:00:00"/>
    <x v="3"/>
    <x v="9"/>
    <x v="5"/>
    <x v="0"/>
    <x v="6"/>
    <s v="Corporate"/>
    <s v="Retail Store"/>
    <x v="0"/>
    <n v="2"/>
    <n v="66885.59"/>
    <n v="5"/>
    <n v="127082.63"/>
    <x v="3"/>
  </r>
  <r>
    <s v="ORD10686"/>
    <d v="2027-10-18T00:00:00"/>
    <x v="3"/>
    <x v="9"/>
    <x v="4"/>
    <x v="1"/>
    <x v="13"/>
    <s v="Small Business"/>
    <s v="Distributor"/>
    <x v="4"/>
    <n v="1"/>
    <n v="1907.96"/>
    <n v="15"/>
    <n v="1621.76"/>
    <x v="3"/>
  </r>
  <r>
    <s v="ORD10644"/>
    <d v="2027-10-19T00:00:00"/>
    <x v="1"/>
    <x v="9"/>
    <x v="4"/>
    <x v="2"/>
    <x v="17"/>
    <s v="Consumer"/>
    <s v="Distributor"/>
    <x v="4"/>
    <n v="1"/>
    <n v="6157.13"/>
    <n v="10"/>
    <n v="5541.42"/>
    <x v="2"/>
  </r>
  <r>
    <s v="ORD10163"/>
    <d v="2027-10-20T00:00:00"/>
    <x v="0"/>
    <x v="9"/>
    <x v="0"/>
    <x v="4"/>
    <x v="9"/>
    <s v="Consumer"/>
    <s v="Online"/>
    <x v="3"/>
    <n v="4"/>
    <n v="47971.15"/>
    <n v="5"/>
    <n v="182290.35"/>
    <x v="3"/>
  </r>
  <r>
    <s v="ORD10040"/>
    <d v="2027-10-21T00:00:00"/>
    <x v="3"/>
    <x v="9"/>
    <x v="1"/>
    <x v="1"/>
    <x v="14"/>
    <s v="Small Business"/>
    <s v="Online"/>
    <x v="3"/>
    <n v="3"/>
    <n v="3091.97"/>
    <n v="10"/>
    <n v="8348.32"/>
    <x v="3"/>
  </r>
  <r>
    <s v="ORD11811"/>
    <d v="2027-10-22T00:00:00"/>
    <x v="0"/>
    <x v="9"/>
    <x v="3"/>
    <x v="4"/>
    <x v="12"/>
    <s v="Consumer"/>
    <s v="Retail Store"/>
    <x v="4"/>
    <n v="5"/>
    <n v="48103.31"/>
    <n v="0"/>
    <n v="240516.57"/>
    <x v="2"/>
  </r>
  <r>
    <s v="ORD11532"/>
    <d v="2027-10-23T00:00:00"/>
    <x v="2"/>
    <x v="9"/>
    <x v="5"/>
    <x v="2"/>
    <x v="16"/>
    <s v="Home Office"/>
    <s v="Retail Store"/>
    <x v="0"/>
    <n v="2"/>
    <n v="7319.9"/>
    <n v="10"/>
    <n v="13175.83"/>
    <x v="3"/>
  </r>
  <r>
    <s v="ORD11826"/>
    <d v="2027-10-24T00:00:00"/>
    <x v="2"/>
    <x v="9"/>
    <x v="9"/>
    <x v="3"/>
    <x v="3"/>
    <s v="Corporate"/>
    <s v="Retail Store"/>
    <x v="0"/>
    <n v="5"/>
    <n v="32221.97"/>
    <n v="5"/>
    <n v="153054.34"/>
    <x v="3"/>
  </r>
  <r>
    <s v="ORD11798"/>
    <d v="2027-10-25T00:00:00"/>
    <x v="1"/>
    <x v="9"/>
    <x v="9"/>
    <x v="1"/>
    <x v="4"/>
    <s v="Small Business"/>
    <s v="Retail Store"/>
    <x v="1"/>
    <n v="1"/>
    <n v="2775.43"/>
    <n v="10"/>
    <n v="2497.89"/>
    <x v="1"/>
  </r>
  <r>
    <s v="ORD10294"/>
    <d v="2027-10-26T00:00:00"/>
    <x v="1"/>
    <x v="9"/>
    <x v="4"/>
    <x v="3"/>
    <x v="3"/>
    <s v="Small Business"/>
    <s v="Retail Store"/>
    <x v="4"/>
    <n v="5"/>
    <n v="30593.59"/>
    <n v="15"/>
    <n v="130022.77"/>
    <x v="3"/>
  </r>
  <r>
    <s v="ORD11769"/>
    <d v="2027-10-27T00:00:00"/>
    <x v="2"/>
    <x v="9"/>
    <x v="8"/>
    <x v="2"/>
    <x v="16"/>
    <s v="Corporate"/>
    <s v="Online"/>
    <x v="3"/>
    <n v="5"/>
    <n v="5959.84"/>
    <n v="5"/>
    <n v="28309.25"/>
    <x v="0"/>
  </r>
  <r>
    <s v="ORD11404"/>
    <d v="2027-10-28T00:00:00"/>
    <x v="1"/>
    <x v="9"/>
    <x v="5"/>
    <x v="0"/>
    <x v="6"/>
    <s v="Small Business"/>
    <s v="Distributor"/>
    <x v="1"/>
    <n v="1"/>
    <n v="52167.66"/>
    <n v="15"/>
    <n v="44342.51"/>
    <x v="1"/>
  </r>
  <r>
    <s v="ORD11447"/>
    <d v="2027-10-29T00:00:00"/>
    <x v="4"/>
    <x v="9"/>
    <x v="3"/>
    <x v="3"/>
    <x v="19"/>
    <s v="Home Office"/>
    <s v="Distributor"/>
    <x v="2"/>
    <n v="3"/>
    <n v="35359.61"/>
    <n v="5"/>
    <n v="100774.89"/>
    <x v="3"/>
  </r>
  <r>
    <s v="ORD11100"/>
    <d v="2027-10-30T00:00:00"/>
    <x v="4"/>
    <x v="9"/>
    <x v="2"/>
    <x v="4"/>
    <x v="10"/>
    <s v="Home Office"/>
    <s v="Online"/>
    <x v="0"/>
    <n v="4"/>
    <n v="43084.800000000003"/>
    <n v="0"/>
    <n v="172339.18"/>
    <x v="3"/>
  </r>
  <r>
    <s v="ORD12342"/>
    <d v="2027-10-31T00:00:00"/>
    <x v="1"/>
    <x v="9"/>
    <x v="5"/>
    <x v="1"/>
    <x v="13"/>
    <s v="Corporate"/>
    <s v="Distributor"/>
    <x v="2"/>
    <n v="4"/>
    <n v="2804.15"/>
    <n v="15"/>
    <n v="9534.11"/>
    <x v="2"/>
  </r>
  <r>
    <s v="ORD12414"/>
    <d v="2027-11-01T00:00:00"/>
    <x v="4"/>
    <x v="10"/>
    <x v="7"/>
    <x v="0"/>
    <x v="8"/>
    <s v="Corporate"/>
    <s v="Online"/>
    <x v="4"/>
    <n v="3"/>
    <n v="64204.42"/>
    <n v="0"/>
    <n v="192613.27"/>
    <x v="2"/>
  </r>
  <r>
    <s v="ORD10795"/>
    <d v="2027-11-02T00:00:00"/>
    <x v="2"/>
    <x v="10"/>
    <x v="2"/>
    <x v="3"/>
    <x v="7"/>
    <s v="Consumer"/>
    <s v="Online"/>
    <x v="1"/>
    <n v="4"/>
    <n v="39016.28"/>
    <n v="0"/>
    <n v="156065.14000000001"/>
    <x v="3"/>
  </r>
  <r>
    <s v="ORD11941"/>
    <d v="2027-11-03T00:00:00"/>
    <x v="0"/>
    <x v="10"/>
    <x v="1"/>
    <x v="4"/>
    <x v="12"/>
    <s v="Home Office"/>
    <s v="Retail Store"/>
    <x v="0"/>
    <n v="4"/>
    <n v="50840.51"/>
    <n v="5"/>
    <n v="193193.94"/>
    <x v="1"/>
  </r>
  <r>
    <s v="ORD11240"/>
    <d v="2027-11-04T00:00:00"/>
    <x v="2"/>
    <x v="10"/>
    <x v="4"/>
    <x v="1"/>
    <x v="13"/>
    <s v="Small Business"/>
    <s v="Distributor"/>
    <x v="1"/>
    <n v="1"/>
    <n v="1995.91"/>
    <n v="10"/>
    <n v="1796.32"/>
    <x v="1"/>
  </r>
  <r>
    <s v="ORD11006"/>
    <d v="2027-11-05T00:00:00"/>
    <x v="1"/>
    <x v="10"/>
    <x v="0"/>
    <x v="3"/>
    <x v="3"/>
    <s v="Consumer"/>
    <s v="Online"/>
    <x v="0"/>
    <n v="1"/>
    <n v="29383.77"/>
    <n v="20"/>
    <n v="23507.02"/>
    <x v="3"/>
  </r>
  <r>
    <s v="ORD11796"/>
    <d v="2027-11-06T00:00:00"/>
    <x v="4"/>
    <x v="10"/>
    <x v="2"/>
    <x v="0"/>
    <x v="18"/>
    <s v="Home Office"/>
    <s v="Online"/>
    <x v="0"/>
    <n v="3"/>
    <n v="68612.56"/>
    <n v="15"/>
    <n v="174962.02"/>
    <x v="0"/>
  </r>
  <r>
    <s v="ORD10334"/>
    <d v="2027-11-07T00:00:00"/>
    <x v="0"/>
    <x v="10"/>
    <x v="6"/>
    <x v="1"/>
    <x v="13"/>
    <s v="Home Office"/>
    <s v="Distributor"/>
    <x v="4"/>
    <n v="2"/>
    <n v="2728.47"/>
    <n v="0"/>
    <n v="5456.95"/>
    <x v="2"/>
  </r>
  <r>
    <s v="ORD12052"/>
    <d v="2027-11-08T00:00:00"/>
    <x v="2"/>
    <x v="10"/>
    <x v="9"/>
    <x v="2"/>
    <x v="2"/>
    <s v="Small Business"/>
    <s v="Online"/>
    <x v="0"/>
    <n v="3"/>
    <n v="5979.22"/>
    <n v="10"/>
    <n v="16143.89"/>
    <x v="1"/>
  </r>
  <r>
    <s v="ORD10754"/>
    <d v="2027-11-09T00:00:00"/>
    <x v="0"/>
    <x v="10"/>
    <x v="0"/>
    <x v="2"/>
    <x v="2"/>
    <s v="Home Office"/>
    <s v="Retail Store"/>
    <x v="4"/>
    <n v="5"/>
    <n v="8026.9"/>
    <n v="5"/>
    <n v="38127.78"/>
    <x v="3"/>
  </r>
  <r>
    <s v="ORD10983"/>
    <d v="2027-11-10T00:00:00"/>
    <x v="2"/>
    <x v="10"/>
    <x v="3"/>
    <x v="0"/>
    <x v="8"/>
    <s v="Corporate"/>
    <s v="Distributor"/>
    <x v="2"/>
    <n v="3"/>
    <n v="65451.69"/>
    <n v="5"/>
    <n v="186537.33"/>
    <x v="0"/>
  </r>
  <r>
    <s v="ORD11389"/>
    <d v="2027-11-11T00:00:00"/>
    <x v="3"/>
    <x v="10"/>
    <x v="9"/>
    <x v="1"/>
    <x v="1"/>
    <s v="Home Office"/>
    <s v="Online"/>
    <x v="3"/>
    <n v="3"/>
    <n v="2188.6"/>
    <n v="15"/>
    <n v="5580.92"/>
    <x v="1"/>
  </r>
  <r>
    <s v="ORD11930"/>
    <d v="2027-11-12T00:00:00"/>
    <x v="0"/>
    <x v="10"/>
    <x v="8"/>
    <x v="2"/>
    <x v="16"/>
    <s v="Home Office"/>
    <s v="Online"/>
    <x v="3"/>
    <n v="1"/>
    <n v="7384.89"/>
    <n v="5"/>
    <n v="7015.64"/>
    <x v="0"/>
  </r>
  <r>
    <s v="ORD10100"/>
    <d v="2027-11-13T00:00:00"/>
    <x v="0"/>
    <x v="10"/>
    <x v="5"/>
    <x v="4"/>
    <x v="12"/>
    <s v="Consumer"/>
    <s v="Distributor"/>
    <x v="0"/>
    <n v="1"/>
    <n v="47682.28"/>
    <n v="0"/>
    <n v="47682.28"/>
    <x v="0"/>
  </r>
  <r>
    <s v="ORD10036"/>
    <d v="2027-11-14T00:00:00"/>
    <x v="2"/>
    <x v="10"/>
    <x v="0"/>
    <x v="0"/>
    <x v="0"/>
    <s v="Corporate"/>
    <s v="Retail Store"/>
    <x v="4"/>
    <n v="5"/>
    <n v="53468.6"/>
    <n v="0"/>
    <n v="267343.02"/>
    <x v="3"/>
  </r>
  <r>
    <s v="ORD10530"/>
    <d v="2027-11-15T00:00:00"/>
    <x v="0"/>
    <x v="10"/>
    <x v="4"/>
    <x v="1"/>
    <x v="1"/>
    <s v="Consumer"/>
    <s v="Retail Store"/>
    <x v="0"/>
    <n v="4"/>
    <n v="3013.62"/>
    <n v="5"/>
    <n v="11451.76"/>
    <x v="3"/>
  </r>
  <r>
    <s v="ORD10398"/>
    <d v="2027-11-16T00:00:00"/>
    <x v="4"/>
    <x v="10"/>
    <x v="7"/>
    <x v="0"/>
    <x v="0"/>
    <s v="Consumer"/>
    <s v="Distributor"/>
    <x v="3"/>
    <n v="4"/>
    <n v="57827.59"/>
    <n v="0"/>
    <n v="231310.36"/>
    <x v="0"/>
  </r>
  <r>
    <s v="ORD11723"/>
    <d v="2027-11-17T00:00:00"/>
    <x v="3"/>
    <x v="10"/>
    <x v="9"/>
    <x v="1"/>
    <x v="13"/>
    <s v="Small Business"/>
    <s v="Retail Store"/>
    <x v="2"/>
    <n v="4"/>
    <n v="2413.94"/>
    <n v="10"/>
    <n v="8690.19"/>
    <x v="3"/>
  </r>
  <r>
    <s v="ORD12027"/>
    <d v="2027-11-18T00:00:00"/>
    <x v="3"/>
    <x v="10"/>
    <x v="0"/>
    <x v="0"/>
    <x v="8"/>
    <s v="Consumer"/>
    <s v="Distributor"/>
    <x v="0"/>
    <n v="1"/>
    <n v="58064.7"/>
    <n v="20"/>
    <n v="46451.76"/>
    <x v="3"/>
  </r>
  <r>
    <s v="ORD10972"/>
    <d v="2027-11-19T00:00:00"/>
    <x v="0"/>
    <x v="10"/>
    <x v="2"/>
    <x v="1"/>
    <x v="1"/>
    <s v="Home Office"/>
    <s v="Distributor"/>
    <x v="4"/>
    <n v="1"/>
    <n v="2263.1"/>
    <n v="5"/>
    <n v="2149.94"/>
    <x v="0"/>
  </r>
  <r>
    <s v="ORD10712"/>
    <d v="2027-11-20T00:00:00"/>
    <x v="2"/>
    <x v="10"/>
    <x v="9"/>
    <x v="1"/>
    <x v="13"/>
    <s v="Home Office"/>
    <s v="Online"/>
    <x v="1"/>
    <n v="1"/>
    <n v="2718.06"/>
    <n v="10"/>
    <n v="2446.2600000000002"/>
    <x v="2"/>
  </r>
  <r>
    <s v="ORD12280"/>
    <d v="2027-11-21T00:00:00"/>
    <x v="1"/>
    <x v="10"/>
    <x v="8"/>
    <x v="1"/>
    <x v="4"/>
    <s v="Corporate"/>
    <s v="Retail Store"/>
    <x v="1"/>
    <n v="5"/>
    <n v="2611.21"/>
    <n v="15"/>
    <n v="11097.65"/>
    <x v="1"/>
  </r>
  <r>
    <s v="ORD11604"/>
    <d v="2027-11-22T00:00:00"/>
    <x v="1"/>
    <x v="10"/>
    <x v="1"/>
    <x v="2"/>
    <x v="17"/>
    <s v="Small Business"/>
    <s v="Online"/>
    <x v="3"/>
    <n v="3"/>
    <n v="7432.1"/>
    <n v="5"/>
    <n v="21181.5"/>
    <x v="3"/>
  </r>
  <r>
    <s v="ORD11732"/>
    <d v="2027-11-23T00:00:00"/>
    <x v="0"/>
    <x v="10"/>
    <x v="1"/>
    <x v="3"/>
    <x v="19"/>
    <s v="Corporate"/>
    <s v="Online"/>
    <x v="0"/>
    <n v="2"/>
    <n v="24956.52"/>
    <n v="0"/>
    <n v="49913.03"/>
    <x v="2"/>
  </r>
  <r>
    <s v="ORD10182"/>
    <d v="2027-11-24T00:00:00"/>
    <x v="4"/>
    <x v="10"/>
    <x v="1"/>
    <x v="2"/>
    <x v="11"/>
    <s v="Corporate"/>
    <s v="Retail Store"/>
    <x v="2"/>
    <n v="2"/>
    <n v="6828.77"/>
    <n v="20"/>
    <n v="10926.04"/>
    <x v="3"/>
  </r>
  <r>
    <s v="ORD11139"/>
    <d v="2027-11-25T00:00:00"/>
    <x v="4"/>
    <x v="10"/>
    <x v="6"/>
    <x v="2"/>
    <x v="16"/>
    <s v="Corporate"/>
    <s v="Retail Store"/>
    <x v="4"/>
    <n v="3"/>
    <n v="6979.1"/>
    <n v="15"/>
    <n v="17796.71"/>
    <x v="2"/>
  </r>
  <r>
    <s v="ORD11820"/>
    <d v="2027-11-26T00:00:00"/>
    <x v="0"/>
    <x v="10"/>
    <x v="6"/>
    <x v="4"/>
    <x v="9"/>
    <s v="Small Business"/>
    <s v="Retail Store"/>
    <x v="3"/>
    <n v="1"/>
    <n v="48369.1"/>
    <n v="15"/>
    <n v="41113.730000000003"/>
    <x v="3"/>
  </r>
  <r>
    <s v="ORD12162"/>
    <d v="2027-11-27T00:00:00"/>
    <x v="1"/>
    <x v="10"/>
    <x v="7"/>
    <x v="0"/>
    <x v="0"/>
    <s v="Small Business"/>
    <s v="Retail Store"/>
    <x v="3"/>
    <n v="2"/>
    <n v="46619.41"/>
    <n v="5"/>
    <n v="88576.88"/>
    <x v="3"/>
  </r>
  <r>
    <s v="ORD12335"/>
    <d v="2027-11-28T00:00:00"/>
    <x v="4"/>
    <x v="10"/>
    <x v="2"/>
    <x v="2"/>
    <x v="16"/>
    <s v="Small Business"/>
    <s v="Retail Store"/>
    <x v="2"/>
    <n v="5"/>
    <n v="7412.37"/>
    <n v="5"/>
    <n v="35208.75"/>
    <x v="3"/>
  </r>
  <r>
    <s v="ORD11317"/>
    <d v="2027-11-29T00:00:00"/>
    <x v="3"/>
    <x v="10"/>
    <x v="1"/>
    <x v="1"/>
    <x v="1"/>
    <s v="Corporate"/>
    <s v="Retail Store"/>
    <x v="0"/>
    <n v="1"/>
    <n v="2956.92"/>
    <n v="20"/>
    <n v="2365.5300000000002"/>
    <x v="0"/>
  </r>
  <r>
    <s v="ORD10889"/>
    <d v="2027-11-30T00:00:00"/>
    <x v="2"/>
    <x v="10"/>
    <x v="5"/>
    <x v="3"/>
    <x v="15"/>
    <s v="Small Business"/>
    <s v="Distributor"/>
    <x v="2"/>
    <n v="2"/>
    <n v="33835.56"/>
    <n v="5"/>
    <n v="64287.57"/>
    <x v="3"/>
  </r>
  <r>
    <s v="ORD12396"/>
    <d v="2027-12-01T00:00:00"/>
    <x v="3"/>
    <x v="11"/>
    <x v="8"/>
    <x v="0"/>
    <x v="8"/>
    <s v="Consumer"/>
    <s v="Distributor"/>
    <x v="2"/>
    <n v="5"/>
    <n v="52536.959999999999"/>
    <n v="10"/>
    <n v="236416.33"/>
    <x v="1"/>
  </r>
  <r>
    <s v="ORD11406"/>
    <d v="2027-12-02T00:00:00"/>
    <x v="2"/>
    <x v="11"/>
    <x v="2"/>
    <x v="3"/>
    <x v="3"/>
    <s v="Small Business"/>
    <s v="Retail Store"/>
    <x v="0"/>
    <n v="4"/>
    <n v="33594.400000000001"/>
    <n v="10"/>
    <n v="120939.83"/>
    <x v="0"/>
  </r>
  <r>
    <s v="ORD11636"/>
    <d v="2027-12-03T00:00:00"/>
    <x v="1"/>
    <x v="11"/>
    <x v="3"/>
    <x v="2"/>
    <x v="17"/>
    <s v="Home Office"/>
    <s v="Retail Store"/>
    <x v="0"/>
    <n v="2"/>
    <n v="5265.92"/>
    <n v="5"/>
    <n v="10005.24"/>
    <x v="3"/>
  </r>
  <r>
    <s v="ORD11747"/>
    <d v="2027-12-04T00:00:00"/>
    <x v="2"/>
    <x v="11"/>
    <x v="9"/>
    <x v="2"/>
    <x v="11"/>
    <s v="Home Office"/>
    <s v="Retail Store"/>
    <x v="2"/>
    <n v="4"/>
    <n v="7934.58"/>
    <n v="15"/>
    <n v="26977.56"/>
    <x v="3"/>
  </r>
  <r>
    <s v="ORD11601"/>
    <d v="2027-12-05T00:00:00"/>
    <x v="2"/>
    <x v="11"/>
    <x v="2"/>
    <x v="4"/>
    <x v="10"/>
    <s v="Small Business"/>
    <s v="Online"/>
    <x v="1"/>
    <n v="4"/>
    <n v="41732.629999999997"/>
    <n v="5"/>
    <n v="158584"/>
    <x v="3"/>
  </r>
  <r>
    <s v="ORD10336"/>
    <d v="2027-12-06T00:00:00"/>
    <x v="2"/>
    <x v="11"/>
    <x v="8"/>
    <x v="2"/>
    <x v="2"/>
    <s v="Corporate"/>
    <s v="Distributor"/>
    <x v="0"/>
    <n v="2"/>
    <n v="7723.32"/>
    <n v="0"/>
    <n v="15446.64"/>
    <x v="1"/>
  </r>
  <r>
    <s v="ORD12434"/>
    <d v="2027-12-07T00:00:00"/>
    <x v="0"/>
    <x v="11"/>
    <x v="0"/>
    <x v="0"/>
    <x v="8"/>
    <s v="Corporate"/>
    <s v="Distributor"/>
    <x v="2"/>
    <n v="2"/>
    <n v="62050.76"/>
    <n v="10"/>
    <n v="111691.37"/>
    <x v="0"/>
  </r>
  <r>
    <s v="ORD11875"/>
    <d v="2027-12-08T00:00:00"/>
    <x v="2"/>
    <x v="11"/>
    <x v="7"/>
    <x v="1"/>
    <x v="1"/>
    <s v="Home Office"/>
    <s v="Distributor"/>
    <x v="2"/>
    <n v="3"/>
    <n v="2850.46"/>
    <n v="10"/>
    <n v="7696.24"/>
    <x v="3"/>
  </r>
  <r>
    <s v="ORD11142"/>
    <d v="2027-12-09T00:00:00"/>
    <x v="0"/>
    <x v="11"/>
    <x v="9"/>
    <x v="3"/>
    <x v="15"/>
    <s v="Consumer"/>
    <s v="Distributor"/>
    <x v="1"/>
    <n v="5"/>
    <n v="30199.29"/>
    <n v="0"/>
    <n v="150996.47"/>
    <x v="3"/>
  </r>
  <r>
    <s v="ORD10041"/>
    <d v="2027-12-10T00:00:00"/>
    <x v="3"/>
    <x v="11"/>
    <x v="3"/>
    <x v="2"/>
    <x v="11"/>
    <s v="Small Business"/>
    <s v="Retail Store"/>
    <x v="4"/>
    <n v="2"/>
    <n v="6585.93"/>
    <n v="5"/>
    <n v="12513.27"/>
    <x v="0"/>
  </r>
  <r>
    <s v="ORD10270"/>
    <d v="2027-12-11T00:00:00"/>
    <x v="0"/>
    <x v="11"/>
    <x v="5"/>
    <x v="1"/>
    <x v="1"/>
    <s v="Home Office"/>
    <s v="Distributor"/>
    <x v="0"/>
    <n v="5"/>
    <n v="2874.17"/>
    <n v="10"/>
    <n v="12933.74"/>
    <x v="3"/>
  </r>
  <r>
    <s v="ORD12241"/>
    <d v="2027-12-12T00:00:00"/>
    <x v="3"/>
    <x v="11"/>
    <x v="9"/>
    <x v="0"/>
    <x v="0"/>
    <s v="Corporate"/>
    <s v="Distributor"/>
    <x v="2"/>
    <n v="1"/>
    <n v="49357.55"/>
    <n v="15"/>
    <n v="41953.919999999998"/>
    <x v="3"/>
  </r>
  <r>
    <s v="ORD11442"/>
    <d v="2027-12-13T00:00:00"/>
    <x v="1"/>
    <x v="11"/>
    <x v="7"/>
    <x v="2"/>
    <x v="2"/>
    <s v="Consumer"/>
    <s v="Distributor"/>
    <x v="4"/>
    <n v="5"/>
    <n v="5135.63"/>
    <n v="0"/>
    <n v="25678.15"/>
    <x v="3"/>
  </r>
  <r>
    <s v="ORD12425"/>
    <d v="2027-12-14T00:00:00"/>
    <x v="2"/>
    <x v="11"/>
    <x v="7"/>
    <x v="2"/>
    <x v="17"/>
    <s v="Home Office"/>
    <s v="Distributor"/>
    <x v="2"/>
    <n v="5"/>
    <n v="5294.59"/>
    <n v="15"/>
    <n v="22501.99"/>
    <x v="1"/>
  </r>
  <r>
    <s v="ORD10846"/>
    <d v="2027-12-15T00:00:00"/>
    <x v="2"/>
    <x v="11"/>
    <x v="0"/>
    <x v="2"/>
    <x v="17"/>
    <s v="Consumer"/>
    <s v="Retail Store"/>
    <x v="3"/>
    <n v="4"/>
    <n v="5843.02"/>
    <n v="0"/>
    <n v="23372.09"/>
    <x v="3"/>
  </r>
  <r>
    <s v="ORD10950"/>
    <d v="2027-12-16T00:00:00"/>
    <x v="0"/>
    <x v="11"/>
    <x v="4"/>
    <x v="0"/>
    <x v="0"/>
    <s v="Home Office"/>
    <s v="Retail Store"/>
    <x v="3"/>
    <n v="3"/>
    <n v="45641.14"/>
    <n v="5"/>
    <n v="130077.25"/>
    <x v="3"/>
  </r>
  <r>
    <s v="ORD12161"/>
    <d v="2027-12-17T00:00:00"/>
    <x v="2"/>
    <x v="11"/>
    <x v="5"/>
    <x v="3"/>
    <x v="15"/>
    <s v="Corporate"/>
    <s v="Online"/>
    <x v="2"/>
    <n v="1"/>
    <n v="24009.27"/>
    <n v="5"/>
    <n v="22808.799999999999"/>
    <x v="1"/>
  </r>
  <r>
    <s v="ORD11159"/>
    <d v="2027-12-18T00:00:00"/>
    <x v="1"/>
    <x v="11"/>
    <x v="2"/>
    <x v="4"/>
    <x v="9"/>
    <s v="Home Office"/>
    <s v="Online"/>
    <x v="0"/>
    <n v="4"/>
    <n v="33790.449999999997"/>
    <n v="20"/>
    <n v="108129.44"/>
    <x v="3"/>
  </r>
  <r>
    <s v="ORD11921"/>
    <d v="2027-12-19T00:00:00"/>
    <x v="4"/>
    <x v="11"/>
    <x v="2"/>
    <x v="4"/>
    <x v="12"/>
    <s v="Corporate"/>
    <s v="Retail Store"/>
    <x v="4"/>
    <n v="3"/>
    <n v="34952.32"/>
    <n v="0"/>
    <n v="104856.96000000001"/>
    <x v="0"/>
  </r>
  <r>
    <s v="ORD12215"/>
    <d v="2027-12-20T00:00:00"/>
    <x v="3"/>
    <x v="11"/>
    <x v="5"/>
    <x v="4"/>
    <x v="5"/>
    <s v="Corporate"/>
    <s v="Distributor"/>
    <x v="4"/>
    <n v="2"/>
    <n v="51696.13"/>
    <n v="10"/>
    <n v="93053.04"/>
    <x v="0"/>
  </r>
  <r>
    <s v="ORD12070"/>
    <d v="2027-12-21T00:00:00"/>
    <x v="2"/>
    <x v="11"/>
    <x v="5"/>
    <x v="1"/>
    <x v="14"/>
    <s v="Small Business"/>
    <s v="Distributor"/>
    <x v="1"/>
    <n v="4"/>
    <n v="2925.23"/>
    <n v="5"/>
    <n v="11115.89"/>
    <x v="3"/>
  </r>
  <r>
    <s v="ORD11371"/>
    <d v="2027-12-22T00:00:00"/>
    <x v="4"/>
    <x v="11"/>
    <x v="9"/>
    <x v="0"/>
    <x v="18"/>
    <s v="Consumer"/>
    <s v="Distributor"/>
    <x v="4"/>
    <n v="3"/>
    <n v="55770.95"/>
    <n v="10"/>
    <n v="150581.56"/>
    <x v="1"/>
  </r>
  <r>
    <s v="ORD11109"/>
    <d v="2027-12-23T00:00:00"/>
    <x v="2"/>
    <x v="11"/>
    <x v="0"/>
    <x v="3"/>
    <x v="7"/>
    <s v="Corporate"/>
    <s v="Retail Store"/>
    <x v="1"/>
    <n v="5"/>
    <n v="36626.160000000003"/>
    <n v="10"/>
    <n v="164817.74"/>
    <x v="1"/>
  </r>
  <r>
    <s v="ORD12456"/>
    <d v="2027-12-24T00:00:00"/>
    <x v="4"/>
    <x v="11"/>
    <x v="2"/>
    <x v="0"/>
    <x v="18"/>
    <s v="Small Business"/>
    <s v="Distributor"/>
    <x v="0"/>
    <n v="3"/>
    <n v="51057.5"/>
    <n v="20"/>
    <n v="122538.01"/>
    <x v="0"/>
  </r>
  <r>
    <s v="ORD10688"/>
    <d v="2027-12-25T00:00:00"/>
    <x v="2"/>
    <x v="11"/>
    <x v="2"/>
    <x v="4"/>
    <x v="5"/>
    <s v="Corporate"/>
    <s v="Online"/>
    <x v="2"/>
    <n v="2"/>
    <n v="49822.46"/>
    <n v="15"/>
    <n v="84698.18"/>
    <x v="3"/>
  </r>
  <r>
    <s v="ORD11309"/>
    <d v="2027-12-26T00:00:00"/>
    <x v="4"/>
    <x v="11"/>
    <x v="4"/>
    <x v="3"/>
    <x v="19"/>
    <s v="Small Business"/>
    <s v="Distributor"/>
    <x v="4"/>
    <n v="3"/>
    <n v="38650.1"/>
    <n v="10"/>
    <n v="104355.27"/>
    <x v="3"/>
  </r>
  <r>
    <s v="ORD12347"/>
    <d v="2027-12-27T00:00:00"/>
    <x v="0"/>
    <x v="11"/>
    <x v="2"/>
    <x v="1"/>
    <x v="14"/>
    <s v="Small Business"/>
    <s v="Online"/>
    <x v="3"/>
    <n v="4"/>
    <n v="2167.75"/>
    <n v="10"/>
    <n v="7803.91"/>
    <x v="2"/>
  </r>
  <r>
    <s v="ORD12305"/>
    <d v="2027-12-28T00:00:00"/>
    <x v="2"/>
    <x v="11"/>
    <x v="6"/>
    <x v="0"/>
    <x v="0"/>
    <s v="Home Office"/>
    <s v="Retail Store"/>
    <x v="2"/>
    <n v="5"/>
    <n v="45083.18"/>
    <n v="10"/>
    <n v="202874.3"/>
    <x v="2"/>
  </r>
  <r>
    <s v="ORD11285"/>
    <d v="2027-12-29T00:00:00"/>
    <x v="4"/>
    <x v="11"/>
    <x v="0"/>
    <x v="4"/>
    <x v="10"/>
    <s v="Home Office"/>
    <s v="Online"/>
    <x v="1"/>
    <n v="2"/>
    <n v="42771.67"/>
    <n v="20"/>
    <n v="68434.67"/>
    <x v="0"/>
  </r>
  <r>
    <s v="ORD12061"/>
    <d v="2027-12-30T00:00:00"/>
    <x v="3"/>
    <x v="11"/>
    <x v="7"/>
    <x v="3"/>
    <x v="3"/>
    <s v="Corporate"/>
    <s v="Online"/>
    <x v="1"/>
    <n v="1"/>
    <n v="29085.040000000001"/>
    <n v="0"/>
    <n v="29085.040000000001"/>
    <x v="3"/>
  </r>
  <r>
    <s v="ORD12065"/>
    <d v="2027-12-31T00:00:00"/>
    <x v="0"/>
    <x v="11"/>
    <x v="8"/>
    <x v="3"/>
    <x v="15"/>
    <s v="Corporate"/>
    <s v="Online"/>
    <x v="1"/>
    <n v="3"/>
    <n v="26853.41"/>
    <n v="5"/>
    <n v="76532.210000000006"/>
    <x v="0"/>
  </r>
  <r>
    <s v="ORD11498"/>
    <d v="2028-01-01T00:00:00"/>
    <x v="4"/>
    <x v="0"/>
    <x v="5"/>
    <x v="3"/>
    <x v="3"/>
    <s v="Home Office"/>
    <s v="Online"/>
    <x v="1"/>
    <n v="5"/>
    <n v="30315.45"/>
    <n v="0"/>
    <n v="151577.24"/>
    <x v="3"/>
  </r>
  <r>
    <s v="ORD11101"/>
    <d v="2028-01-02T00:00:00"/>
    <x v="0"/>
    <x v="0"/>
    <x v="2"/>
    <x v="1"/>
    <x v="13"/>
    <s v="Small Business"/>
    <s v="Online"/>
    <x v="2"/>
    <n v="4"/>
    <n v="2011.48"/>
    <n v="10"/>
    <n v="7241.34"/>
    <x v="3"/>
  </r>
  <r>
    <s v="ORD10601"/>
    <d v="2028-01-03T00:00:00"/>
    <x v="0"/>
    <x v="0"/>
    <x v="5"/>
    <x v="1"/>
    <x v="1"/>
    <s v="Consumer"/>
    <s v="Retail Store"/>
    <x v="0"/>
    <n v="5"/>
    <n v="2137.9499999999998"/>
    <n v="5"/>
    <n v="10155.24"/>
    <x v="3"/>
  </r>
  <r>
    <s v="ORD12440"/>
    <d v="2028-01-04T00:00:00"/>
    <x v="0"/>
    <x v="0"/>
    <x v="2"/>
    <x v="4"/>
    <x v="9"/>
    <s v="Small Business"/>
    <s v="Retail Store"/>
    <x v="3"/>
    <n v="2"/>
    <n v="52241.91"/>
    <n v="5"/>
    <n v="99259.63"/>
    <x v="3"/>
  </r>
  <r>
    <s v="ORD12195"/>
    <d v="2028-01-05T00:00:00"/>
    <x v="0"/>
    <x v="0"/>
    <x v="1"/>
    <x v="4"/>
    <x v="10"/>
    <s v="Home Office"/>
    <s v="Online"/>
    <x v="3"/>
    <n v="4"/>
    <n v="44877.68"/>
    <n v="10"/>
    <n v="161559.66"/>
    <x v="3"/>
  </r>
  <r>
    <s v="ORD10198"/>
    <d v="2028-01-06T00:00:00"/>
    <x v="1"/>
    <x v="0"/>
    <x v="3"/>
    <x v="4"/>
    <x v="5"/>
    <s v="Small Business"/>
    <s v="Distributor"/>
    <x v="2"/>
    <n v="4"/>
    <n v="48402.64"/>
    <n v="0"/>
    <n v="193610.57"/>
    <x v="0"/>
  </r>
  <r>
    <s v="ORD12326"/>
    <d v="2028-01-07T00:00:00"/>
    <x v="1"/>
    <x v="0"/>
    <x v="0"/>
    <x v="0"/>
    <x v="0"/>
    <s v="Consumer"/>
    <s v="Online"/>
    <x v="4"/>
    <n v="4"/>
    <n v="62120.59"/>
    <n v="10"/>
    <n v="223634.12"/>
    <x v="3"/>
  </r>
  <r>
    <s v="ORD11250"/>
    <d v="2028-01-08T00:00:00"/>
    <x v="0"/>
    <x v="0"/>
    <x v="4"/>
    <x v="4"/>
    <x v="12"/>
    <s v="Consumer"/>
    <s v="Distributor"/>
    <x v="3"/>
    <n v="2"/>
    <n v="39901.5"/>
    <n v="5"/>
    <n v="75812.86"/>
    <x v="3"/>
  </r>
  <r>
    <s v="ORD10918"/>
    <d v="2028-01-09T00:00:00"/>
    <x v="4"/>
    <x v="0"/>
    <x v="2"/>
    <x v="2"/>
    <x v="2"/>
    <s v="Small Business"/>
    <s v="Online"/>
    <x v="3"/>
    <n v="5"/>
    <n v="7520.97"/>
    <n v="0"/>
    <n v="37604.85"/>
    <x v="3"/>
  </r>
  <r>
    <s v="ORD10632"/>
    <d v="2028-01-10T00:00:00"/>
    <x v="1"/>
    <x v="0"/>
    <x v="6"/>
    <x v="0"/>
    <x v="0"/>
    <s v="Small Business"/>
    <s v="Retail Store"/>
    <x v="4"/>
    <n v="3"/>
    <n v="60067.27"/>
    <n v="15"/>
    <n v="153171.53"/>
    <x v="3"/>
  </r>
  <r>
    <s v="ORD10621"/>
    <d v="2028-01-11T00:00:00"/>
    <x v="4"/>
    <x v="0"/>
    <x v="7"/>
    <x v="3"/>
    <x v="7"/>
    <s v="Home Office"/>
    <s v="Online"/>
    <x v="0"/>
    <n v="3"/>
    <n v="35716.449999999997"/>
    <n v="15"/>
    <n v="91076.94"/>
    <x v="1"/>
  </r>
  <r>
    <s v="ORD10900"/>
    <d v="2028-01-12T00:00:00"/>
    <x v="4"/>
    <x v="0"/>
    <x v="4"/>
    <x v="3"/>
    <x v="7"/>
    <s v="Consumer"/>
    <s v="Online"/>
    <x v="1"/>
    <n v="1"/>
    <n v="29407.59"/>
    <n v="5"/>
    <n v="27937.21"/>
    <x v="3"/>
  </r>
  <r>
    <s v="ORD10126"/>
    <d v="2028-01-13T00:00:00"/>
    <x v="0"/>
    <x v="0"/>
    <x v="9"/>
    <x v="0"/>
    <x v="18"/>
    <s v="Home Office"/>
    <s v="Online"/>
    <x v="1"/>
    <n v="2"/>
    <n v="46147.19"/>
    <n v="5"/>
    <n v="87679.65"/>
    <x v="0"/>
  </r>
  <r>
    <s v="ORD12286"/>
    <d v="2028-01-14T00:00:00"/>
    <x v="0"/>
    <x v="0"/>
    <x v="5"/>
    <x v="3"/>
    <x v="3"/>
    <s v="Small Business"/>
    <s v="Retail Store"/>
    <x v="2"/>
    <n v="2"/>
    <n v="37757.32"/>
    <n v="20"/>
    <n v="60411.71"/>
    <x v="3"/>
  </r>
  <r>
    <s v="ORD11333"/>
    <d v="2028-01-15T00:00:00"/>
    <x v="4"/>
    <x v="0"/>
    <x v="9"/>
    <x v="2"/>
    <x v="11"/>
    <s v="Home Office"/>
    <s v="Online"/>
    <x v="0"/>
    <n v="1"/>
    <n v="7048.24"/>
    <n v="5"/>
    <n v="6695.83"/>
    <x v="3"/>
  </r>
  <r>
    <s v="ORD12000"/>
    <d v="2028-01-16T00:00:00"/>
    <x v="0"/>
    <x v="0"/>
    <x v="4"/>
    <x v="4"/>
    <x v="9"/>
    <s v="Consumer"/>
    <s v="Retail Store"/>
    <x v="0"/>
    <n v="4"/>
    <n v="51444.55"/>
    <n v="15"/>
    <n v="174911.47"/>
    <x v="3"/>
  </r>
  <r>
    <s v="ORD12376"/>
    <d v="2028-01-17T00:00:00"/>
    <x v="1"/>
    <x v="0"/>
    <x v="1"/>
    <x v="2"/>
    <x v="11"/>
    <s v="Home Office"/>
    <s v="Distributor"/>
    <x v="2"/>
    <n v="2"/>
    <n v="5249.73"/>
    <n v="5"/>
    <n v="9974.5"/>
    <x v="3"/>
  </r>
  <r>
    <s v="ORD11999"/>
    <d v="2028-01-18T00:00:00"/>
    <x v="0"/>
    <x v="0"/>
    <x v="5"/>
    <x v="3"/>
    <x v="19"/>
    <s v="Consumer"/>
    <s v="Online"/>
    <x v="0"/>
    <n v="2"/>
    <n v="32001.87"/>
    <n v="0"/>
    <n v="64003.74"/>
    <x v="1"/>
  </r>
  <r>
    <s v="ORD10057"/>
    <d v="2028-01-19T00:00:00"/>
    <x v="1"/>
    <x v="0"/>
    <x v="6"/>
    <x v="3"/>
    <x v="19"/>
    <s v="Home Office"/>
    <s v="Retail Store"/>
    <x v="2"/>
    <n v="4"/>
    <n v="35303.29"/>
    <n v="15"/>
    <n v="120031.19"/>
    <x v="1"/>
  </r>
  <r>
    <s v="ORD12008"/>
    <d v="2028-01-20T00:00:00"/>
    <x v="4"/>
    <x v="0"/>
    <x v="2"/>
    <x v="0"/>
    <x v="18"/>
    <s v="Consumer"/>
    <s v="Online"/>
    <x v="4"/>
    <n v="3"/>
    <n v="66252.490000000005"/>
    <n v="5"/>
    <n v="188819.59"/>
    <x v="3"/>
  </r>
  <r>
    <s v="ORD11714"/>
    <d v="2028-01-21T00:00:00"/>
    <x v="3"/>
    <x v="0"/>
    <x v="2"/>
    <x v="4"/>
    <x v="10"/>
    <s v="Small Business"/>
    <s v="Distributor"/>
    <x v="4"/>
    <n v="5"/>
    <n v="35231.72"/>
    <n v="10"/>
    <n v="158542.76"/>
    <x v="2"/>
  </r>
  <r>
    <s v="ORD12483"/>
    <d v="2028-01-22T00:00:00"/>
    <x v="1"/>
    <x v="0"/>
    <x v="9"/>
    <x v="1"/>
    <x v="14"/>
    <s v="Small Business"/>
    <s v="Retail Store"/>
    <x v="2"/>
    <n v="2"/>
    <n v="3048.74"/>
    <n v="10"/>
    <n v="5487.74"/>
    <x v="3"/>
  </r>
  <r>
    <s v="ORD11485"/>
    <d v="2028-01-23T00:00:00"/>
    <x v="3"/>
    <x v="0"/>
    <x v="1"/>
    <x v="1"/>
    <x v="1"/>
    <s v="Small Business"/>
    <s v="Online"/>
    <x v="0"/>
    <n v="4"/>
    <n v="2364.64"/>
    <n v="15"/>
    <n v="8039.77"/>
    <x v="3"/>
  </r>
  <r>
    <s v="ORD11982"/>
    <d v="2028-01-24T00:00:00"/>
    <x v="4"/>
    <x v="0"/>
    <x v="4"/>
    <x v="4"/>
    <x v="12"/>
    <s v="Small Business"/>
    <s v="Retail Store"/>
    <x v="4"/>
    <n v="2"/>
    <n v="35383.599999999999"/>
    <n v="10"/>
    <n v="63690.49"/>
    <x v="0"/>
  </r>
  <r>
    <s v="ORD11081"/>
    <d v="2028-01-25T00:00:00"/>
    <x v="2"/>
    <x v="0"/>
    <x v="5"/>
    <x v="0"/>
    <x v="18"/>
    <s v="Corporate"/>
    <s v="Retail Store"/>
    <x v="0"/>
    <n v="2"/>
    <n v="61616.57"/>
    <n v="15"/>
    <n v="104748.17"/>
    <x v="0"/>
  </r>
  <r>
    <s v="ORD12371"/>
    <d v="2028-01-26T00:00:00"/>
    <x v="0"/>
    <x v="0"/>
    <x v="5"/>
    <x v="4"/>
    <x v="12"/>
    <s v="Consumer"/>
    <s v="Online"/>
    <x v="3"/>
    <n v="2"/>
    <n v="49043.35"/>
    <n v="10"/>
    <n v="88278.03"/>
    <x v="3"/>
  </r>
  <r>
    <s v="ORD10230"/>
    <d v="2028-01-27T00:00:00"/>
    <x v="1"/>
    <x v="0"/>
    <x v="7"/>
    <x v="0"/>
    <x v="18"/>
    <s v="Home Office"/>
    <s v="Distributor"/>
    <x v="0"/>
    <n v="1"/>
    <n v="51406.77"/>
    <n v="10"/>
    <n v="46266.1"/>
    <x v="1"/>
  </r>
  <r>
    <s v="ORD11262"/>
    <d v="2028-01-28T00:00:00"/>
    <x v="3"/>
    <x v="0"/>
    <x v="8"/>
    <x v="1"/>
    <x v="13"/>
    <s v="Small Business"/>
    <s v="Distributor"/>
    <x v="1"/>
    <n v="1"/>
    <n v="2099.02"/>
    <n v="10"/>
    <n v="1889.12"/>
    <x v="1"/>
  </r>
  <r>
    <s v="ORD11245"/>
    <d v="2028-01-29T00:00:00"/>
    <x v="0"/>
    <x v="0"/>
    <x v="9"/>
    <x v="3"/>
    <x v="3"/>
    <s v="Corporate"/>
    <s v="Distributor"/>
    <x v="4"/>
    <n v="4"/>
    <n v="24712.28"/>
    <n v="0"/>
    <n v="98849.14"/>
    <x v="3"/>
  </r>
  <r>
    <s v="ORD10254"/>
    <d v="2028-01-30T00:00:00"/>
    <x v="4"/>
    <x v="0"/>
    <x v="1"/>
    <x v="2"/>
    <x v="17"/>
    <s v="Consumer"/>
    <s v="Distributor"/>
    <x v="2"/>
    <n v="4"/>
    <n v="6064.34"/>
    <n v="10"/>
    <n v="21831.61"/>
    <x v="0"/>
  </r>
  <r>
    <s v="ORD10218"/>
    <d v="2028-01-31T00:00:00"/>
    <x v="1"/>
    <x v="0"/>
    <x v="0"/>
    <x v="2"/>
    <x v="16"/>
    <s v="Home Office"/>
    <s v="Distributor"/>
    <x v="2"/>
    <n v="3"/>
    <n v="5135.67"/>
    <n v="0"/>
    <n v="15407.01"/>
    <x v="1"/>
  </r>
  <r>
    <s v="ORD10090"/>
    <d v="2028-02-01T00:00:00"/>
    <x v="4"/>
    <x v="1"/>
    <x v="3"/>
    <x v="2"/>
    <x v="16"/>
    <s v="Corporate"/>
    <s v="Online"/>
    <x v="3"/>
    <n v="2"/>
    <n v="5336.93"/>
    <n v="20"/>
    <n v="8539.09"/>
    <x v="2"/>
  </r>
  <r>
    <s v="ORD10875"/>
    <d v="2028-02-02T00:00:00"/>
    <x v="0"/>
    <x v="1"/>
    <x v="9"/>
    <x v="1"/>
    <x v="1"/>
    <s v="Small Business"/>
    <s v="Retail Store"/>
    <x v="1"/>
    <n v="2"/>
    <n v="2332.73"/>
    <n v="20"/>
    <n v="3732.37"/>
    <x v="1"/>
  </r>
  <r>
    <s v="ORD11927"/>
    <d v="2028-02-03T00:00:00"/>
    <x v="3"/>
    <x v="1"/>
    <x v="2"/>
    <x v="4"/>
    <x v="9"/>
    <s v="Consumer"/>
    <s v="Retail Store"/>
    <x v="2"/>
    <n v="3"/>
    <n v="34269.29"/>
    <n v="15"/>
    <n v="87386.68"/>
    <x v="3"/>
  </r>
  <r>
    <s v="ORD10702"/>
    <d v="2028-02-04T00:00:00"/>
    <x v="3"/>
    <x v="1"/>
    <x v="3"/>
    <x v="1"/>
    <x v="14"/>
    <s v="Corporate"/>
    <s v="Online"/>
    <x v="4"/>
    <n v="2"/>
    <n v="2350.0700000000002"/>
    <n v="0"/>
    <n v="4700.1400000000003"/>
    <x v="3"/>
  </r>
  <r>
    <s v="ORD10327"/>
    <d v="2028-02-05T00:00:00"/>
    <x v="2"/>
    <x v="1"/>
    <x v="0"/>
    <x v="3"/>
    <x v="15"/>
    <s v="Small Business"/>
    <s v="Online"/>
    <x v="4"/>
    <n v="2"/>
    <n v="36312.160000000003"/>
    <n v="10"/>
    <n v="65361.88"/>
    <x v="0"/>
  </r>
  <r>
    <s v="ORD12186"/>
    <d v="2028-02-06T00:00:00"/>
    <x v="2"/>
    <x v="1"/>
    <x v="7"/>
    <x v="4"/>
    <x v="10"/>
    <s v="Corporate"/>
    <s v="Online"/>
    <x v="0"/>
    <n v="1"/>
    <n v="46906.82"/>
    <n v="10"/>
    <n v="42216.14"/>
    <x v="2"/>
  </r>
  <r>
    <s v="ORD10540"/>
    <d v="2028-02-07T00:00:00"/>
    <x v="3"/>
    <x v="1"/>
    <x v="6"/>
    <x v="1"/>
    <x v="13"/>
    <s v="Home Office"/>
    <s v="Retail Store"/>
    <x v="1"/>
    <n v="5"/>
    <n v="2414.79"/>
    <n v="5"/>
    <n v="11470.24"/>
    <x v="3"/>
  </r>
  <r>
    <s v="ORD10227"/>
    <d v="2028-02-08T00:00:00"/>
    <x v="0"/>
    <x v="1"/>
    <x v="7"/>
    <x v="3"/>
    <x v="3"/>
    <s v="Home Office"/>
    <s v="Distributor"/>
    <x v="3"/>
    <n v="3"/>
    <n v="29790.15"/>
    <n v="5"/>
    <n v="84901.94"/>
    <x v="3"/>
  </r>
  <r>
    <s v="ORD11449"/>
    <d v="2028-02-09T00:00:00"/>
    <x v="0"/>
    <x v="1"/>
    <x v="9"/>
    <x v="1"/>
    <x v="13"/>
    <s v="Home Office"/>
    <s v="Distributor"/>
    <x v="1"/>
    <n v="3"/>
    <n v="3064.6"/>
    <n v="10"/>
    <n v="8274.41"/>
    <x v="2"/>
  </r>
  <r>
    <s v="ORD10592"/>
    <d v="2028-02-10T00:00:00"/>
    <x v="2"/>
    <x v="1"/>
    <x v="8"/>
    <x v="4"/>
    <x v="10"/>
    <s v="Corporate"/>
    <s v="Online"/>
    <x v="1"/>
    <n v="2"/>
    <n v="48992.58"/>
    <n v="5"/>
    <n v="93085.9"/>
    <x v="1"/>
  </r>
  <r>
    <s v="ORD10450"/>
    <d v="2028-02-11T00:00:00"/>
    <x v="4"/>
    <x v="1"/>
    <x v="4"/>
    <x v="4"/>
    <x v="10"/>
    <s v="Corporate"/>
    <s v="Online"/>
    <x v="0"/>
    <n v="1"/>
    <n v="43347.3"/>
    <n v="0"/>
    <n v="43347.3"/>
    <x v="0"/>
  </r>
  <r>
    <s v="ORD12201"/>
    <d v="2028-02-12T00:00:00"/>
    <x v="0"/>
    <x v="1"/>
    <x v="5"/>
    <x v="4"/>
    <x v="10"/>
    <s v="Corporate"/>
    <s v="Online"/>
    <x v="4"/>
    <n v="2"/>
    <n v="40827.629999999997"/>
    <n v="5"/>
    <n v="77572.5"/>
    <x v="3"/>
  </r>
  <r>
    <s v="ORD10209"/>
    <d v="2028-02-13T00:00:00"/>
    <x v="1"/>
    <x v="1"/>
    <x v="6"/>
    <x v="3"/>
    <x v="3"/>
    <s v="Consumer"/>
    <s v="Online"/>
    <x v="2"/>
    <n v="2"/>
    <n v="30677.1"/>
    <n v="10"/>
    <n v="55218.77"/>
    <x v="2"/>
  </r>
  <r>
    <s v="ORD10221"/>
    <d v="2028-02-14T00:00:00"/>
    <x v="2"/>
    <x v="1"/>
    <x v="4"/>
    <x v="3"/>
    <x v="15"/>
    <s v="Home Office"/>
    <s v="Online"/>
    <x v="4"/>
    <n v="3"/>
    <n v="26535.48"/>
    <n v="5"/>
    <n v="75626.12"/>
    <x v="2"/>
  </r>
  <r>
    <s v="ORD10394"/>
    <d v="2028-02-15T00:00:00"/>
    <x v="3"/>
    <x v="1"/>
    <x v="1"/>
    <x v="1"/>
    <x v="14"/>
    <s v="Corporate"/>
    <s v="Distributor"/>
    <x v="2"/>
    <n v="2"/>
    <n v="2600.89"/>
    <n v="15"/>
    <n v="4421.51"/>
    <x v="3"/>
  </r>
  <r>
    <s v="ORD10463"/>
    <d v="2028-02-16T00:00:00"/>
    <x v="4"/>
    <x v="1"/>
    <x v="3"/>
    <x v="4"/>
    <x v="10"/>
    <s v="Corporate"/>
    <s v="Retail Store"/>
    <x v="3"/>
    <n v="3"/>
    <n v="42248.25"/>
    <n v="5"/>
    <n v="120407.51"/>
    <x v="3"/>
  </r>
  <r>
    <s v="ORD12095"/>
    <d v="2028-02-17T00:00:00"/>
    <x v="2"/>
    <x v="1"/>
    <x v="2"/>
    <x v="3"/>
    <x v="15"/>
    <s v="Small Business"/>
    <s v="Distributor"/>
    <x v="2"/>
    <n v="1"/>
    <n v="29736.91"/>
    <n v="10"/>
    <n v="26763.22"/>
    <x v="2"/>
  </r>
  <r>
    <s v="ORD11946"/>
    <d v="2028-02-18T00:00:00"/>
    <x v="3"/>
    <x v="1"/>
    <x v="5"/>
    <x v="4"/>
    <x v="9"/>
    <s v="Corporate"/>
    <s v="Online"/>
    <x v="2"/>
    <n v="4"/>
    <n v="36981.97"/>
    <n v="5"/>
    <n v="140531.49"/>
    <x v="2"/>
  </r>
  <r>
    <s v="ORD11698"/>
    <d v="2028-02-19T00:00:00"/>
    <x v="0"/>
    <x v="1"/>
    <x v="5"/>
    <x v="4"/>
    <x v="12"/>
    <s v="Home Office"/>
    <s v="Distributor"/>
    <x v="1"/>
    <n v="2"/>
    <n v="48932.99"/>
    <n v="10"/>
    <n v="88079.38"/>
    <x v="3"/>
  </r>
  <r>
    <s v="ORD10938"/>
    <d v="2028-02-20T00:00:00"/>
    <x v="0"/>
    <x v="1"/>
    <x v="6"/>
    <x v="2"/>
    <x v="17"/>
    <s v="Consumer"/>
    <s v="Distributor"/>
    <x v="0"/>
    <n v="4"/>
    <n v="7560.36"/>
    <n v="20"/>
    <n v="24193.14"/>
    <x v="1"/>
  </r>
  <r>
    <s v="ORD12152"/>
    <d v="2028-02-21T00:00:00"/>
    <x v="4"/>
    <x v="1"/>
    <x v="2"/>
    <x v="1"/>
    <x v="14"/>
    <s v="Home Office"/>
    <s v="Retail Store"/>
    <x v="1"/>
    <n v="5"/>
    <n v="2774.32"/>
    <n v="15"/>
    <n v="11790.85"/>
    <x v="0"/>
  </r>
  <r>
    <s v="ORD10580"/>
    <d v="2028-02-22T00:00:00"/>
    <x v="1"/>
    <x v="1"/>
    <x v="8"/>
    <x v="0"/>
    <x v="18"/>
    <s v="Home Office"/>
    <s v="Online"/>
    <x v="4"/>
    <n v="5"/>
    <n v="46910.73"/>
    <n v="0"/>
    <n v="234553.66"/>
    <x v="1"/>
  </r>
  <r>
    <s v="ORD12051"/>
    <d v="2028-02-23T00:00:00"/>
    <x v="4"/>
    <x v="1"/>
    <x v="1"/>
    <x v="2"/>
    <x v="17"/>
    <s v="Small Business"/>
    <s v="Online"/>
    <x v="0"/>
    <n v="4"/>
    <n v="7340.08"/>
    <n v="5"/>
    <n v="27892.3"/>
    <x v="3"/>
  </r>
  <r>
    <s v="ORD12123"/>
    <d v="2028-02-24T00:00:00"/>
    <x v="0"/>
    <x v="1"/>
    <x v="4"/>
    <x v="0"/>
    <x v="6"/>
    <s v="Home Office"/>
    <s v="Distributor"/>
    <x v="1"/>
    <n v="2"/>
    <n v="54409.77"/>
    <n v="15"/>
    <n v="92496.6"/>
    <x v="2"/>
  </r>
  <r>
    <s v="ORD12312"/>
    <d v="2028-02-25T00:00:00"/>
    <x v="2"/>
    <x v="1"/>
    <x v="9"/>
    <x v="2"/>
    <x v="2"/>
    <s v="Corporate"/>
    <s v="Distributor"/>
    <x v="1"/>
    <n v="1"/>
    <n v="7481.74"/>
    <n v="5"/>
    <n v="7107.65"/>
    <x v="3"/>
  </r>
  <r>
    <s v="ORD11812"/>
    <d v="2028-02-26T00:00:00"/>
    <x v="3"/>
    <x v="1"/>
    <x v="5"/>
    <x v="1"/>
    <x v="14"/>
    <s v="Consumer"/>
    <s v="Distributor"/>
    <x v="4"/>
    <n v="2"/>
    <n v="2276.48"/>
    <n v="0"/>
    <n v="4552.97"/>
    <x v="3"/>
  </r>
  <r>
    <s v="ORD10004"/>
    <d v="2028-02-27T00:00:00"/>
    <x v="3"/>
    <x v="1"/>
    <x v="8"/>
    <x v="3"/>
    <x v="7"/>
    <s v="Home Office"/>
    <s v="Retail Store"/>
    <x v="0"/>
    <n v="5"/>
    <n v="39506.11"/>
    <n v="10"/>
    <n v="177777.5"/>
    <x v="2"/>
  </r>
  <r>
    <s v="ORD12322"/>
    <d v="2028-02-28T00:00:00"/>
    <x v="1"/>
    <x v="1"/>
    <x v="0"/>
    <x v="2"/>
    <x v="17"/>
    <s v="Consumer"/>
    <s v="Online"/>
    <x v="4"/>
    <n v="4"/>
    <n v="7440.64"/>
    <n v="5"/>
    <n v="28274.43"/>
    <x v="3"/>
  </r>
  <r>
    <s v="ORD11945"/>
    <d v="2028-02-29T00:00:00"/>
    <x v="3"/>
    <x v="1"/>
    <x v="7"/>
    <x v="3"/>
    <x v="7"/>
    <s v="Consumer"/>
    <s v="Online"/>
    <x v="0"/>
    <n v="5"/>
    <n v="38037.94"/>
    <n v="0"/>
    <n v="190189.68"/>
    <x v="3"/>
  </r>
  <r>
    <s v="ORD11749"/>
    <d v="2028-03-01T00:00:00"/>
    <x v="3"/>
    <x v="2"/>
    <x v="8"/>
    <x v="3"/>
    <x v="3"/>
    <s v="Home Office"/>
    <s v="Retail Store"/>
    <x v="3"/>
    <n v="1"/>
    <n v="29411.62"/>
    <n v="5"/>
    <n v="27941.040000000001"/>
    <x v="3"/>
  </r>
  <r>
    <s v="ORD11173"/>
    <d v="2028-03-02T00:00:00"/>
    <x v="4"/>
    <x v="2"/>
    <x v="8"/>
    <x v="4"/>
    <x v="10"/>
    <s v="Consumer"/>
    <s v="Retail Store"/>
    <x v="1"/>
    <n v="4"/>
    <n v="41862.75"/>
    <n v="0"/>
    <n v="167451"/>
    <x v="3"/>
  </r>
  <r>
    <s v="ORD11163"/>
    <d v="2028-03-03T00:00:00"/>
    <x v="0"/>
    <x v="2"/>
    <x v="8"/>
    <x v="4"/>
    <x v="5"/>
    <s v="Corporate"/>
    <s v="Retail Store"/>
    <x v="2"/>
    <n v="2"/>
    <n v="41956.7"/>
    <n v="10"/>
    <n v="75522.06"/>
    <x v="3"/>
  </r>
  <r>
    <s v="ORD10242"/>
    <d v="2028-03-04T00:00:00"/>
    <x v="4"/>
    <x v="2"/>
    <x v="9"/>
    <x v="4"/>
    <x v="5"/>
    <s v="Corporate"/>
    <s v="Distributor"/>
    <x v="3"/>
    <n v="2"/>
    <n v="37995.699999999997"/>
    <n v="5"/>
    <n v="72191.83"/>
    <x v="1"/>
  </r>
  <r>
    <s v="ORD11600"/>
    <d v="2028-03-05T00:00:00"/>
    <x v="0"/>
    <x v="2"/>
    <x v="2"/>
    <x v="1"/>
    <x v="1"/>
    <s v="Small Business"/>
    <s v="Online"/>
    <x v="3"/>
    <n v="3"/>
    <n v="2999.98"/>
    <n v="0"/>
    <n v="8999.9500000000007"/>
    <x v="3"/>
  </r>
  <r>
    <s v="ORD11925"/>
    <d v="2028-03-06T00:00:00"/>
    <x v="4"/>
    <x v="2"/>
    <x v="7"/>
    <x v="4"/>
    <x v="10"/>
    <s v="Consumer"/>
    <s v="Online"/>
    <x v="2"/>
    <n v="5"/>
    <n v="52417.24"/>
    <n v="10"/>
    <n v="235877.59"/>
    <x v="2"/>
  </r>
  <r>
    <s v="ORD10269"/>
    <d v="2028-03-07T00:00:00"/>
    <x v="2"/>
    <x v="2"/>
    <x v="4"/>
    <x v="4"/>
    <x v="9"/>
    <s v="Small Business"/>
    <s v="Distributor"/>
    <x v="2"/>
    <n v="4"/>
    <n v="35317.99"/>
    <n v="0"/>
    <n v="141271.95000000001"/>
    <x v="3"/>
  </r>
  <r>
    <s v="ORD12212"/>
    <d v="2028-03-08T00:00:00"/>
    <x v="0"/>
    <x v="2"/>
    <x v="8"/>
    <x v="1"/>
    <x v="1"/>
    <s v="Corporate"/>
    <s v="Online"/>
    <x v="3"/>
    <n v="3"/>
    <n v="2073.13"/>
    <n v="0"/>
    <n v="6219.39"/>
    <x v="3"/>
  </r>
  <r>
    <s v="ORD11313"/>
    <d v="2028-03-09T00:00:00"/>
    <x v="1"/>
    <x v="2"/>
    <x v="7"/>
    <x v="4"/>
    <x v="9"/>
    <s v="Corporate"/>
    <s v="Distributor"/>
    <x v="3"/>
    <n v="4"/>
    <n v="44456.73"/>
    <n v="15"/>
    <n v="151152.88"/>
    <x v="0"/>
  </r>
  <r>
    <s v="ORD10338"/>
    <d v="2028-03-10T00:00:00"/>
    <x v="4"/>
    <x v="2"/>
    <x v="4"/>
    <x v="3"/>
    <x v="7"/>
    <s v="Corporate"/>
    <s v="Retail Store"/>
    <x v="4"/>
    <n v="1"/>
    <n v="33984.17"/>
    <n v="0"/>
    <n v="33984.17"/>
    <x v="3"/>
  </r>
  <r>
    <s v="ORD11487"/>
    <d v="2028-03-11T00:00:00"/>
    <x v="2"/>
    <x v="2"/>
    <x v="1"/>
    <x v="0"/>
    <x v="0"/>
    <s v="Home Office"/>
    <s v="Distributor"/>
    <x v="4"/>
    <n v="2"/>
    <n v="56995.86"/>
    <n v="20"/>
    <n v="91193.38"/>
    <x v="3"/>
  </r>
  <r>
    <s v="ORD10529"/>
    <d v="2028-03-12T00:00:00"/>
    <x v="3"/>
    <x v="2"/>
    <x v="8"/>
    <x v="4"/>
    <x v="10"/>
    <s v="Home Office"/>
    <s v="Distributor"/>
    <x v="1"/>
    <n v="5"/>
    <n v="38976.17"/>
    <n v="5"/>
    <n v="185136.83"/>
    <x v="2"/>
  </r>
  <r>
    <s v="ORD10383"/>
    <d v="2028-03-13T00:00:00"/>
    <x v="3"/>
    <x v="2"/>
    <x v="8"/>
    <x v="3"/>
    <x v="19"/>
    <s v="Small Business"/>
    <s v="Retail Store"/>
    <x v="3"/>
    <n v="5"/>
    <n v="34915.120000000003"/>
    <n v="0"/>
    <n v="174575.59"/>
    <x v="3"/>
  </r>
  <r>
    <s v="ORD12078"/>
    <d v="2028-03-14T00:00:00"/>
    <x v="4"/>
    <x v="2"/>
    <x v="5"/>
    <x v="4"/>
    <x v="12"/>
    <s v="Corporate"/>
    <s v="Distributor"/>
    <x v="1"/>
    <n v="4"/>
    <n v="43709.65"/>
    <n v="10"/>
    <n v="157354.73000000001"/>
    <x v="1"/>
  </r>
  <r>
    <s v="ORD10022"/>
    <d v="2028-03-15T00:00:00"/>
    <x v="1"/>
    <x v="2"/>
    <x v="5"/>
    <x v="3"/>
    <x v="3"/>
    <s v="Consumer"/>
    <s v="Online"/>
    <x v="4"/>
    <n v="3"/>
    <n v="36548.71"/>
    <n v="10"/>
    <n v="98681.53"/>
    <x v="0"/>
  </r>
  <r>
    <s v="ORD10499"/>
    <d v="2028-03-16T00:00:00"/>
    <x v="0"/>
    <x v="2"/>
    <x v="5"/>
    <x v="3"/>
    <x v="19"/>
    <s v="Home Office"/>
    <s v="Retail Store"/>
    <x v="2"/>
    <n v="5"/>
    <n v="31240.2"/>
    <n v="20"/>
    <n v="124960.79"/>
    <x v="3"/>
  </r>
  <r>
    <s v="ORD11133"/>
    <d v="2028-03-17T00:00:00"/>
    <x v="1"/>
    <x v="2"/>
    <x v="1"/>
    <x v="3"/>
    <x v="3"/>
    <s v="Home Office"/>
    <s v="Online"/>
    <x v="1"/>
    <n v="4"/>
    <n v="26900.93"/>
    <n v="10"/>
    <n v="96843.34"/>
    <x v="3"/>
  </r>
  <r>
    <s v="ORD12189"/>
    <d v="2028-03-18T00:00:00"/>
    <x v="1"/>
    <x v="2"/>
    <x v="9"/>
    <x v="4"/>
    <x v="10"/>
    <s v="Corporate"/>
    <s v="Retail Store"/>
    <x v="3"/>
    <n v="1"/>
    <n v="38879.839999999997"/>
    <n v="10"/>
    <n v="34991.86"/>
    <x v="0"/>
  </r>
  <r>
    <s v="ORD11565"/>
    <d v="2028-03-19T00:00:00"/>
    <x v="1"/>
    <x v="2"/>
    <x v="7"/>
    <x v="3"/>
    <x v="19"/>
    <s v="Consumer"/>
    <s v="Distributor"/>
    <x v="4"/>
    <n v="4"/>
    <n v="31055.11"/>
    <n v="0"/>
    <n v="124220.43"/>
    <x v="3"/>
  </r>
  <r>
    <s v="ORD11463"/>
    <d v="2028-03-20T00:00:00"/>
    <x v="0"/>
    <x v="2"/>
    <x v="2"/>
    <x v="3"/>
    <x v="15"/>
    <s v="Corporate"/>
    <s v="Retail Store"/>
    <x v="4"/>
    <n v="3"/>
    <n v="35781.65"/>
    <n v="10"/>
    <n v="96610.46"/>
    <x v="0"/>
  </r>
  <r>
    <s v="ORD10590"/>
    <d v="2028-03-21T00:00:00"/>
    <x v="1"/>
    <x v="2"/>
    <x v="0"/>
    <x v="0"/>
    <x v="8"/>
    <s v="Corporate"/>
    <s v="Distributor"/>
    <x v="0"/>
    <n v="1"/>
    <n v="51995.87"/>
    <n v="5"/>
    <n v="49396.07"/>
    <x v="3"/>
  </r>
  <r>
    <s v="ORD11403"/>
    <d v="2028-03-22T00:00:00"/>
    <x v="0"/>
    <x v="2"/>
    <x v="4"/>
    <x v="0"/>
    <x v="8"/>
    <s v="Corporate"/>
    <s v="Online"/>
    <x v="2"/>
    <n v="4"/>
    <n v="52977.1"/>
    <n v="10"/>
    <n v="190717.57"/>
    <x v="2"/>
  </r>
  <r>
    <s v="ORD11477"/>
    <d v="2028-03-23T00:00:00"/>
    <x v="1"/>
    <x v="2"/>
    <x v="3"/>
    <x v="1"/>
    <x v="13"/>
    <s v="Small Business"/>
    <s v="Online"/>
    <x v="2"/>
    <n v="2"/>
    <n v="2741.36"/>
    <n v="10"/>
    <n v="4934.45"/>
    <x v="3"/>
  </r>
  <r>
    <s v="ORD10056"/>
    <d v="2028-03-24T00:00:00"/>
    <x v="1"/>
    <x v="2"/>
    <x v="0"/>
    <x v="2"/>
    <x v="16"/>
    <s v="Home Office"/>
    <s v="Retail Store"/>
    <x v="3"/>
    <n v="2"/>
    <n v="5709.77"/>
    <n v="0"/>
    <n v="11419.53"/>
    <x v="3"/>
  </r>
  <r>
    <s v="ORD12229"/>
    <d v="2028-03-25T00:00:00"/>
    <x v="0"/>
    <x v="2"/>
    <x v="9"/>
    <x v="2"/>
    <x v="16"/>
    <s v="Home Office"/>
    <s v="Distributor"/>
    <x v="2"/>
    <n v="4"/>
    <n v="6642.33"/>
    <n v="5"/>
    <n v="25240.84"/>
    <x v="0"/>
  </r>
  <r>
    <s v="ORD12390"/>
    <d v="2028-03-26T00:00:00"/>
    <x v="0"/>
    <x v="2"/>
    <x v="5"/>
    <x v="1"/>
    <x v="14"/>
    <s v="Small Business"/>
    <s v="Retail Store"/>
    <x v="0"/>
    <n v="4"/>
    <n v="2336.16"/>
    <n v="5"/>
    <n v="8877.4"/>
    <x v="2"/>
  </r>
  <r>
    <s v="ORD11855"/>
    <d v="2028-03-27T00:00:00"/>
    <x v="4"/>
    <x v="2"/>
    <x v="7"/>
    <x v="0"/>
    <x v="18"/>
    <s v="Corporate"/>
    <s v="Retail Store"/>
    <x v="4"/>
    <n v="1"/>
    <n v="65069.88"/>
    <n v="5"/>
    <n v="61816.39"/>
    <x v="0"/>
  </r>
  <r>
    <s v="ORD10760"/>
    <d v="2028-03-28T00:00:00"/>
    <x v="3"/>
    <x v="2"/>
    <x v="7"/>
    <x v="0"/>
    <x v="18"/>
    <s v="Consumer"/>
    <s v="Online"/>
    <x v="2"/>
    <n v="4"/>
    <n v="59740.29"/>
    <n v="5"/>
    <n v="227013.09"/>
    <x v="3"/>
  </r>
  <r>
    <s v="ORD11792"/>
    <d v="2028-03-29T00:00:00"/>
    <x v="2"/>
    <x v="2"/>
    <x v="0"/>
    <x v="0"/>
    <x v="6"/>
    <s v="Consumer"/>
    <s v="Online"/>
    <x v="1"/>
    <n v="2"/>
    <n v="56907.7"/>
    <n v="0"/>
    <n v="113815.41"/>
    <x v="3"/>
  </r>
  <r>
    <s v="ORD11776"/>
    <d v="2028-03-30T00:00:00"/>
    <x v="3"/>
    <x v="2"/>
    <x v="1"/>
    <x v="0"/>
    <x v="18"/>
    <s v="Consumer"/>
    <s v="Distributor"/>
    <x v="2"/>
    <n v="5"/>
    <n v="62729.85"/>
    <n v="10"/>
    <n v="282284.32"/>
    <x v="3"/>
  </r>
  <r>
    <s v="ORD12486"/>
    <d v="2028-03-31T00:00:00"/>
    <x v="3"/>
    <x v="2"/>
    <x v="4"/>
    <x v="2"/>
    <x v="17"/>
    <s v="Small Business"/>
    <s v="Retail Store"/>
    <x v="1"/>
    <n v="4"/>
    <n v="5394.58"/>
    <n v="10"/>
    <n v="19420.48"/>
    <x v="1"/>
  </r>
  <r>
    <s v="ORD12156"/>
    <d v="2028-04-01T00:00:00"/>
    <x v="4"/>
    <x v="3"/>
    <x v="1"/>
    <x v="0"/>
    <x v="6"/>
    <s v="Consumer"/>
    <s v="Online"/>
    <x v="0"/>
    <n v="2"/>
    <n v="71161.649999999994"/>
    <n v="5"/>
    <n v="135207.13"/>
    <x v="3"/>
  </r>
  <r>
    <s v="ORD12132"/>
    <d v="2028-04-02T00:00:00"/>
    <x v="4"/>
    <x v="3"/>
    <x v="8"/>
    <x v="1"/>
    <x v="13"/>
    <s v="Corporate"/>
    <s v="Distributor"/>
    <x v="1"/>
    <n v="1"/>
    <n v="2075.65"/>
    <n v="20"/>
    <n v="1660.52"/>
    <x v="3"/>
  </r>
  <r>
    <s v="ORD10261"/>
    <d v="2028-04-03T00:00:00"/>
    <x v="2"/>
    <x v="3"/>
    <x v="9"/>
    <x v="4"/>
    <x v="5"/>
    <s v="Consumer"/>
    <s v="Online"/>
    <x v="2"/>
    <n v="3"/>
    <n v="50567.03"/>
    <n v="0"/>
    <n v="151701.09"/>
    <x v="3"/>
  </r>
  <r>
    <s v="ORD11121"/>
    <d v="2028-04-04T00:00:00"/>
    <x v="4"/>
    <x v="3"/>
    <x v="8"/>
    <x v="1"/>
    <x v="4"/>
    <s v="Small Business"/>
    <s v="Distributor"/>
    <x v="3"/>
    <n v="1"/>
    <n v="2999.81"/>
    <n v="15"/>
    <n v="2549.84"/>
    <x v="3"/>
  </r>
  <r>
    <s v="ORD10030"/>
    <d v="2028-04-05T00:00:00"/>
    <x v="0"/>
    <x v="3"/>
    <x v="3"/>
    <x v="3"/>
    <x v="7"/>
    <s v="Consumer"/>
    <s v="Distributor"/>
    <x v="3"/>
    <n v="5"/>
    <n v="32782.93"/>
    <n v="15"/>
    <n v="139327.46"/>
    <x v="3"/>
  </r>
  <r>
    <s v="ORD12002"/>
    <d v="2028-04-06T00:00:00"/>
    <x v="3"/>
    <x v="3"/>
    <x v="5"/>
    <x v="2"/>
    <x v="11"/>
    <s v="Small Business"/>
    <s v="Online"/>
    <x v="2"/>
    <n v="1"/>
    <n v="7680.38"/>
    <n v="10"/>
    <n v="6912.35"/>
    <x v="2"/>
  </r>
  <r>
    <s v="ORD10156"/>
    <d v="2028-04-07T00:00:00"/>
    <x v="1"/>
    <x v="3"/>
    <x v="8"/>
    <x v="0"/>
    <x v="18"/>
    <s v="Home Office"/>
    <s v="Retail Store"/>
    <x v="1"/>
    <n v="2"/>
    <n v="57855.44"/>
    <n v="5"/>
    <n v="109925.34"/>
    <x v="3"/>
  </r>
  <r>
    <s v="ORD11864"/>
    <d v="2028-04-08T00:00:00"/>
    <x v="0"/>
    <x v="3"/>
    <x v="5"/>
    <x v="2"/>
    <x v="16"/>
    <s v="Consumer"/>
    <s v="Retail Store"/>
    <x v="2"/>
    <n v="5"/>
    <n v="6511.95"/>
    <n v="15"/>
    <n v="27675.79"/>
    <x v="3"/>
  </r>
  <r>
    <s v="ORD10329"/>
    <d v="2028-04-09T00:00:00"/>
    <x v="4"/>
    <x v="3"/>
    <x v="7"/>
    <x v="4"/>
    <x v="12"/>
    <s v="Corporate"/>
    <s v="Online"/>
    <x v="3"/>
    <n v="5"/>
    <n v="35364.050000000003"/>
    <n v="10"/>
    <n v="159138.22"/>
    <x v="3"/>
  </r>
  <r>
    <s v="ORD11906"/>
    <d v="2028-04-10T00:00:00"/>
    <x v="0"/>
    <x v="3"/>
    <x v="0"/>
    <x v="0"/>
    <x v="6"/>
    <s v="Home Office"/>
    <s v="Online"/>
    <x v="2"/>
    <n v="5"/>
    <n v="48977.15"/>
    <n v="15"/>
    <n v="208152.89"/>
    <x v="0"/>
  </r>
  <r>
    <s v="ORD11882"/>
    <d v="2028-04-11T00:00:00"/>
    <x v="2"/>
    <x v="3"/>
    <x v="0"/>
    <x v="0"/>
    <x v="6"/>
    <s v="Small Business"/>
    <s v="Online"/>
    <x v="0"/>
    <n v="3"/>
    <n v="57391.53"/>
    <n v="5"/>
    <n v="163565.87"/>
    <x v="3"/>
  </r>
  <r>
    <s v="ORD11995"/>
    <d v="2028-04-12T00:00:00"/>
    <x v="0"/>
    <x v="3"/>
    <x v="5"/>
    <x v="4"/>
    <x v="12"/>
    <s v="Corporate"/>
    <s v="Distributor"/>
    <x v="1"/>
    <n v="2"/>
    <n v="46693.8"/>
    <n v="15"/>
    <n v="79379.460000000006"/>
    <x v="3"/>
  </r>
  <r>
    <s v="ORD10035"/>
    <d v="2028-04-13T00:00:00"/>
    <x v="4"/>
    <x v="3"/>
    <x v="3"/>
    <x v="4"/>
    <x v="5"/>
    <s v="Corporate"/>
    <s v="Retail Store"/>
    <x v="1"/>
    <n v="2"/>
    <n v="37501.54"/>
    <n v="15"/>
    <n v="63752.61"/>
    <x v="2"/>
  </r>
  <r>
    <s v="ORD10389"/>
    <d v="2028-04-14T00:00:00"/>
    <x v="3"/>
    <x v="3"/>
    <x v="4"/>
    <x v="0"/>
    <x v="6"/>
    <s v="Consumer"/>
    <s v="Online"/>
    <x v="1"/>
    <n v="1"/>
    <n v="69628.34"/>
    <n v="0"/>
    <n v="69628.34"/>
    <x v="0"/>
  </r>
  <r>
    <s v="ORD11549"/>
    <d v="2028-04-15T00:00:00"/>
    <x v="4"/>
    <x v="3"/>
    <x v="6"/>
    <x v="1"/>
    <x v="1"/>
    <s v="Home Office"/>
    <s v="Distributor"/>
    <x v="3"/>
    <n v="2"/>
    <n v="2705.61"/>
    <n v="5"/>
    <n v="5140.67"/>
    <x v="3"/>
  </r>
  <r>
    <s v="ORD10357"/>
    <d v="2028-04-16T00:00:00"/>
    <x v="2"/>
    <x v="3"/>
    <x v="2"/>
    <x v="3"/>
    <x v="19"/>
    <s v="Corporate"/>
    <s v="Online"/>
    <x v="0"/>
    <n v="5"/>
    <n v="31609.8"/>
    <n v="10"/>
    <n v="142244.12"/>
    <x v="3"/>
  </r>
  <r>
    <s v="ORD11531"/>
    <d v="2028-04-17T00:00:00"/>
    <x v="2"/>
    <x v="3"/>
    <x v="1"/>
    <x v="3"/>
    <x v="3"/>
    <s v="Consumer"/>
    <s v="Online"/>
    <x v="3"/>
    <n v="3"/>
    <n v="33431.449999999997"/>
    <n v="15"/>
    <n v="85250.19"/>
    <x v="1"/>
  </r>
  <r>
    <s v="ORD11818"/>
    <d v="2028-04-18T00:00:00"/>
    <x v="0"/>
    <x v="3"/>
    <x v="5"/>
    <x v="0"/>
    <x v="18"/>
    <s v="Corporate"/>
    <s v="Retail Store"/>
    <x v="4"/>
    <n v="5"/>
    <n v="66533.929999999993"/>
    <n v="15"/>
    <n v="282769.19"/>
    <x v="1"/>
  </r>
  <r>
    <s v="ORD11450"/>
    <d v="2028-04-19T00:00:00"/>
    <x v="1"/>
    <x v="3"/>
    <x v="8"/>
    <x v="4"/>
    <x v="12"/>
    <s v="Corporate"/>
    <s v="Retail Store"/>
    <x v="2"/>
    <n v="2"/>
    <n v="42492.04"/>
    <n v="5"/>
    <n v="80734.880000000005"/>
    <x v="3"/>
  </r>
  <r>
    <s v="ORD11207"/>
    <d v="2028-04-20T00:00:00"/>
    <x v="0"/>
    <x v="3"/>
    <x v="0"/>
    <x v="3"/>
    <x v="7"/>
    <s v="Home Office"/>
    <s v="Retail Store"/>
    <x v="4"/>
    <n v="4"/>
    <n v="32037.9"/>
    <n v="0"/>
    <n v="128151.6"/>
    <x v="3"/>
  </r>
  <r>
    <s v="ORD10581"/>
    <d v="2028-04-21T00:00:00"/>
    <x v="0"/>
    <x v="3"/>
    <x v="8"/>
    <x v="0"/>
    <x v="0"/>
    <s v="Corporate"/>
    <s v="Retail Store"/>
    <x v="4"/>
    <n v="3"/>
    <n v="48776.49"/>
    <n v="5"/>
    <n v="139012.98000000001"/>
    <x v="0"/>
  </r>
  <r>
    <s v="ORD10707"/>
    <d v="2028-04-22T00:00:00"/>
    <x v="3"/>
    <x v="3"/>
    <x v="3"/>
    <x v="4"/>
    <x v="12"/>
    <s v="Corporate"/>
    <s v="Online"/>
    <x v="4"/>
    <n v="2"/>
    <n v="44095.86"/>
    <n v="10"/>
    <n v="79372.55"/>
    <x v="3"/>
  </r>
  <r>
    <s v="ORD11186"/>
    <d v="2028-04-23T00:00:00"/>
    <x v="3"/>
    <x v="3"/>
    <x v="1"/>
    <x v="1"/>
    <x v="1"/>
    <s v="Consumer"/>
    <s v="Retail Store"/>
    <x v="4"/>
    <n v="1"/>
    <n v="1949.77"/>
    <n v="5"/>
    <n v="1852.28"/>
    <x v="3"/>
  </r>
  <r>
    <s v="ORD11920"/>
    <d v="2028-04-24T00:00:00"/>
    <x v="4"/>
    <x v="3"/>
    <x v="8"/>
    <x v="3"/>
    <x v="7"/>
    <s v="Home Office"/>
    <s v="Retail Store"/>
    <x v="2"/>
    <n v="5"/>
    <n v="27666.3"/>
    <n v="0"/>
    <n v="138331.51"/>
    <x v="3"/>
  </r>
  <r>
    <s v="ORD11880"/>
    <d v="2028-04-25T00:00:00"/>
    <x v="4"/>
    <x v="3"/>
    <x v="5"/>
    <x v="0"/>
    <x v="18"/>
    <s v="Small Business"/>
    <s v="Online"/>
    <x v="4"/>
    <n v="3"/>
    <n v="55901.45"/>
    <n v="10"/>
    <n v="150933.92000000001"/>
    <x v="0"/>
  </r>
  <r>
    <s v="ORD10691"/>
    <d v="2028-04-26T00:00:00"/>
    <x v="0"/>
    <x v="3"/>
    <x v="9"/>
    <x v="1"/>
    <x v="1"/>
    <s v="Consumer"/>
    <s v="Retail Store"/>
    <x v="4"/>
    <n v="4"/>
    <n v="2971.28"/>
    <n v="5"/>
    <n v="11290.87"/>
    <x v="3"/>
  </r>
  <r>
    <s v="ORD10377"/>
    <d v="2028-04-27T00:00:00"/>
    <x v="4"/>
    <x v="3"/>
    <x v="8"/>
    <x v="1"/>
    <x v="13"/>
    <s v="Corporate"/>
    <s v="Distributor"/>
    <x v="4"/>
    <n v="1"/>
    <n v="2796.89"/>
    <n v="5"/>
    <n v="2657.04"/>
    <x v="3"/>
  </r>
  <r>
    <s v="ORD10894"/>
    <d v="2028-04-28T00:00:00"/>
    <x v="1"/>
    <x v="3"/>
    <x v="2"/>
    <x v="2"/>
    <x v="2"/>
    <s v="Corporate"/>
    <s v="Distributor"/>
    <x v="0"/>
    <n v="2"/>
    <n v="6766.4"/>
    <n v="20"/>
    <n v="10826.24"/>
    <x v="3"/>
  </r>
  <r>
    <s v="ORD12257"/>
    <d v="2028-04-29T00:00:00"/>
    <x v="1"/>
    <x v="3"/>
    <x v="2"/>
    <x v="2"/>
    <x v="11"/>
    <s v="Corporate"/>
    <s v="Retail Store"/>
    <x v="3"/>
    <n v="5"/>
    <n v="6678.46"/>
    <n v="15"/>
    <n v="28383.439999999999"/>
    <x v="1"/>
  </r>
  <r>
    <s v="ORD10715"/>
    <d v="2028-04-30T00:00:00"/>
    <x v="3"/>
    <x v="3"/>
    <x v="1"/>
    <x v="0"/>
    <x v="0"/>
    <s v="Home Office"/>
    <s v="Online"/>
    <x v="3"/>
    <n v="1"/>
    <n v="62170.64"/>
    <n v="5"/>
    <n v="59062.11"/>
    <x v="3"/>
  </r>
  <r>
    <s v="ORD11680"/>
    <d v="2028-05-01T00:00:00"/>
    <x v="4"/>
    <x v="4"/>
    <x v="5"/>
    <x v="4"/>
    <x v="9"/>
    <s v="Consumer"/>
    <s v="Online"/>
    <x v="4"/>
    <n v="2"/>
    <n v="32753.23"/>
    <n v="5"/>
    <n v="62231.13"/>
    <x v="3"/>
  </r>
  <r>
    <s v="ORD12459"/>
    <d v="2028-05-02T00:00:00"/>
    <x v="3"/>
    <x v="4"/>
    <x v="3"/>
    <x v="3"/>
    <x v="7"/>
    <s v="Small Business"/>
    <s v="Retail Store"/>
    <x v="4"/>
    <n v="2"/>
    <n v="30933.58"/>
    <n v="10"/>
    <n v="55680.45"/>
    <x v="3"/>
  </r>
  <r>
    <s v="ORD12349"/>
    <d v="2028-05-03T00:00:00"/>
    <x v="1"/>
    <x v="4"/>
    <x v="2"/>
    <x v="4"/>
    <x v="12"/>
    <s v="Home Office"/>
    <s v="Online"/>
    <x v="3"/>
    <n v="4"/>
    <n v="44241.78"/>
    <n v="0"/>
    <n v="176967.13"/>
    <x v="1"/>
  </r>
  <r>
    <s v="ORD10517"/>
    <d v="2028-05-04T00:00:00"/>
    <x v="4"/>
    <x v="4"/>
    <x v="6"/>
    <x v="3"/>
    <x v="15"/>
    <s v="Small Business"/>
    <s v="Distributor"/>
    <x v="4"/>
    <n v="2"/>
    <n v="37842.769999999997"/>
    <n v="15"/>
    <n v="64332.71"/>
    <x v="1"/>
  </r>
  <r>
    <s v="ORD11391"/>
    <d v="2028-05-05T00:00:00"/>
    <x v="4"/>
    <x v="4"/>
    <x v="5"/>
    <x v="0"/>
    <x v="0"/>
    <s v="Consumer"/>
    <s v="Retail Store"/>
    <x v="0"/>
    <n v="1"/>
    <n v="52189.95"/>
    <n v="15"/>
    <n v="44361.46"/>
    <x v="2"/>
  </r>
  <r>
    <s v="ORD10278"/>
    <d v="2028-05-06T00:00:00"/>
    <x v="1"/>
    <x v="4"/>
    <x v="1"/>
    <x v="0"/>
    <x v="0"/>
    <s v="Home Office"/>
    <s v="Online"/>
    <x v="3"/>
    <n v="2"/>
    <n v="49280.67"/>
    <n v="5"/>
    <n v="93633.279999999999"/>
    <x v="1"/>
  </r>
  <r>
    <s v="ORD12432"/>
    <d v="2028-05-07T00:00:00"/>
    <x v="4"/>
    <x v="4"/>
    <x v="8"/>
    <x v="3"/>
    <x v="15"/>
    <s v="Small Business"/>
    <s v="Retail Store"/>
    <x v="2"/>
    <n v="1"/>
    <n v="29168.75"/>
    <n v="10"/>
    <n v="26251.87"/>
    <x v="3"/>
  </r>
  <r>
    <s v="ORD11230"/>
    <d v="2028-05-08T00:00:00"/>
    <x v="4"/>
    <x v="4"/>
    <x v="4"/>
    <x v="0"/>
    <x v="6"/>
    <s v="Home Office"/>
    <s v="Online"/>
    <x v="3"/>
    <n v="2"/>
    <n v="61265.53"/>
    <n v="5"/>
    <n v="116404.51"/>
    <x v="1"/>
  </r>
  <r>
    <s v="ORD11382"/>
    <d v="2028-05-09T00:00:00"/>
    <x v="3"/>
    <x v="4"/>
    <x v="3"/>
    <x v="2"/>
    <x v="11"/>
    <s v="Consumer"/>
    <s v="Distributor"/>
    <x v="2"/>
    <n v="3"/>
    <n v="6959.16"/>
    <n v="0"/>
    <n v="20877.490000000002"/>
    <x v="2"/>
  </r>
  <r>
    <s v="ORD10340"/>
    <d v="2028-05-10T00:00:00"/>
    <x v="4"/>
    <x v="4"/>
    <x v="1"/>
    <x v="3"/>
    <x v="7"/>
    <s v="Home Office"/>
    <s v="Retail Store"/>
    <x v="1"/>
    <n v="3"/>
    <n v="32163.72"/>
    <n v="0"/>
    <n v="96491.15"/>
    <x v="3"/>
  </r>
  <r>
    <s v="ORD12439"/>
    <d v="2028-05-11T00:00:00"/>
    <x v="3"/>
    <x v="4"/>
    <x v="8"/>
    <x v="1"/>
    <x v="14"/>
    <s v="Consumer"/>
    <s v="Distributor"/>
    <x v="4"/>
    <n v="2"/>
    <n v="1989.54"/>
    <n v="5"/>
    <n v="3780.14"/>
    <x v="3"/>
  </r>
  <r>
    <s v="ORD10548"/>
    <d v="2028-05-12T00:00:00"/>
    <x v="2"/>
    <x v="4"/>
    <x v="3"/>
    <x v="0"/>
    <x v="0"/>
    <s v="Corporate"/>
    <s v="Retail Store"/>
    <x v="1"/>
    <n v="3"/>
    <n v="67098.259999999995"/>
    <n v="15"/>
    <n v="171100.56"/>
    <x v="3"/>
  </r>
  <r>
    <s v="ORD11488"/>
    <d v="2028-05-13T00:00:00"/>
    <x v="0"/>
    <x v="4"/>
    <x v="7"/>
    <x v="0"/>
    <x v="6"/>
    <s v="Consumer"/>
    <s v="Retail Store"/>
    <x v="0"/>
    <n v="3"/>
    <n v="57122"/>
    <n v="20"/>
    <n v="137092.79"/>
    <x v="3"/>
  </r>
  <r>
    <s v="ORD10430"/>
    <d v="2028-05-14T00:00:00"/>
    <x v="1"/>
    <x v="4"/>
    <x v="4"/>
    <x v="3"/>
    <x v="15"/>
    <s v="Small Business"/>
    <s v="Distributor"/>
    <x v="2"/>
    <n v="1"/>
    <n v="33288.51"/>
    <n v="10"/>
    <n v="29959.66"/>
    <x v="0"/>
  </r>
  <r>
    <s v="ORD11093"/>
    <d v="2028-05-15T00:00:00"/>
    <x v="4"/>
    <x v="4"/>
    <x v="7"/>
    <x v="4"/>
    <x v="5"/>
    <s v="Corporate"/>
    <s v="Online"/>
    <x v="2"/>
    <n v="2"/>
    <n v="44650.15"/>
    <n v="15"/>
    <n v="75905.25"/>
    <x v="2"/>
  </r>
  <r>
    <s v="ORD10681"/>
    <d v="2028-05-16T00:00:00"/>
    <x v="2"/>
    <x v="4"/>
    <x v="9"/>
    <x v="4"/>
    <x v="5"/>
    <s v="Home Office"/>
    <s v="Distributor"/>
    <x v="1"/>
    <n v="1"/>
    <n v="39486.769999999997"/>
    <n v="0"/>
    <n v="39486.769999999997"/>
    <x v="3"/>
  </r>
  <r>
    <s v="ORD11119"/>
    <d v="2028-05-17T00:00:00"/>
    <x v="1"/>
    <x v="4"/>
    <x v="9"/>
    <x v="1"/>
    <x v="13"/>
    <s v="Consumer"/>
    <s v="Online"/>
    <x v="3"/>
    <n v="5"/>
    <n v="2373.5700000000002"/>
    <n v="0"/>
    <n v="11867.86"/>
    <x v="1"/>
  </r>
  <r>
    <s v="ORD10911"/>
    <d v="2028-05-18T00:00:00"/>
    <x v="0"/>
    <x v="4"/>
    <x v="2"/>
    <x v="3"/>
    <x v="3"/>
    <s v="Home Office"/>
    <s v="Online"/>
    <x v="1"/>
    <n v="1"/>
    <n v="27870.73"/>
    <n v="15"/>
    <n v="23690.12"/>
    <x v="1"/>
  </r>
  <r>
    <s v="ORD11170"/>
    <d v="2028-05-19T00:00:00"/>
    <x v="4"/>
    <x v="4"/>
    <x v="4"/>
    <x v="1"/>
    <x v="13"/>
    <s v="Small Business"/>
    <s v="Online"/>
    <x v="4"/>
    <n v="4"/>
    <n v="2822.47"/>
    <n v="5"/>
    <n v="10725.39"/>
    <x v="3"/>
  </r>
  <r>
    <s v="ORD11957"/>
    <d v="2028-05-20T00:00:00"/>
    <x v="0"/>
    <x v="4"/>
    <x v="4"/>
    <x v="2"/>
    <x v="2"/>
    <s v="Home Office"/>
    <s v="Online"/>
    <x v="4"/>
    <n v="2"/>
    <n v="5657.03"/>
    <n v="15"/>
    <n v="9616.9599999999991"/>
    <x v="3"/>
  </r>
  <r>
    <s v="ORD11530"/>
    <d v="2028-05-21T00:00:00"/>
    <x v="3"/>
    <x v="4"/>
    <x v="9"/>
    <x v="2"/>
    <x v="2"/>
    <s v="Small Business"/>
    <s v="Online"/>
    <x v="0"/>
    <n v="1"/>
    <n v="7429.12"/>
    <n v="15"/>
    <n v="6314.75"/>
    <x v="3"/>
  </r>
  <r>
    <s v="ORD11556"/>
    <d v="2028-05-22T00:00:00"/>
    <x v="2"/>
    <x v="4"/>
    <x v="4"/>
    <x v="3"/>
    <x v="3"/>
    <s v="Small Business"/>
    <s v="Distributor"/>
    <x v="1"/>
    <n v="1"/>
    <n v="38228.67"/>
    <n v="0"/>
    <n v="38228.67"/>
    <x v="0"/>
  </r>
  <r>
    <s v="ORD11054"/>
    <d v="2028-05-23T00:00:00"/>
    <x v="3"/>
    <x v="4"/>
    <x v="5"/>
    <x v="4"/>
    <x v="9"/>
    <s v="Home Office"/>
    <s v="Distributor"/>
    <x v="0"/>
    <n v="3"/>
    <n v="41805.53"/>
    <n v="20"/>
    <n v="100333.26"/>
    <x v="0"/>
  </r>
  <r>
    <s v="ORD10615"/>
    <d v="2028-05-24T00:00:00"/>
    <x v="3"/>
    <x v="4"/>
    <x v="8"/>
    <x v="0"/>
    <x v="8"/>
    <s v="Home Office"/>
    <s v="Distributor"/>
    <x v="0"/>
    <n v="2"/>
    <n v="67913.22"/>
    <n v="5"/>
    <n v="129035.13"/>
    <x v="3"/>
  </r>
  <r>
    <s v="ORD11534"/>
    <d v="2028-05-25T00:00:00"/>
    <x v="3"/>
    <x v="4"/>
    <x v="5"/>
    <x v="0"/>
    <x v="6"/>
    <s v="Corporate"/>
    <s v="Retail Store"/>
    <x v="1"/>
    <n v="4"/>
    <n v="64950.32"/>
    <n v="10"/>
    <n v="233821.17"/>
    <x v="3"/>
  </r>
  <r>
    <s v="ORD11303"/>
    <d v="2028-05-26T00:00:00"/>
    <x v="3"/>
    <x v="4"/>
    <x v="1"/>
    <x v="2"/>
    <x v="16"/>
    <s v="Corporate"/>
    <s v="Online"/>
    <x v="3"/>
    <n v="5"/>
    <n v="4919.1400000000003"/>
    <n v="10"/>
    <n v="22136.13"/>
    <x v="3"/>
  </r>
  <r>
    <s v="ORD10793"/>
    <d v="2028-05-27T00:00:00"/>
    <x v="2"/>
    <x v="4"/>
    <x v="2"/>
    <x v="0"/>
    <x v="8"/>
    <s v="Home Office"/>
    <s v="Retail Store"/>
    <x v="1"/>
    <n v="4"/>
    <n v="48829.8"/>
    <n v="10"/>
    <n v="175787.29"/>
    <x v="0"/>
  </r>
  <r>
    <s v="ORD11813"/>
    <d v="2028-05-28T00:00:00"/>
    <x v="4"/>
    <x v="4"/>
    <x v="2"/>
    <x v="4"/>
    <x v="5"/>
    <s v="Home Office"/>
    <s v="Retail Store"/>
    <x v="2"/>
    <n v="1"/>
    <n v="40842.18"/>
    <n v="0"/>
    <n v="40842.18"/>
    <x v="3"/>
  </r>
  <r>
    <s v="ORD12291"/>
    <d v="2028-05-29T00:00:00"/>
    <x v="4"/>
    <x v="4"/>
    <x v="2"/>
    <x v="0"/>
    <x v="8"/>
    <s v="Corporate"/>
    <s v="Distributor"/>
    <x v="0"/>
    <n v="1"/>
    <n v="71685.45"/>
    <n v="0"/>
    <n v="71685.45"/>
    <x v="1"/>
  </r>
  <r>
    <s v="ORD12115"/>
    <d v="2028-05-30T00:00:00"/>
    <x v="1"/>
    <x v="4"/>
    <x v="9"/>
    <x v="1"/>
    <x v="14"/>
    <s v="Small Business"/>
    <s v="Distributor"/>
    <x v="2"/>
    <n v="1"/>
    <n v="2729.44"/>
    <n v="5"/>
    <n v="2592.9699999999998"/>
    <x v="1"/>
  </r>
  <r>
    <s v="ORD10946"/>
    <d v="2028-05-31T00:00:00"/>
    <x v="3"/>
    <x v="4"/>
    <x v="5"/>
    <x v="1"/>
    <x v="4"/>
    <s v="Consumer"/>
    <s v="Online"/>
    <x v="4"/>
    <n v="2"/>
    <n v="2996.93"/>
    <n v="0"/>
    <n v="5993.86"/>
    <x v="0"/>
  </r>
  <r>
    <s v="ORD11131"/>
    <d v="2028-06-01T00:00:00"/>
    <x v="0"/>
    <x v="5"/>
    <x v="4"/>
    <x v="0"/>
    <x v="6"/>
    <s v="Corporate"/>
    <s v="Online"/>
    <x v="2"/>
    <n v="5"/>
    <n v="49670.99"/>
    <n v="20"/>
    <n v="198683.96"/>
    <x v="3"/>
  </r>
  <r>
    <s v="ORD11335"/>
    <d v="2028-06-02T00:00:00"/>
    <x v="3"/>
    <x v="5"/>
    <x v="2"/>
    <x v="3"/>
    <x v="15"/>
    <s v="Consumer"/>
    <s v="Online"/>
    <x v="3"/>
    <n v="1"/>
    <n v="24629.38"/>
    <n v="5"/>
    <n v="23397.91"/>
    <x v="3"/>
  </r>
  <r>
    <s v="ORD12028"/>
    <d v="2028-06-03T00:00:00"/>
    <x v="1"/>
    <x v="5"/>
    <x v="4"/>
    <x v="2"/>
    <x v="11"/>
    <s v="Home Office"/>
    <s v="Retail Store"/>
    <x v="4"/>
    <n v="5"/>
    <n v="7312.57"/>
    <n v="5"/>
    <n v="34734.69"/>
    <x v="2"/>
  </r>
  <r>
    <s v="ORD10509"/>
    <d v="2028-06-04T00:00:00"/>
    <x v="1"/>
    <x v="5"/>
    <x v="2"/>
    <x v="1"/>
    <x v="13"/>
    <s v="Small Business"/>
    <s v="Distributor"/>
    <x v="4"/>
    <n v="2"/>
    <n v="2861.31"/>
    <n v="15"/>
    <n v="4864.2299999999996"/>
    <x v="0"/>
  </r>
  <r>
    <s v="ORD12144"/>
    <d v="2028-06-05T00:00:00"/>
    <x v="0"/>
    <x v="5"/>
    <x v="6"/>
    <x v="2"/>
    <x v="16"/>
    <s v="Consumer"/>
    <s v="Retail Store"/>
    <x v="2"/>
    <n v="4"/>
    <n v="5116.97"/>
    <n v="5"/>
    <n v="19444.47"/>
    <x v="3"/>
  </r>
  <r>
    <s v="ORD10496"/>
    <d v="2028-06-06T00:00:00"/>
    <x v="2"/>
    <x v="5"/>
    <x v="2"/>
    <x v="4"/>
    <x v="9"/>
    <s v="Small Business"/>
    <s v="Online"/>
    <x v="1"/>
    <n v="3"/>
    <n v="35042.83"/>
    <n v="0"/>
    <n v="105128.48"/>
    <x v="3"/>
  </r>
  <r>
    <s v="ORD10051"/>
    <d v="2028-06-07T00:00:00"/>
    <x v="2"/>
    <x v="5"/>
    <x v="0"/>
    <x v="1"/>
    <x v="4"/>
    <s v="Small Business"/>
    <s v="Online"/>
    <x v="1"/>
    <n v="5"/>
    <n v="1876.75"/>
    <n v="15"/>
    <n v="7976.17"/>
    <x v="2"/>
  </r>
  <r>
    <s v="ORD12064"/>
    <d v="2028-06-08T00:00:00"/>
    <x v="0"/>
    <x v="5"/>
    <x v="7"/>
    <x v="4"/>
    <x v="5"/>
    <s v="Consumer"/>
    <s v="Online"/>
    <x v="0"/>
    <n v="3"/>
    <n v="32839.19"/>
    <n v="20"/>
    <n v="78814.05"/>
    <x v="3"/>
  </r>
  <r>
    <s v="ORD11522"/>
    <d v="2028-06-09T00:00:00"/>
    <x v="2"/>
    <x v="5"/>
    <x v="9"/>
    <x v="1"/>
    <x v="13"/>
    <s v="Home Office"/>
    <s v="Retail Store"/>
    <x v="4"/>
    <n v="1"/>
    <n v="2559.25"/>
    <n v="0"/>
    <n v="2559.25"/>
    <x v="3"/>
  </r>
  <r>
    <s v="ORD12150"/>
    <d v="2028-06-10T00:00:00"/>
    <x v="2"/>
    <x v="5"/>
    <x v="9"/>
    <x v="4"/>
    <x v="9"/>
    <s v="Small Business"/>
    <s v="Online"/>
    <x v="0"/>
    <n v="5"/>
    <n v="46753.59"/>
    <n v="5"/>
    <n v="222079.55"/>
    <x v="3"/>
  </r>
  <r>
    <s v="ORD11889"/>
    <d v="2028-06-11T00:00:00"/>
    <x v="1"/>
    <x v="5"/>
    <x v="3"/>
    <x v="3"/>
    <x v="19"/>
    <s v="Consumer"/>
    <s v="Retail Store"/>
    <x v="1"/>
    <n v="4"/>
    <n v="29789.42"/>
    <n v="20"/>
    <n v="95326.15"/>
    <x v="0"/>
  </r>
  <r>
    <s v="ORD10279"/>
    <d v="2028-06-12T00:00:00"/>
    <x v="0"/>
    <x v="5"/>
    <x v="2"/>
    <x v="3"/>
    <x v="7"/>
    <s v="Small Business"/>
    <s v="Distributor"/>
    <x v="0"/>
    <n v="3"/>
    <n v="34124.730000000003"/>
    <n v="0"/>
    <n v="102374.2"/>
    <x v="3"/>
  </r>
  <r>
    <s v="ORD11472"/>
    <d v="2028-06-13T00:00:00"/>
    <x v="2"/>
    <x v="5"/>
    <x v="9"/>
    <x v="3"/>
    <x v="19"/>
    <s v="Corporate"/>
    <s v="Distributor"/>
    <x v="2"/>
    <n v="2"/>
    <n v="37520.07"/>
    <n v="0"/>
    <n v="75040.13"/>
    <x v="2"/>
  </r>
  <r>
    <s v="ORD10141"/>
    <d v="2028-06-14T00:00:00"/>
    <x v="3"/>
    <x v="5"/>
    <x v="7"/>
    <x v="4"/>
    <x v="5"/>
    <s v="Corporate"/>
    <s v="Online"/>
    <x v="4"/>
    <n v="1"/>
    <n v="50817.16"/>
    <n v="0"/>
    <n v="50817.16"/>
    <x v="2"/>
  </r>
  <r>
    <s v="ORD12190"/>
    <d v="2028-06-15T00:00:00"/>
    <x v="1"/>
    <x v="5"/>
    <x v="1"/>
    <x v="1"/>
    <x v="1"/>
    <s v="Home Office"/>
    <s v="Distributor"/>
    <x v="0"/>
    <n v="5"/>
    <n v="2560.66"/>
    <n v="0"/>
    <n v="12803.32"/>
    <x v="3"/>
  </r>
  <r>
    <s v="ORD11584"/>
    <d v="2028-06-16T00:00:00"/>
    <x v="0"/>
    <x v="5"/>
    <x v="9"/>
    <x v="0"/>
    <x v="18"/>
    <s v="Corporate"/>
    <s v="Distributor"/>
    <x v="0"/>
    <n v="2"/>
    <n v="57804.91"/>
    <n v="0"/>
    <n v="115609.82"/>
    <x v="1"/>
  </r>
  <r>
    <s v="ORD10343"/>
    <d v="2028-06-17T00:00:00"/>
    <x v="1"/>
    <x v="5"/>
    <x v="4"/>
    <x v="1"/>
    <x v="13"/>
    <s v="Home Office"/>
    <s v="Retail Store"/>
    <x v="0"/>
    <n v="3"/>
    <n v="2201"/>
    <n v="0"/>
    <n v="6603"/>
    <x v="2"/>
  </r>
  <r>
    <s v="ORD11445"/>
    <d v="2028-06-18T00:00:00"/>
    <x v="2"/>
    <x v="5"/>
    <x v="0"/>
    <x v="4"/>
    <x v="9"/>
    <s v="Corporate"/>
    <s v="Online"/>
    <x v="3"/>
    <n v="5"/>
    <n v="48592.46"/>
    <n v="5"/>
    <n v="230814.19"/>
    <x v="3"/>
  </r>
  <r>
    <s v="ORD11917"/>
    <d v="2028-06-19T00:00:00"/>
    <x v="1"/>
    <x v="5"/>
    <x v="7"/>
    <x v="2"/>
    <x v="17"/>
    <s v="Home Office"/>
    <s v="Online"/>
    <x v="3"/>
    <n v="3"/>
    <n v="6581.41"/>
    <n v="10"/>
    <n v="17769.8"/>
    <x v="2"/>
  </r>
  <r>
    <s v="ORD11033"/>
    <d v="2028-06-20T00:00:00"/>
    <x v="1"/>
    <x v="5"/>
    <x v="7"/>
    <x v="0"/>
    <x v="18"/>
    <s v="Home Office"/>
    <s v="Retail Store"/>
    <x v="4"/>
    <n v="2"/>
    <n v="68940.740000000005"/>
    <n v="0"/>
    <n v="137881.48000000001"/>
    <x v="2"/>
  </r>
  <r>
    <s v="ORD11972"/>
    <d v="2028-06-21T00:00:00"/>
    <x v="3"/>
    <x v="5"/>
    <x v="8"/>
    <x v="0"/>
    <x v="18"/>
    <s v="Home Office"/>
    <s v="Distributor"/>
    <x v="2"/>
    <n v="5"/>
    <n v="49881.48"/>
    <n v="20"/>
    <n v="199525.9"/>
    <x v="1"/>
  </r>
  <r>
    <s v="ORD11151"/>
    <d v="2028-06-22T00:00:00"/>
    <x v="3"/>
    <x v="5"/>
    <x v="2"/>
    <x v="4"/>
    <x v="9"/>
    <s v="Home Office"/>
    <s v="Online"/>
    <x v="0"/>
    <n v="3"/>
    <n v="45206.47"/>
    <n v="5"/>
    <n v="128838.44"/>
    <x v="3"/>
  </r>
  <r>
    <s v="ORD10395"/>
    <d v="2028-06-23T00:00:00"/>
    <x v="3"/>
    <x v="5"/>
    <x v="5"/>
    <x v="2"/>
    <x v="17"/>
    <s v="Consumer"/>
    <s v="Retail Store"/>
    <x v="3"/>
    <n v="1"/>
    <n v="7414.96"/>
    <n v="0"/>
    <n v="7414.96"/>
    <x v="0"/>
  </r>
  <r>
    <s v="ORD11467"/>
    <d v="2028-06-24T00:00:00"/>
    <x v="3"/>
    <x v="5"/>
    <x v="2"/>
    <x v="0"/>
    <x v="6"/>
    <s v="Small Business"/>
    <s v="Retail Store"/>
    <x v="3"/>
    <n v="4"/>
    <n v="67368.039999999994"/>
    <n v="15"/>
    <n v="229051.35"/>
    <x v="3"/>
  </r>
  <r>
    <s v="ORD12284"/>
    <d v="2028-06-25T00:00:00"/>
    <x v="1"/>
    <x v="5"/>
    <x v="3"/>
    <x v="4"/>
    <x v="12"/>
    <s v="Home Office"/>
    <s v="Online"/>
    <x v="1"/>
    <n v="3"/>
    <n v="42363.86"/>
    <n v="0"/>
    <n v="127091.57"/>
    <x v="3"/>
  </r>
  <r>
    <s v="ORD10317"/>
    <d v="2028-06-26T00:00:00"/>
    <x v="1"/>
    <x v="5"/>
    <x v="5"/>
    <x v="3"/>
    <x v="7"/>
    <s v="Corporate"/>
    <s v="Distributor"/>
    <x v="1"/>
    <n v="2"/>
    <n v="34806.769999999997"/>
    <n v="0"/>
    <n v="69613.539999999994"/>
    <x v="1"/>
  </r>
  <r>
    <s v="ORD12244"/>
    <d v="2028-06-27T00:00:00"/>
    <x v="0"/>
    <x v="5"/>
    <x v="3"/>
    <x v="3"/>
    <x v="7"/>
    <s v="Consumer"/>
    <s v="Retail Store"/>
    <x v="2"/>
    <n v="1"/>
    <n v="27959.74"/>
    <n v="0"/>
    <n v="27959.74"/>
    <x v="2"/>
  </r>
  <r>
    <s v="ORD10107"/>
    <d v="2028-06-28T00:00:00"/>
    <x v="2"/>
    <x v="5"/>
    <x v="7"/>
    <x v="1"/>
    <x v="1"/>
    <s v="Home Office"/>
    <s v="Online"/>
    <x v="4"/>
    <n v="5"/>
    <n v="2558.15"/>
    <n v="0"/>
    <n v="12790.75"/>
    <x v="3"/>
  </r>
  <r>
    <s v="ORD10979"/>
    <d v="2028-06-29T00:00:00"/>
    <x v="1"/>
    <x v="5"/>
    <x v="3"/>
    <x v="2"/>
    <x v="11"/>
    <s v="Corporate"/>
    <s v="Distributor"/>
    <x v="4"/>
    <n v="5"/>
    <n v="7616.82"/>
    <n v="0"/>
    <n v="38084.120000000003"/>
    <x v="3"/>
  </r>
  <r>
    <s v="ORD11985"/>
    <d v="2028-06-30T00:00:00"/>
    <x v="1"/>
    <x v="5"/>
    <x v="5"/>
    <x v="2"/>
    <x v="2"/>
    <s v="Home Office"/>
    <s v="Distributor"/>
    <x v="3"/>
    <n v="5"/>
    <n v="7546.19"/>
    <n v="15"/>
    <n v="32071.31"/>
    <x v="0"/>
  </r>
  <r>
    <s v="ORD11364"/>
    <d v="2028-07-01T00:00:00"/>
    <x v="2"/>
    <x v="6"/>
    <x v="4"/>
    <x v="4"/>
    <x v="12"/>
    <s v="Corporate"/>
    <s v="Retail Store"/>
    <x v="2"/>
    <n v="1"/>
    <n v="44706.19"/>
    <n v="0"/>
    <n v="44706.19"/>
    <x v="0"/>
  </r>
  <r>
    <s v="ORD10359"/>
    <d v="2028-07-02T00:00:00"/>
    <x v="3"/>
    <x v="6"/>
    <x v="6"/>
    <x v="3"/>
    <x v="3"/>
    <s v="Home Office"/>
    <s v="Distributor"/>
    <x v="1"/>
    <n v="4"/>
    <n v="39568.769999999997"/>
    <n v="10"/>
    <n v="142447.56"/>
    <x v="3"/>
  </r>
  <r>
    <s v="ORD11471"/>
    <d v="2028-07-03T00:00:00"/>
    <x v="2"/>
    <x v="6"/>
    <x v="7"/>
    <x v="2"/>
    <x v="17"/>
    <s v="Consumer"/>
    <s v="Distributor"/>
    <x v="1"/>
    <n v="3"/>
    <n v="6661.64"/>
    <n v="5"/>
    <n v="18985.689999999999"/>
    <x v="2"/>
  </r>
  <r>
    <s v="ORD10963"/>
    <d v="2028-07-04T00:00:00"/>
    <x v="0"/>
    <x v="6"/>
    <x v="7"/>
    <x v="2"/>
    <x v="16"/>
    <s v="Consumer"/>
    <s v="Online"/>
    <x v="2"/>
    <n v="1"/>
    <n v="7054.73"/>
    <n v="5"/>
    <n v="6702"/>
    <x v="1"/>
  </r>
  <r>
    <s v="ORD10479"/>
    <d v="2028-07-05T00:00:00"/>
    <x v="0"/>
    <x v="6"/>
    <x v="0"/>
    <x v="2"/>
    <x v="2"/>
    <s v="Consumer"/>
    <s v="Distributor"/>
    <x v="3"/>
    <n v="2"/>
    <n v="5635.05"/>
    <n v="0"/>
    <n v="11270.09"/>
    <x v="2"/>
  </r>
  <r>
    <s v="ORD12218"/>
    <d v="2028-07-06T00:00:00"/>
    <x v="3"/>
    <x v="6"/>
    <x v="6"/>
    <x v="3"/>
    <x v="3"/>
    <s v="Small Business"/>
    <s v="Online"/>
    <x v="2"/>
    <n v="5"/>
    <n v="31024.69"/>
    <n v="0"/>
    <n v="155123.43"/>
    <x v="2"/>
  </r>
  <r>
    <s v="ORD11351"/>
    <d v="2028-07-07T00:00:00"/>
    <x v="0"/>
    <x v="6"/>
    <x v="4"/>
    <x v="0"/>
    <x v="18"/>
    <s v="Home Office"/>
    <s v="Distributor"/>
    <x v="2"/>
    <n v="4"/>
    <n v="67929.100000000006"/>
    <n v="0"/>
    <n v="271716.40000000002"/>
    <x v="0"/>
  </r>
  <r>
    <s v="ORD10942"/>
    <d v="2028-07-08T00:00:00"/>
    <x v="0"/>
    <x v="6"/>
    <x v="4"/>
    <x v="0"/>
    <x v="0"/>
    <s v="Consumer"/>
    <s v="Retail Store"/>
    <x v="1"/>
    <n v="2"/>
    <n v="59298.239999999998"/>
    <n v="15"/>
    <n v="100807"/>
    <x v="2"/>
  </r>
  <r>
    <s v="ORD12134"/>
    <d v="2028-07-09T00:00:00"/>
    <x v="1"/>
    <x v="6"/>
    <x v="7"/>
    <x v="4"/>
    <x v="5"/>
    <s v="Corporate"/>
    <s v="Distributor"/>
    <x v="2"/>
    <n v="2"/>
    <n v="41693.51"/>
    <n v="15"/>
    <n v="70878.97"/>
    <x v="3"/>
  </r>
  <r>
    <s v="ORD10844"/>
    <d v="2028-07-10T00:00:00"/>
    <x v="4"/>
    <x v="6"/>
    <x v="4"/>
    <x v="0"/>
    <x v="0"/>
    <s v="Consumer"/>
    <s v="Distributor"/>
    <x v="3"/>
    <n v="5"/>
    <n v="67786.600000000006"/>
    <n v="5"/>
    <n v="321986.36"/>
    <x v="2"/>
  </r>
  <r>
    <s v="ORD10901"/>
    <d v="2028-07-11T00:00:00"/>
    <x v="2"/>
    <x v="6"/>
    <x v="3"/>
    <x v="4"/>
    <x v="10"/>
    <s v="Small Business"/>
    <s v="Online"/>
    <x v="3"/>
    <n v="1"/>
    <n v="40234.46"/>
    <n v="10"/>
    <n v="36211.01"/>
    <x v="3"/>
  </r>
  <r>
    <s v="ORD11090"/>
    <d v="2028-07-12T00:00:00"/>
    <x v="2"/>
    <x v="6"/>
    <x v="6"/>
    <x v="0"/>
    <x v="6"/>
    <s v="Consumer"/>
    <s v="Retail Store"/>
    <x v="3"/>
    <n v="2"/>
    <n v="55749.71"/>
    <n v="10"/>
    <n v="100349.48"/>
    <x v="3"/>
  </r>
  <r>
    <s v="ORD11315"/>
    <d v="2028-07-13T00:00:00"/>
    <x v="1"/>
    <x v="6"/>
    <x v="2"/>
    <x v="2"/>
    <x v="17"/>
    <s v="Consumer"/>
    <s v="Retail Store"/>
    <x v="3"/>
    <n v="3"/>
    <n v="6837.38"/>
    <n v="0"/>
    <n v="20512.150000000001"/>
    <x v="3"/>
  </r>
  <r>
    <s v="ORD11092"/>
    <d v="2028-07-14T00:00:00"/>
    <x v="3"/>
    <x v="6"/>
    <x v="4"/>
    <x v="1"/>
    <x v="14"/>
    <s v="Small Business"/>
    <s v="Online"/>
    <x v="0"/>
    <n v="5"/>
    <n v="2248.16"/>
    <n v="10"/>
    <n v="10116.700000000001"/>
    <x v="1"/>
  </r>
  <r>
    <s v="ORD12056"/>
    <d v="2028-07-15T00:00:00"/>
    <x v="3"/>
    <x v="6"/>
    <x v="4"/>
    <x v="3"/>
    <x v="3"/>
    <s v="Home Office"/>
    <s v="Online"/>
    <x v="0"/>
    <n v="3"/>
    <n v="24450.9"/>
    <n v="5"/>
    <n v="69685.08"/>
    <x v="1"/>
  </r>
  <r>
    <s v="ORD11533"/>
    <d v="2028-07-16T00:00:00"/>
    <x v="4"/>
    <x v="6"/>
    <x v="2"/>
    <x v="0"/>
    <x v="18"/>
    <s v="Consumer"/>
    <s v="Distributor"/>
    <x v="3"/>
    <n v="2"/>
    <n v="64327.57"/>
    <n v="10"/>
    <n v="115789.62"/>
    <x v="1"/>
  </r>
  <r>
    <s v="ORD11440"/>
    <d v="2028-07-17T00:00:00"/>
    <x v="4"/>
    <x v="6"/>
    <x v="6"/>
    <x v="0"/>
    <x v="18"/>
    <s v="Consumer"/>
    <s v="Distributor"/>
    <x v="2"/>
    <n v="3"/>
    <n v="51540.67"/>
    <n v="10"/>
    <n v="139159.81"/>
    <x v="3"/>
  </r>
  <r>
    <s v="ORD12458"/>
    <d v="2028-07-18T00:00:00"/>
    <x v="3"/>
    <x v="6"/>
    <x v="1"/>
    <x v="0"/>
    <x v="0"/>
    <s v="Consumer"/>
    <s v="Retail Store"/>
    <x v="1"/>
    <n v="4"/>
    <n v="53102.16"/>
    <n v="15"/>
    <n v="180547.33"/>
    <x v="3"/>
  </r>
  <r>
    <s v="ORD12017"/>
    <d v="2028-07-19T00:00:00"/>
    <x v="4"/>
    <x v="6"/>
    <x v="9"/>
    <x v="3"/>
    <x v="15"/>
    <s v="Corporate"/>
    <s v="Distributor"/>
    <x v="3"/>
    <n v="1"/>
    <n v="28499.94"/>
    <n v="0"/>
    <n v="28499.94"/>
    <x v="2"/>
  </r>
  <r>
    <s v="ORD12055"/>
    <d v="2028-07-20T00:00:00"/>
    <x v="3"/>
    <x v="6"/>
    <x v="5"/>
    <x v="1"/>
    <x v="13"/>
    <s v="Consumer"/>
    <s v="Distributor"/>
    <x v="4"/>
    <n v="2"/>
    <n v="2886.54"/>
    <n v="10"/>
    <n v="5195.7700000000004"/>
    <x v="3"/>
  </r>
  <r>
    <s v="ORD11427"/>
    <d v="2028-07-21T00:00:00"/>
    <x v="3"/>
    <x v="6"/>
    <x v="0"/>
    <x v="3"/>
    <x v="3"/>
    <s v="Home Office"/>
    <s v="Distributor"/>
    <x v="4"/>
    <n v="1"/>
    <n v="29246.74"/>
    <n v="0"/>
    <n v="29246.74"/>
    <x v="3"/>
  </r>
  <r>
    <s v="ORD10898"/>
    <d v="2028-07-22T00:00:00"/>
    <x v="3"/>
    <x v="6"/>
    <x v="5"/>
    <x v="0"/>
    <x v="6"/>
    <s v="Small Business"/>
    <s v="Retail Store"/>
    <x v="2"/>
    <n v="2"/>
    <n v="63478.03"/>
    <n v="5"/>
    <n v="120608.26"/>
    <x v="3"/>
  </r>
  <r>
    <s v="ORD10365"/>
    <d v="2028-07-23T00:00:00"/>
    <x v="1"/>
    <x v="6"/>
    <x v="9"/>
    <x v="2"/>
    <x v="2"/>
    <s v="Corporate"/>
    <s v="Online"/>
    <x v="0"/>
    <n v="3"/>
    <n v="7488.62"/>
    <n v="15"/>
    <n v="19095.990000000002"/>
    <x v="3"/>
  </r>
  <r>
    <s v="ORD11902"/>
    <d v="2028-07-24T00:00:00"/>
    <x v="1"/>
    <x v="6"/>
    <x v="4"/>
    <x v="3"/>
    <x v="15"/>
    <s v="Corporate"/>
    <s v="Distributor"/>
    <x v="1"/>
    <n v="4"/>
    <n v="38795.919999999998"/>
    <n v="0"/>
    <n v="155183.66"/>
    <x v="0"/>
  </r>
  <r>
    <s v="ORD12304"/>
    <d v="2028-07-25T00:00:00"/>
    <x v="0"/>
    <x v="6"/>
    <x v="8"/>
    <x v="3"/>
    <x v="3"/>
    <s v="Small Business"/>
    <s v="Distributor"/>
    <x v="1"/>
    <n v="5"/>
    <n v="37090.44"/>
    <n v="5"/>
    <n v="176179.59"/>
    <x v="3"/>
  </r>
  <r>
    <s v="ORD10183"/>
    <d v="2028-07-26T00:00:00"/>
    <x v="0"/>
    <x v="6"/>
    <x v="2"/>
    <x v="2"/>
    <x v="2"/>
    <s v="Corporate"/>
    <s v="Online"/>
    <x v="0"/>
    <n v="1"/>
    <n v="5798.15"/>
    <n v="10"/>
    <n v="5218.33"/>
    <x v="2"/>
  </r>
  <r>
    <s v="ORD11802"/>
    <d v="2028-07-27T00:00:00"/>
    <x v="2"/>
    <x v="6"/>
    <x v="1"/>
    <x v="1"/>
    <x v="4"/>
    <s v="Consumer"/>
    <s v="Distributor"/>
    <x v="3"/>
    <n v="4"/>
    <n v="2593.36"/>
    <n v="5"/>
    <n v="9854.75"/>
    <x v="0"/>
  </r>
  <r>
    <s v="ORD11892"/>
    <d v="2028-07-28T00:00:00"/>
    <x v="0"/>
    <x v="6"/>
    <x v="7"/>
    <x v="4"/>
    <x v="5"/>
    <s v="Small Business"/>
    <s v="Online"/>
    <x v="4"/>
    <n v="5"/>
    <n v="41430.93"/>
    <n v="0"/>
    <n v="207154.64"/>
    <x v="2"/>
  </r>
  <r>
    <s v="ORD12484"/>
    <d v="2028-07-29T00:00:00"/>
    <x v="3"/>
    <x v="6"/>
    <x v="5"/>
    <x v="1"/>
    <x v="14"/>
    <s v="Small Business"/>
    <s v="Retail Store"/>
    <x v="1"/>
    <n v="4"/>
    <n v="2625.85"/>
    <n v="10"/>
    <n v="9453.07"/>
    <x v="3"/>
  </r>
  <r>
    <s v="ORD12253"/>
    <d v="2028-07-30T00:00:00"/>
    <x v="2"/>
    <x v="6"/>
    <x v="4"/>
    <x v="1"/>
    <x v="1"/>
    <s v="Home Office"/>
    <s v="Retail Store"/>
    <x v="3"/>
    <n v="2"/>
    <n v="2672.81"/>
    <n v="10"/>
    <n v="4811.0600000000004"/>
    <x v="2"/>
  </r>
  <r>
    <s v="ORD11631"/>
    <d v="2028-07-31T00:00:00"/>
    <x v="1"/>
    <x v="6"/>
    <x v="3"/>
    <x v="1"/>
    <x v="13"/>
    <s v="Small Business"/>
    <s v="Retail Store"/>
    <x v="3"/>
    <n v="2"/>
    <n v="2212.3200000000002"/>
    <n v="10"/>
    <n v="3982.17"/>
    <x v="0"/>
  </r>
  <r>
    <s v="ORD11591"/>
    <d v="2028-08-01T00:00:00"/>
    <x v="4"/>
    <x v="7"/>
    <x v="4"/>
    <x v="4"/>
    <x v="5"/>
    <s v="Small Business"/>
    <s v="Online"/>
    <x v="3"/>
    <n v="5"/>
    <n v="32448.65"/>
    <n v="10"/>
    <n v="146018.94"/>
    <x v="1"/>
  </r>
  <r>
    <s v="ORD12192"/>
    <d v="2028-08-02T00:00:00"/>
    <x v="3"/>
    <x v="7"/>
    <x v="7"/>
    <x v="4"/>
    <x v="9"/>
    <s v="Home Office"/>
    <s v="Distributor"/>
    <x v="2"/>
    <n v="4"/>
    <n v="33752.639999999999"/>
    <n v="5"/>
    <n v="128260.04"/>
    <x v="3"/>
  </r>
  <r>
    <s v="ORD12313"/>
    <d v="2028-08-03T00:00:00"/>
    <x v="1"/>
    <x v="7"/>
    <x v="3"/>
    <x v="4"/>
    <x v="10"/>
    <s v="Small Business"/>
    <s v="Distributor"/>
    <x v="2"/>
    <n v="2"/>
    <n v="43663.78"/>
    <n v="15"/>
    <n v="74228.429999999993"/>
    <x v="3"/>
  </r>
  <r>
    <s v="ORD12104"/>
    <d v="2028-08-04T00:00:00"/>
    <x v="3"/>
    <x v="7"/>
    <x v="3"/>
    <x v="0"/>
    <x v="0"/>
    <s v="Small Business"/>
    <s v="Online"/>
    <x v="3"/>
    <n v="2"/>
    <n v="57647.69"/>
    <n v="5"/>
    <n v="109530.61"/>
    <x v="0"/>
  </r>
  <r>
    <s v="ORD11211"/>
    <d v="2028-08-05T00:00:00"/>
    <x v="3"/>
    <x v="7"/>
    <x v="5"/>
    <x v="3"/>
    <x v="15"/>
    <s v="Home Office"/>
    <s v="Online"/>
    <x v="4"/>
    <n v="1"/>
    <n v="32389.94"/>
    <n v="15"/>
    <n v="27531.45"/>
    <x v="0"/>
  </r>
  <r>
    <s v="ORD12474"/>
    <d v="2028-08-06T00:00:00"/>
    <x v="4"/>
    <x v="7"/>
    <x v="1"/>
    <x v="1"/>
    <x v="13"/>
    <s v="Small Business"/>
    <s v="Online"/>
    <x v="4"/>
    <n v="5"/>
    <n v="3100.8"/>
    <n v="15"/>
    <n v="13178.39"/>
    <x v="3"/>
  </r>
  <r>
    <s v="ORD11372"/>
    <d v="2028-08-07T00:00:00"/>
    <x v="4"/>
    <x v="7"/>
    <x v="9"/>
    <x v="0"/>
    <x v="6"/>
    <s v="Corporate"/>
    <s v="Retail Store"/>
    <x v="4"/>
    <n v="1"/>
    <n v="47398.37"/>
    <n v="20"/>
    <n v="37918.699999999997"/>
    <x v="0"/>
  </r>
  <r>
    <s v="ORD10358"/>
    <d v="2028-08-08T00:00:00"/>
    <x v="1"/>
    <x v="7"/>
    <x v="4"/>
    <x v="3"/>
    <x v="3"/>
    <s v="Corporate"/>
    <s v="Online"/>
    <x v="1"/>
    <n v="2"/>
    <n v="31115.25"/>
    <n v="15"/>
    <n v="52895.92"/>
    <x v="3"/>
  </r>
  <r>
    <s v="ORD12044"/>
    <d v="2028-08-09T00:00:00"/>
    <x v="2"/>
    <x v="7"/>
    <x v="7"/>
    <x v="1"/>
    <x v="4"/>
    <s v="Consumer"/>
    <s v="Retail Store"/>
    <x v="3"/>
    <n v="5"/>
    <n v="2926.94"/>
    <n v="20"/>
    <n v="11707.76"/>
    <x v="3"/>
  </r>
  <r>
    <s v="ORD11908"/>
    <d v="2028-08-10T00:00:00"/>
    <x v="0"/>
    <x v="7"/>
    <x v="2"/>
    <x v="2"/>
    <x v="16"/>
    <s v="Home Office"/>
    <s v="Online"/>
    <x v="0"/>
    <n v="3"/>
    <n v="5445.93"/>
    <n v="5"/>
    <n v="15520.9"/>
    <x v="3"/>
  </r>
  <r>
    <s v="ORD10070"/>
    <d v="2028-08-11T00:00:00"/>
    <x v="1"/>
    <x v="7"/>
    <x v="1"/>
    <x v="0"/>
    <x v="6"/>
    <s v="Home Office"/>
    <s v="Distributor"/>
    <x v="3"/>
    <n v="5"/>
    <n v="49571.45"/>
    <n v="15"/>
    <n v="210678.67"/>
    <x v="3"/>
  </r>
  <r>
    <s v="ORD11572"/>
    <d v="2028-08-12T00:00:00"/>
    <x v="3"/>
    <x v="7"/>
    <x v="2"/>
    <x v="1"/>
    <x v="14"/>
    <s v="Small Business"/>
    <s v="Distributor"/>
    <x v="2"/>
    <n v="2"/>
    <n v="2281.0100000000002"/>
    <n v="0"/>
    <n v="4562.0200000000004"/>
    <x v="0"/>
  </r>
  <r>
    <s v="ORD10811"/>
    <d v="2028-08-13T00:00:00"/>
    <x v="2"/>
    <x v="7"/>
    <x v="6"/>
    <x v="1"/>
    <x v="4"/>
    <s v="Home Office"/>
    <s v="Retail Store"/>
    <x v="4"/>
    <n v="1"/>
    <n v="2871.92"/>
    <n v="5"/>
    <n v="2728.32"/>
    <x v="0"/>
  </r>
  <r>
    <s v="ORD11931"/>
    <d v="2028-08-14T00:00:00"/>
    <x v="2"/>
    <x v="7"/>
    <x v="1"/>
    <x v="2"/>
    <x v="11"/>
    <s v="Corporate"/>
    <s v="Distributor"/>
    <x v="2"/>
    <n v="5"/>
    <n v="5527.81"/>
    <n v="0"/>
    <n v="27639.040000000001"/>
    <x v="3"/>
  </r>
  <r>
    <s v="ORD10048"/>
    <d v="2028-08-15T00:00:00"/>
    <x v="1"/>
    <x v="7"/>
    <x v="4"/>
    <x v="4"/>
    <x v="10"/>
    <s v="Corporate"/>
    <s v="Retail Store"/>
    <x v="1"/>
    <n v="4"/>
    <n v="41734.49"/>
    <n v="5"/>
    <n v="158591.04000000001"/>
    <x v="3"/>
  </r>
  <r>
    <s v="ORD12401"/>
    <d v="2028-08-16T00:00:00"/>
    <x v="2"/>
    <x v="7"/>
    <x v="0"/>
    <x v="0"/>
    <x v="18"/>
    <s v="Home Office"/>
    <s v="Online"/>
    <x v="3"/>
    <n v="1"/>
    <n v="56227.86"/>
    <n v="0"/>
    <n v="56227.86"/>
    <x v="0"/>
  </r>
  <r>
    <s v="ORD10234"/>
    <d v="2028-08-17T00:00:00"/>
    <x v="4"/>
    <x v="7"/>
    <x v="1"/>
    <x v="4"/>
    <x v="9"/>
    <s v="Small Business"/>
    <s v="Retail Store"/>
    <x v="1"/>
    <n v="1"/>
    <n v="45096.25"/>
    <n v="20"/>
    <n v="36077"/>
    <x v="1"/>
  </r>
  <r>
    <s v="ORD11645"/>
    <d v="2028-08-18T00:00:00"/>
    <x v="4"/>
    <x v="7"/>
    <x v="4"/>
    <x v="3"/>
    <x v="7"/>
    <s v="Small Business"/>
    <s v="Retail Store"/>
    <x v="1"/>
    <n v="2"/>
    <n v="34354.78"/>
    <n v="10"/>
    <n v="61838.6"/>
    <x v="3"/>
  </r>
  <r>
    <s v="ORD11958"/>
    <d v="2028-08-19T00:00:00"/>
    <x v="3"/>
    <x v="7"/>
    <x v="8"/>
    <x v="2"/>
    <x v="17"/>
    <s v="Home Office"/>
    <s v="Distributor"/>
    <x v="0"/>
    <n v="1"/>
    <n v="5498.53"/>
    <n v="10"/>
    <n v="4948.68"/>
    <x v="0"/>
  </r>
  <r>
    <s v="ORD10718"/>
    <d v="2028-08-20T00:00:00"/>
    <x v="4"/>
    <x v="7"/>
    <x v="7"/>
    <x v="4"/>
    <x v="5"/>
    <s v="Consumer"/>
    <s v="Distributor"/>
    <x v="1"/>
    <n v="4"/>
    <n v="43709.64"/>
    <n v="5"/>
    <n v="166096.63"/>
    <x v="2"/>
  </r>
  <r>
    <s v="ORD12159"/>
    <d v="2028-08-21T00:00:00"/>
    <x v="4"/>
    <x v="7"/>
    <x v="4"/>
    <x v="4"/>
    <x v="5"/>
    <s v="Consumer"/>
    <s v="Retail Store"/>
    <x v="4"/>
    <n v="4"/>
    <n v="34446.57"/>
    <n v="15"/>
    <n v="117118.33"/>
    <x v="2"/>
  </r>
  <r>
    <s v="ORD10391"/>
    <d v="2028-08-22T00:00:00"/>
    <x v="2"/>
    <x v="7"/>
    <x v="1"/>
    <x v="1"/>
    <x v="13"/>
    <s v="Home Office"/>
    <s v="Retail Store"/>
    <x v="1"/>
    <n v="1"/>
    <n v="2081.96"/>
    <n v="0"/>
    <n v="2081.96"/>
    <x v="3"/>
  </r>
  <r>
    <s v="ORD12126"/>
    <d v="2028-08-23T00:00:00"/>
    <x v="4"/>
    <x v="7"/>
    <x v="8"/>
    <x v="1"/>
    <x v="13"/>
    <s v="Small Business"/>
    <s v="Retail Store"/>
    <x v="3"/>
    <n v="3"/>
    <n v="2693.28"/>
    <n v="5"/>
    <n v="7675.83"/>
    <x v="1"/>
  </r>
  <r>
    <s v="ORD12413"/>
    <d v="2028-08-24T00:00:00"/>
    <x v="4"/>
    <x v="7"/>
    <x v="7"/>
    <x v="0"/>
    <x v="18"/>
    <s v="Home Office"/>
    <s v="Retail Store"/>
    <x v="0"/>
    <n v="3"/>
    <n v="59196.99"/>
    <n v="20"/>
    <n v="142072.76999999999"/>
    <x v="3"/>
  </r>
  <r>
    <s v="ORD11111"/>
    <d v="2028-08-25T00:00:00"/>
    <x v="3"/>
    <x v="7"/>
    <x v="1"/>
    <x v="4"/>
    <x v="5"/>
    <s v="Home Office"/>
    <s v="Retail Store"/>
    <x v="4"/>
    <n v="4"/>
    <n v="47647.64"/>
    <n v="15"/>
    <n v="162001.98000000001"/>
    <x v="2"/>
  </r>
  <r>
    <s v="ORD11943"/>
    <d v="2028-08-26T00:00:00"/>
    <x v="3"/>
    <x v="7"/>
    <x v="0"/>
    <x v="0"/>
    <x v="18"/>
    <s v="Home Office"/>
    <s v="Retail Store"/>
    <x v="4"/>
    <n v="2"/>
    <n v="66844.53"/>
    <n v="10"/>
    <n v="120320.16"/>
    <x v="3"/>
  </r>
  <r>
    <s v="ORD10477"/>
    <d v="2028-08-27T00:00:00"/>
    <x v="0"/>
    <x v="7"/>
    <x v="4"/>
    <x v="0"/>
    <x v="6"/>
    <s v="Consumer"/>
    <s v="Online"/>
    <x v="0"/>
    <n v="5"/>
    <n v="65580.33"/>
    <n v="10"/>
    <n v="295111.51"/>
    <x v="3"/>
  </r>
  <r>
    <s v="ORD10379"/>
    <d v="2028-08-28T00:00:00"/>
    <x v="2"/>
    <x v="7"/>
    <x v="9"/>
    <x v="3"/>
    <x v="7"/>
    <s v="Consumer"/>
    <s v="Online"/>
    <x v="4"/>
    <n v="2"/>
    <n v="24269.63"/>
    <n v="0"/>
    <n v="48539.25"/>
    <x v="0"/>
  </r>
  <r>
    <s v="ORD12378"/>
    <d v="2028-08-29T00:00:00"/>
    <x v="0"/>
    <x v="7"/>
    <x v="0"/>
    <x v="0"/>
    <x v="18"/>
    <s v="Home Office"/>
    <s v="Online"/>
    <x v="2"/>
    <n v="1"/>
    <n v="51961.45"/>
    <n v="5"/>
    <n v="49363.38"/>
    <x v="3"/>
  </r>
  <r>
    <s v="ORD11065"/>
    <d v="2028-08-30T00:00:00"/>
    <x v="2"/>
    <x v="7"/>
    <x v="6"/>
    <x v="3"/>
    <x v="7"/>
    <s v="Consumer"/>
    <s v="Distributor"/>
    <x v="1"/>
    <n v="1"/>
    <n v="38591.74"/>
    <n v="15"/>
    <n v="32802.980000000003"/>
    <x v="3"/>
  </r>
  <r>
    <s v="ORD11983"/>
    <d v="2028-08-31T00:00:00"/>
    <x v="4"/>
    <x v="7"/>
    <x v="5"/>
    <x v="1"/>
    <x v="1"/>
    <s v="Corporate"/>
    <s v="Distributor"/>
    <x v="2"/>
    <n v="1"/>
    <n v="2532.84"/>
    <n v="0"/>
    <n v="2532.84"/>
    <x v="3"/>
  </r>
  <r>
    <s v="ORD10553"/>
    <d v="2028-09-01T00:00:00"/>
    <x v="1"/>
    <x v="8"/>
    <x v="9"/>
    <x v="0"/>
    <x v="0"/>
    <s v="Consumer"/>
    <s v="Online"/>
    <x v="4"/>
    <n v="3"/>
    <n v="53827.17"/>
    <n v="5"/>
    <n v="153407.43"/>
    <x v="3"/>
  </r>
  <r>
    <s v="ORD11137"/>
    <d v="2028-09-02T00:00:00"/>
    <x v="0"/>
    <x v="8"/>
    <x v="8"/>
    <x v="1"/>
    <x v="4"/>
    <s v="Home Office"/>
    <s v="Retail Store"/>
    <x v="0"/>
    <n v="3"/>
    <n v="2455.56"/>
    <n v="10"/>
    <n v="6630"/>
    <x v="3"/>
  </r>
  <r>
    <s v="ORD11066"/>
    <d v="2028-09-03T00:00:00"/>
    <x v="1"/>
    <x v="8"/>
    <x v="6"/>
    <x v="1"/>
    <x v="13"/>
    <s v="Consumer"/>
    <s v="Online"/>
    <x v="0"/>
    <n v="1"/>
    <n v="2893.4"/>
    <n v="10"/>
    <n v="2604.06"/>
    <x v="1"/>
  </r>
  <r>
    <s v="ORD11550"/>
    <d v="2028-09-04T00:00:00"/>
    <x v="2"/>
    <x v="8"/>
    <x v="9"/>
    <x v="1"/>
    <x v="1"/>
    <s v="Home Office"/>
    <s v="Online"/>
    <x v="1"/>
    <n v="1"/>
    <n v="3037.6"/>
    <n v="5"/>
    <n v="2885.72"/>
    <x v="0"/>
  </r>
  <r>
    <s v="ORD11056"/>
    <d v="2028-09-05T00:00:00"/>
    <x v="1"/>
    <x v="8"/>
    <x v="6"/>
    <x v="3"/>
    <x v="7"/>
    <s v="Consumer"/>
    <s v="Online"/>
    <x v="2"/>
    <n v="4"/>
    <n v="28842.94"/>
    <n v="20"/>
    <n v="92297.42"/>
    <x v="3"/>
  </r>
  <r>
    <s v="ORD12298"/>
    <d v="2028-09-06T00:00:00"/>
    <x v="4"/>
    <x v="8"/>
    <x v="1"/>
    <x v="1"/>
    <x v="1"/>
    <s v="Small Business"/>
    <s v="Online"/>
    <x v="3"/>
    <n v="2"/>
    <n v="2945.42"/>
    <n v="15"/>
    <n v="5007.22"/>
    <x v="3"/>
  </r>
  <r>
    <s v="ORD11662"/>
    <d v="2028-09-07T00:00:00"/>
    <x v="0"/>
    <x v="8"/>
    <x v="9"/>
    <x v="1"/>
    <x v="1"/>
    <s v="Corporate"/>
    <s v="Distributor"/>
    <x v="2"/>
    <n v="2"/>
    <n v="2579.9299999999998"/>
    <n v="0"/>
    <n v="5159.8500000000004"/>
    <x v="0"/>
  </r>
  <r>
    <s v="ORD11025"/>
    <d v="2028-09-08T00:00:00"/>
    <x v="0"/>
    <x v="8"/>
    <x v="6"/>
    <x v="4"/>
    <x v="10"/>
    <s v="Corporate"/>
    <s v="Online"/>
    <x v="4"/>
    <n v="5"/>
    <n v="51159.839999999997"/>
    <n v="10"/>
    <n v="230219.28"/>
    <x v="3"/>
  </r>
  <r>
    <s v="ORD11822"/>
    <d v="2028-09-09T00:00:00"/>
    <x v="1"/>
    <x v="8"/>
    <x v="1"/>
    <x v="3"/>
    <x v="15"/>
    <s v="Corporate"/>
    <s v="Online"/>
    <x v="4"/>
    <n v="5"/>
    <n v="33525.81"/>
    <n v="5"/>
    <n v="159247.60999999999"/>
    <x v="3"/>
  </r>
  <r>
    <s v="ORD10747"/>
    <d v="2028-09-10T00:00:00"/>
    <x v="0"/>
    <x v="8"/>
    <x v="9"/>
    <x v="3"/>
    <x v="3"/>
    <s v="Home Office"/>
    <s v="Retail Store"/>
    <x v="1"/>
    <n v="4"/>
    <n v="39526.910000000003"/>
    <n v="0"/>
    <n v="158107.63"/>
    <x v="1"/>
  </r>
  <r>
    <s v="ORD12368"/>
    <d v="2028-09-11T00:00:00"/>
    <x v="0"/>
    <x v="8"/>
    <x v="2"/>
    <x v="0"/>
    <x v="6"/>
    <s v="Home Office"/>
    <s v="Retail Store"/>
    <x v="0"/>
    <n v="4"/>
    <n v="61821.64"/>
    <n v="10"/>
    <n v="222557.9"/>
    <x v="3"/>
  </r>
  <r>
    <s v="ORD11570"/>
    <d v="2028-09-12T00:00:00"/>
    <x v="1"/>
    <x v="8"/>
    <x v="2"/>
    <x v="2"/>
    <x v="2"/>
    <s v="Consumer"/>
    <s v="Retail Store"/>
    <x v="3"/>
    <n v="3"/>
    <n v="5185.91"/>
    <n v="20"/>
    <n v="12446.19"/>
    <x v="0"/>
  </r>
  <r>
    <s v="ORD10995"/>
    <d v="2028-09-13T00:00:00"/>
    <x v="2"/>
    <x v="8"/>
    <x v="3"/>
    <x v="1"/>
    <x v="1"/>
    <s v="Consumer"/>
    <s v="Online"/>
    <x v="2"/>
    <n v="3"/>
    <n v="2138.5700000000002"/>
    <n v="5"/>
    <n v="6094.92"/>
    <x v="1"/>
  </r>
  <r>
    <s v="ORD11554"/>
    <d v="2028-09-14T00:00:00"/>
    <x v="1"/>
    <x v="8"/>
    <x v="0"/>
    <x v="1"/>
    <x v="1"/>
    <s v="Consumer"/>
    <s v="Online"/>
    <x v="4"/>
    <n v="4"/>
    <n v="2278.23"/>
    <n v="0"/>
    <n v="9112.9"/>
    <x v="3"/>
  </r>
  <r>
    <s v="ORD12254"/>
    <d v="2028-09-15T00:00:00"/>
    <x v="2"/>
    <x v="8"/>
    <x v="3"/>
    <x v="4"/>
    <x v="5"/>
    <s v="Small Business"/>
    <s v="Retail Store"/>
    <x v="4"/>
    <n v="5"/>
    <n v="39277.300000000003"/>
    <n v="0"/>
    <n v="196386.5"/>
    <x v="1"/>
  </r>
  <r>
    <s v="ORD12198"/>
    <d v="2028-09-16T00:00:00"/>
    <x v="3"/>
    <x v="8"/>
    <x v="6"/>
    <x v="2"/>
    <x v="2"/>
    <s v="Home Office"/>
    <s v="Distributor"/>
    <x v="4"/>
    <n v="1"/>
    <n v="5247.29"/>
    <n v="5"/>
    <n v="4984.92"/>
    <x v="3"/>
  </r>
  <r>
    <s v="ORD12472"/>
    <d v="2028-09-17T00:00:00"/>
    <x v="0"/>
    <x v="8"/>
    <x v="7"/>
    <x v="2"/>
    <x v="2"/>
    <s v="Corporate"/>
    <s v="Retail Store"/>
    <x v="1"/>
    <n v="2"/>
    <n v="6069.27"/>
    <n v="10"/>
    <n v="10924.68"/>
    <x v="0"/>
  </r>
  <r>
    <s v="ORD11115"/>
    <d v="2028-09-18T00:00:00"/>
    <x v="4"/>
    <x v="8"/>
    <x v="8"/>
    <x v="3"/>
    <x v="15"/>
    <s v="Corporate"/>
    <s v="Retail Store"/>
    <x v="3"/>
    <n v="4"/>
    <n v="25068.66"/>
    <n v="5"/>
    <n v="95260.93"/>
    <x v="0"/>
  </r>
  <r>
    <s v="ORD12118"/>
    <d v="2028-09-19T00:00:00"/>
    <x v="4"/>
    <x v="8"/>
    <x v="0"/>
    <x v="0"/>
    <x v="6"/>
    <s v="Corporate"/>
    <s v="Online"/>
    <x v="3"/>
    <n v="1"/>
    <n v="44269.37"/>
    <n v="10"/>
    <n v="39842.44"/>
    <x v="3"/>
  </r>
  <r>
    <s v="ORD11042"/>
    <d v="2028-09-20T00:00:00"/>
    <x v="1"/>
    <x v="8"/>
    <x v="8"/>
    <x v="2"/>
    <x v="11"/>
    <s v="Corporate"/>
    <s v="Online"/>
    <x v="2"/>
    <n v="2"/>
    <n v="5697.22"/>
    <n v="5"/>
    <n v="10824.72"/>
    <x v="3"/>
  </r>
  <r>
    <s v="ORD11879"/>
    <d v="2028-09-21T00:00:00"/>
    <x v="3"/>
    <x v="8"/>
    <x v="8"/>
    <x v="2"/>
    <x v="17"/>
    <s v="Home Office"/>
    <s v="Online"/>
    <x v="4"/>
    <n v="2"/>
    <n v="5306.87"/>
    <n v="15"/>
    <n v="9021.67"/>
    <x v="0"/>
  </r>
  <r>
    <s v="ORD12328"/>
    <d v="2028-09-22T00:00:00"/>
    <x v="4"/>
    <x v="8"/>
    <x v="1"/>
    <x v="4"/>
    <x v="5"/>
    <s v="Consumer"/>
    <s v="Retail Store"/>
    <x v="2"/>
    <n v="3"/>
    <n v="39716.379999999997"/>
    <n v="20"/>
    <n v="95319.31"/>
    <x v="3"/>
  </r>
  <r>
    <s v="ORD10775"/>
    <d v="2028-09-23T00:00:00"/>
    <x v="0"/>
    <x v="8"/>
    <x v="4"/>
    <x v="4"/>
    <x v="9"/>
    <s v="Consumer"/>
    <s v="Retail Store"/>
    <x v="0"/>
    <n v="3"/>
    <n v="33126.559999999998"/>
    <n v="10"/>
    <n v="89441.73"/>
    <x v="3"/>
  </r>
  <r>
    <s v="ORD10826"/>
    <d v="2028-09-24T00:00:00"/>
    <x v="1"/>
    <x v="8"/>
    <x v="8"/>
    <x v="0"/>
    <x v="0"/>
    <s v="Consumer"/>
    <s v="Online"/>
    <x v="2"/>
    <n v="5"/>
    <n v="52339.360000000001"/>
    <n v="10"/>
    <n v="235527.12"/>
    <x v="3"/>
  </r>
  <r>
    <s v="ORD11919"/>
    <d v="2028-09-25T00:00:00"/>
    <x v="1"/>
    <x v="8"/>
    <x v="6"/>
    <x v="3"/>
    <x v="3"/>
    <s v="Corporate"/>
    <s v="Online"/>
    <x v="4"/>
    <n v="2"/>
    <n v="34454.17"/>
    <n v="10"/>
    <n v="62017.51"/>
    <x v="1"/>
  </r>
  <r>
    <s v="ORD11663"/>
    <d v="2028-09-26T00:00:00"/>
    <x v="2"/>
    <x v="8"/>
    <x v="8"/>
    <x v="4"/>
    <x v="9"/>
    <s v="Home Office"/>
    <s v="Distributor"/>
    <x v="2"/>
    <n v="3"/>
    <n v="43399.839999999997"/>
    <n v="5"/>
    <n v="123689.54"/>
    <x v="2"/>
  </r>
  <r>
    <s v="ORD10124"/>
    <d v="2028-09-27T00:00:00"/>
    <x v="4"/>
    <x v="8"/>
    <x v="2"/>
    <x v="3"/>
    <x v="19"/>
    <s v="Small Business"/>
    <s v="Retail Store"/>
    <x v="1"/>
    <n v="3"/>
    <n v="24373.77"/>
    <n v="5"/>
    <n v="69465.240000000005"/>
    <x v="3"/>
  </r>
  <r>
    <s v="ORD11665"/>
    <d v="2028-09-28T00:00:00"/>
    <x v="4"/>
    <x v="8"/>
    <x v="5"/>
    <x v="3"/>
    <x v="15"/>
    <s v="Small Business"/>
    <s v="Online"/>
    <x v="2"/>
    <n v="5"/>
    <n v="35407.89"/>
    <n v="10"/>
    <n v="159335.53"/>
    <x v="3"/>
  </r>
  <r>
    <s v="ORD10957"/>
    <d v="2028-09-29T00:00:00"/>
    <x v="1"/>
    <x v="8"/>
    <x v="6"/>
    <x v="4"/>
    <x v="9"/>
    <s v="Corporate"/>
    <s v="Retail Store"/>
    <x v="4"/>
    <n v="4"/>
    <n v="45302.239999999998"/>
    <n v="5"/>
    <n v="172148.49"/>
    <x v="2"/>
  </r>
  <r>
    <s v="ORD10064"/>
    <d v="2028-09-30T00:00:00"/>
    <x v="2"/>
    <x v="8"/>
    <x v="8"/>
    <x v="2"/>
    <x v="17"/>
    <s v="Corporate"/>
    <s v="Online"/>
    <x v="0"/>
    <n v="1"/>
    <n v="6402.8"/>
    <n v="15"/>
    <n v="5442.38"/>
    <x v="3"/>
  </r>
  <r>
    <s v="ORD11815"/>
    <d v="2028-10-01T00:00:00"/>
    <x v="2"/>
    <x v="9"/>
    <x v="3"/>
    <x v="0"/>
    <x v="0"/>
    <s v="Home Office"/>
    <s v="Distributor"/>
    <x v="1"/>
    <n v="2"/>
    <n v="43692.11"/>
    <n v="10"/>
    <n v="78645.8"/>
    <x v="0"/>
  </r>
  <r>
    <s v="ORD10885"/>
    <d v="2028-10-02T00:00:00"/>
    <x v="4"/>
    <x v="9"/>
    <x v="1"/>
    <x v="3"/>
    <x v="15"/>
    <s v="Consumer"/>
    <s v="Retail Store"/>
    <x v="3"/>
    <n v="5"/>
    <n v="27554.7"/>
    <n v="5"/>
    <n v="130884.82"/>
    <x v="3"/>
  </r>
  <r>
    <s v="ORD11755"/>
    <d v="2028-10-03T00:00:00"/>
    <x v="2"/>
    <x v="9"/>
    <x v="6"/>
    <x v="1"/>
    <x v="13"/>
    <s v="Consumer"/>
    <s v="Retail Store"/>
    <x v="2"/>
    <n v="3"/>
    <n v="2910.24"/>
    <n v="10"/>
    <n v="7857.64"/>
    <x v="0"/>
  </r>
  <r>
    <s v="ORD11831"/>
    <d v="2028-10-04T00:00:00"/>
    <x v="1"/>
    <x v="9"/>
    <x v="3"/>
    <x v="3"/>
    <x v="7"/>
    <s v="Home Office"/>
    <s v="Online"/>
    <x v="2"/>
    <n v="3"/>
    <n v="38434.199999999997"/>
    <n v="5"/>
    <n v="109537.46"/>
    <x v="3"/>
  </r>
  <r>
    <s v="ORD10026"/>
    <d v="2028-10-05T00:00:00"/>
    <x v="1"/>
    <x v="9"/>
    <x v="3"/>
    <x v="3"/>
    <x v="7"/>
    <s v="Small Business"/>
    <s v="Online"/>
    <x v="1"/>
    <n v="3"/>
    <n v="28124.01"/>
    <n v="5"/>
    <n v="80153.42"/>
    <x v="3"/>
  </r>
  <r>
    <s v="ORD12262"/>
    <d v="2028-10-06T00:00:00"/>
    <x v="2"/>
    <x v="9"/>
    <x v="8"/>
    <x v="4"/>
    <x v="9"/>
    <s v="Consumer"/>
    <s v="Online"/>
    <x v="4"/>
    <n v="3"/>
    <n v="41877.47"/>
    <n v="15"/>
    <n v="106787.55"/>
    <x v="2"/>
  </r>
  <r>
    <s v="ORD10828"/>
    <d v="2028-10-07T00:00:00"/>
    <x v="2"/>
    <x v="9"/>
    <x v="6"/>
    <x v="2"/>
    <x v="11"/>
    <s v="Corporate"/>
    <s v="Retail Store"/>
    <x v="1"/>
    <n v="1"/>
    <n v="5284.05"/>
    <n v="0"/>
    <n v="5284.05"/>
    <x v="3"/>
  </r>
  <r>
    <s v="ORD12251"/>
    <d v="2028-10-08T00:00:00"/>
    <x v="0"/>
    <x v="9"/>
    <x v="3"/>
    <x v="4"/>
    <x v="9"/>
    <s v="Corporate"/>
    <s v="Retail Store"/>
    <x v="3"/>
    <n v="2"/>
    <n v="41743.129999999997"/>
    <n v="10"/>
    <n v="75137.64"/>
    <x v="3"/>
  </r>
  <r>
    <s v="ORD10730"/>
    <d v="2028-10-09T00:00:00"/>
    <x v="4"/>
    <x v="9"/>
    <x v="9"/>
    <x v="0"/>
    <x v="18"/>
    <s v="Consumer"/>
    <s v="Distributor"/>
    <x v="0"/>
    <n v="5"/>
    <n v="56462.06"/>
    <n v="15"/>
    <n v="239963.76"/>
    <x v="1"/>
  </r>
  <r>
    <s v="ORD10934"/>
    <d v="2028-10-10T00:00:00"/>
    <x v="3"/>
    <x v="9"/>
    <x v="2"/>
    <x v="4"/>
    <x v="10"/>
    <s v="Corporate"/>
    <s v="Retail Store"/>
    <x v="1"/>
    <n v="5"/>
    <n v="45564.36"/>
    <n v="0"/>
    <n v="227821.79"/>
    <x v="3"/>
  </r>
  <r>
    <s v="ORD10176"/>
    <d v="2028-10-11T00:00:00"/>
    <x v="2"/>
    <x v="9"/>
    <x v="7"/>
    <x v="3"/>
    <x v="7"/>
    <s v="Corporate"/>
    <s v="Online"/>
    <x v="1"/>
    <n v="5"/>
    <n v="30594.26"/>
    <n v="15"/>
    <n v="130025.62"/>
    <x v="3"/>
  </r>
  <r>
    <s v="ORD11575"/>
    <d v="2028-10-12T00:00:00"/>
    <x v="2"/>
    <x v="9"/>
    <x v="6"/>
    <x v="1"/>
    <x v="4"/>
    <s v="Consumer"/>
    <s v="Online"/>
    <x v="3"/>
    <n v="1"/>
    <n v="2716.03"/>
    <n v="10"/>
    <n v="2444.42"/>
    <x v="1"/>
  </r>
  <r>
    <s v="ORD10050"/>
    <d v="2028-10-13T00:00:00"/>
    <x v="4"/>
    <x v="9"/>
    <x v="6"/>
    <x v="1"/>
    <x v="4"/>
    <s v="Consumer"/>
    <s v="Online"/>
    <x v="2"/>
    <n v="4"/>
    <n v="2578.35"/>
    <n v="10"/>
    <n v="9282.0499999999993"/>
    <x v="3"/>
  </r>
  <r>
    <s v="ORD10656"/>
    <d v="2028-10-14T00:00:00"/>
    <x v="3"/>
    <x v="9"/>
    <x v="1"/>
    <x v="2"/>
    <x v="11"/>
    <s v="Home Office"/>
    <s v="Distributor"/>
    <x v="3"/>
    <n v="1"/>
    <n v="7321.19"/>
    <n v="5"/>
    <n v="6955.13"/>
    <x v="3"/>
  </r>
  <r>
    <s v="ORD11029"/>
    <d v="2028-10-15T00:00:00"/>
    <x v="0"/>
    <x v="9"/>
    <x v="0"/>
    <x v="2"/>
    <x v="16"/>
    <s v="Home Office"/>
    <s v="Retail Store"/>
    <x v="2"/>
    <n v="2"/>
    <n v="7812.52"/>
    <n v="5"/>
    <n v="14843.8"/>
    <x v="3"/>
  </r>
  <r>
    <s v="ORD11361"/>
    <d v="2028-10-16T00:00:00"/>
    <x v="2"/>
    <x v="9"/>
    <x v="1"/>
    <x v="3"/>
    <x v="7"/>
    <s v="Consumer"/>
    <s v="Online"/>
    <x v="4"/>
    <n v="1"/>
    <n v="30545.59"/>
    <n v="15"/>
    <n v="25963.75"/>
    <x v="3"/>
  </r>
  <r>
    <s v="ORD10025"/>
    <d v="2028-10-17T00:00:00"/>
    <x v="0"/>
    <x v="9"/>
    <x v="7"/>
    <x v="2"/>
    <x v="2"/>
    <s v="Home Office"/>
    <s v="Retail Store"/>
    <x v="3"/>
    <n v="3"/>
    <n v="7323.95"/>
    <n v="15"/>
    <n v="18676.060000000001"/>
    <x v="1"/>
  </r>
  <r>
    <s v="ORD10419"/>
    <d v="2028-10-18T00:00:00"/>
    <x v="0"/>
    <x v="9"/>
    <x v="1"/>
    <x v="0"/>
    <x v="8"/>
    <s v="Consumer"/>
    <s v="Distributor"/>
    <x v="4"/>
    <n v="3"/>
    <n v="55249.120000000003"/>
    <n v="0"/>
    <n v="165747.35999999999"/>
    <x v="3"/>
  </r>
  <r>
    <s v="ORD12108"/>
    <d v="2028-10-19T00:00:00"/>
    <x v="2"/>
    <x v="9"/>
    <x v="3"/>
    <x v="1"/>
    <x v="1"/>
    <s v="Consumer"/>
    <s v="Retail Store"/>
    <x v="4"/>
    <n v="2"/>
    <n v="2094.27"/>
    <n v="5"/>
    <n v="3979.11"/>
    <x v="3"/>
  </r>
  <r>
    <s v="ORD10701"/>
    <d v="2028-10-20T00:00:00"/>
    <x v="2"/>
    <x v="9"/>
    <x v="7"/>
    <x v="1"/>
    <x v="13"/>
    <s v="Consumer"/>
    <s v="Retail Store"/>
    <x v="3"/>
    <n v="5"/>
    <n v="3121.18"/>
    <n v="0"/>
    <n v="15605.88"/>
    <x v="3"/>
  </r>
  <r>
    <s v="ORD10330"/>
    <d v="2028-10-21T00:00:00"/>
    <x v="4"/>
    <x v="9"/>
    <x v="6"/>
    <x v="4"/>
    <x v="12"/>
    <s v="Home Office"/>
    <s v="Online"/>
    <x v="0"/>
    <n v="1"/>
    <n v="38498.089999999997"/>
    <n v="0"/>
    <n v="38498.089999999997"/>
    <x v="3"/>
  </r>
  <r>
    <s v="ORD11267"/>
    <d v="2028-10-22T00:00:00"/>
    <x v="4"/>
    <x v="9"/>
    <x v="9"/>
    <x v="4"/>
    <x v="12"/>
    <s v="Consumer"/>
    <s v="Online"/>
    <x v="0"/>
    <n v="2"/>
    <n v="50044.45"/>
    <n v="0"/>
    <n v="100088.89"/>
    <x v="3"/>
  </r>
  <r>
    <s v="ORD12038"/>
    <d v="2028-10-23T00:00:00"/>
    <x v="4"/>
    <x v="9"/>
    <x v="9"/>
    <x v="0"/>
    <x v="0"/>
    <s v="Home Office"/>
    <s v="Online"/>
    <x v="0"/>
    <n v="3"/>
    <n v="43600.3"/>
    <n v="15"/>
    <n v="111180.75"/>
    <x v="2"/>
  </r>
  <r>
    <s v="ORD10217"/>
    <d v="2028-10-24T00:00:00"/>
    <x v="1"/>
    <x v="9"/>
    <x v="5"/>
    <x v="0"/>
    <x v="6"/>
    <s v="Consumer"/>
    <s v="Retail Store"/>
    <x v="2"/>
    <n v="5"/>
    <n v="59636.77"/>
    <n v="10"/>
    <n v="268365.48"/>
    <x v="3"/>
  </r>
  <r>
    <s v="ORD11215"/>
    <d v="2028-10-25T00:00:00"/>
    <x v="3"/>
    <x v="9"/>
    <x v="0"/>
    <x v="2"/>
    <x v="2"/>
    <s v="Corporate"/>
    <s v="Online"/>
    <x v="3"/>
    <n v="4"/>
    <n v="6083.98"/>
    <n v="10"/>
    <n v="21902.31"/>
    <x v="3"/>
  </r>
  <r>
    <s v="ORD11617"/>
    <d v="2028-10-26T00:00:00"/>
    <x v="4"/>
    <x v="9"/>
    <x v="0"/>
    <x v="4"/>
    <x v="9"/>
    <s v="Home Office"/>
    <s v="Online"/>
    <x v="4"/>
    <n v="3"/>
    <n v="38625.21"/>
    <n v="0"/>
    <n v="115875.64"/>
    <x v="1"/>
  </r>
  <r>
    <s v="ORD10286"/>
    <d v="2028-10-27T00:00:00"/>
    <x v="1"/>
    <x v="9"/>
    <x v="9"/>
    <x v="0"/>
    <x v="0"/>
    <s v="Consumer"/>
    <s v="Retail Store"/>
    <x v="3"/>
    <n v="3"/>
    <n v="63365.68"/>
    <n v="10"/>
    <n v="171087.32"/>
    <x v="2"/>
  </r>
  <r>
    <s v="ORD12199"/>
    <d v="2028-10-28T00:00:00"/>
    <x v="3"/>
    <x v="9"/>
    <x v="3"/>
    <x v="0"/>
    <x v="0"/>
    <s v="Home Office"/>
    <s v="Distributor"/>
    <x v="1"/>
    <n v="2"/>
    <n v="43675.46"/>
    <n v="15"/>
    <n v="74248.289999999994"/>
    <x v="0"/>
  </r>
  <r>
    <s v="ORD10283"/>
    <d v="2028-10-29T00:00:00"/>
    <x v="3"/>
    <x v="9"/>
    <x v="8"/>
    <x v="1"/>
    <x v="13"/>
    <s v="Small Business"/>
    <s v="Distributor"/>
    <x v="0"/>
    <n v="4"/>
    <n v="2103.9499999999998"/>
    <n v="10"/>
    <n v="7574.24"/>
    <x v="3"/>
  </r>
  <r>
    <s v="ORD11505"/>
    <d v="2028-10-30T00:00:00"/>
    <x v="3"/>
    <x v="9"/>
    <x v="8"/>
    <x v="2"/>
    <x v="11"/>
    <s v="Consumer"/>
    <s v="Online"/>
    <x v="0"/>
    <n v="3"/>
    <n v="5046.7"/>
    <n v="10"/>
    <n v="13626.09"/>
    <x v="2"/>
  </r>
  <r>
    <s v="ORD11032"/>
    <d v="2028-10-31T00:00:00"/>
    <x v="1"/>
    <x v="9"/>
    <x v="5"/>
    <x v="1"/>
    <x v="13"/>
    <s v="Consumer"/>
    <s v="Distributor"/>
    <x v="0"/>
    <n v="4"/>
    <n v="3076.84"/>
    <n v="20"/>
    <n v="9845.8700000000008"/>
    <x v="0"/>
  </r>
  <r>
    <s v="ORD12033"/>
    <d v="2028-11-01T00:00:00"/>
    <x v="3"/>
    <x v="10"/>
    <x v="3"/>
    <x v="4"/>
    <x v="12"/>
    <s v="Consumer"/>
    <s v="Distributor"/>
    <x v="1"/>
    <n v="2"/>
    <n v="39950.17"/>
    <n v="10"/>
    <n v="71910.3"/>
    <x v="3"/>
  </r>
  <r>
    <s v="ORD10362"/>
    <d v="2028-11-02T00:00:00"/>
    <x v="4"/>
    <x v="10"/>
    <x v="4"/>
    <x v="4"/>
    <x v="10"/>
    <s v="Small Business"/>
    <s v="Online"/>
    <x v="1"/>
    <n v="1"/>
    <n v="41383.199999999997"/>
    <n v="5"/>
    <n v="39314.04"/>
    <x v="1"/>
  </r>
  <r>
    <s v="ORD10556"/>
    <d v="2028-11-03T00:00:00"/>
    <x v="1"/>
    <x v="10"/>
    <x v="2"/>
    <x v="4"/>
    <x v="12"/>
    <s v="Corporate"/>
    <s v="Online"/>
    <x v="3"/>
    <n v="5"/>
    <n v="41667.620000000003"/>
    <n v="0"/>
    <n v="208338.08"/>
    <x v="3"/>
  </r>
  <r>
    <s v="ORD11287"/>
    <d v="2028-11-04T00:00:00"/>
    <x v="0"/>
    <x v="10"/>
    <x v="3"/>
    <x v="3"/>
    <x v="3"/>
    <s v="Home Office"/>
    <s v="Distributor"/>
    <x v="0"/>
    <n v="4"/>
    <n v="32815.54"/>
    <n v="5"/>
    <n v="124699.07"/>
    <x v="3"/>
  </r>
  <r>
    <s v="ORD11253"/>
    <d v="2028-11-05T00:00:00"/>
    <x v="0"/>
    <x v="10"/>
    <x v="7"/>
    <x v="3"/>
    <x v="15"/>
    <s v="Corporate"/>
    <s v="Distributor"/>
    <x v="1"/>
    <n v="2"/>
    <n v="26576.16"/>
    <n v="0"/>
    <n v="53152.31"/>
    <x v="3"/>
  </r>
  <r>
    <s v="ORD10705"/>
    <d v="2028-11-06T00:00:00"/>
    <x v="2"/>
    <x v="10"/>
    <x v="9"/>
    <x v="1"/>
    <x v="4"/>
    <s v="Small Business"/>
    <s v="Distributor"/>
    <x v="1"/>
    <n v="5"/>
    <n v="1964.11"/>
    <n v="10"/>
    <n v="8838.51"/>
    <x v="0"/>
  </r>
  <r>
    <s v="ORD10542"/>
    <d v="2028-11-07T00:00:00"/>
    <x v="4"/>
    <x v="10"/>
    <x v="6"/>
    <x v="4"/>
    <x v="12"/>
    <s v="Small Business"/>
    <s v="Online"/>
    <x v="2"/>
    <n v="3"/>
    <n v="50280.49"/>
    <n v="0"/>
    <n v="150841.48000000001"/>
    <x v="2"/>
  </r>
  <r>
    <s v="ORD11195"/>
    <d v="2028-11-08T00:00:00"/>
    <x v="2"/>
    <x v="10"/>
    <x v="2"/>
    <x v="1"/>
    <x v="14"/>
    <s v="Small Business"/>
    <s v="Online"/>
    <x v="2"/>
    <n v="3"/>
    <n v="2860.19"/>
    <n v="0"/>
    <n v="8580.57"/>
    <x v="3"/>
  </r>
  <r>
    <s v="ORD10658"/>
    <d v="2028-11-09T00:00:00"/>
    <x v="4"/>
    <x v="10"/>
    <x v="0"/>
    <x v="2"/>
    <x v="16"/>
    <s v="Corporate"/>
    <s v="Distributor"/>
    <x v="3"/>
    <n v="3"/>
    <n v="6178.13"/>
    <n v="10"/>
    <n v="16680.95"/>
    <x v="3"/>
  </r>
  <r>
    <s v="ORD11304"/>
    <d v="2028-11-10T00:00:00"/>
    <x v="3"/>
    <x v="10"/>
    <x v="1"/>
    <x v="3"/>
    <x v="7"/>
    <s v="Small Business"/>
    <s v="Distributor"/>
    <x v="1"/>
    <n v="1"/>
    <n v="29092.27"/>
    <n v="0"/>
    <n v="29092.27"/>
    <x v="2"/>
  </r>
  <r>
    <s v="ORD11484"/>
    <d v="2028-11-11T00:00:00"/>
    <x v="2"/>
    <x v="10"/>
    <x v="6"/>
    <x v="3"/>
    <x v="15"/>
    <s v="Home Office"/>
    <s v="Distributor"/>
    <x v="0"/>
    <n v="5"/>
    <n v="31553.61"/>
    <n v="5"/>
    <n v="149879.65"/>
    <x v="1"/>
  </r>
  <r>
    <s v="ORD10852"/>
    <d v="2028-11-12T00:00:00"/>
    <x v="4"/>
    <x v="10"/>
    <x v="7"/>
    <x v="3"/>
    <x v="7"/>
    <s v="Corporate"/>
    <s v="Retail Store"/>
    <x v="1"/>
    <n v="2"/>
    <n v="34054.46"/>
    <n v="10"/>
    <n v="61298.03"/>
    <x v="3"/>
  </r>
  <r>
    <s v="ORD10436"/>
    <d v="2028-11-13T00:00:00"/>
    <x v="1"/>
    <x v="10"/>
    <x v="3"/>
    <x v="3"/>
    <x v="3"/>
    <s v="Corporate"/>
    <s v="Online"/>
    <x v="3"/>
    <n v="2"/>
    <n v="38896.58"/>
    <n v="0"/>
    <n v="77793.16"/>
    <x v="3"/>
  </r>
  <r>
    <s v="ORD11799"/>
    <d v="2028-11-14T00:00:00"/>
    <x v="1"/>
    <x v="10"/>
    <x v="9"/>
    <x v="4"/>
    <x v="5"/>
    <s v="Home Office"/>
    <s v="Distributor"/>
    <x v="0"/>
    <n v="2"/>
    <n v="36691.269999999997"/>
    <n v="0"/>
    <n v="73382.539999999994"/>
    <x v="3"/>
  </r>
  <r>
    <s v="ORD10292"/>
    <d v="2028-11-15T00:00:00"/>
    <x v="2"/>
    <x v="10"/>
    <x v="7"/>
    <x v="1"/>
    <x v="4"/>
    <s v="Consumer"/>
    <s v="Online"/>
    <x v="0"/>
    <n v="4"/>
    <n v="2953.85"/>
    <n v="10"/>
    <n v="10633.86"/>
    <x v="2"/>
  </r>
  <r>
    <s v="ORD10536"/>
    <d v="2028-11-16T00:00:00"/>
    <x v="3"/>
    <x v="10"/>
    <x v="0"/>
    <x v="2"/>
    <x v="16"/>
    <s v="Corporate"/>
    <s v="Retail Store"/>
    <x v="0"/>
    <n v="3"/>
    <n v="6845"/>
    <n v="10"/>
    <n v="18481.490000000002"/>
    <x v="0"/>
  </r>
  <r>
    <s v="ORD12166"/>
    <d v="2028-11-17T00:00:00"/>
    <x v="4"/>
    <x v="10"/>
    <x v="9"/>
    <x v="3"/>
    <x v="19"/>
    <s v="Home Office"/>
    <s v="Online"/>
    <x v="0"/>
    <n v="1"/>
    <n v="35540.269999999997"/>
    <n v="10"/>
    <n v="31986.240000000002"/>
    <x v="3"/>
  </r>
  <r>
    <s v="ORD10252"/>
    <d v="2028-11-18T00:00:00"/>
    <x v="1"/>
    <x v="10"/>
    <x v="6"/>
    <x v="0"/>
    <x v="18"/>
    <s v="Consumer"/>
    <s v="Retail Store"/>
    <x v="2"/>
    <n v="1"/>
    <n v="50927.08"/>
    <n v="20"/>
    <n v="40741.660000000003"/>
    <x v="1"/>
  </r>
  <r>
    <s v="ORD11872"/>
    <d v="2028-11-19T00:00:00"/>
    <x v="3"/>
    <x v="10"/>
    <x v="6"/>
    <x v="0"/>
    <x v="6"/>
    <s v="Consumer"/>
    <s v="Retail Store"/>
    <x v="1"/>
    <n v="5"/>
    <n v="59953.760000000002"/>
    <n v="0"/>
    <n v="299768.78000000003"/>
    <x v="1"/>
  </r>
  <r>
    <s v="ORD10932"/>
    <d v="2028-11-20T00:00:00"/>
    <x v="1"/>
    <x v="10"/>
    <x v="1"/>
    <x v="0"/>
    <x v="18"/>
    <s v="Small Business"/>
    <s v="Online"/>
    <x v="0"/>
    <n v="4"/>
    <n v="47001.03"/>
    <n v="5"/>
    <n v="178603.92"/>
    <x v="2"/>
  </r>
  <r>
    <s v="ORD12258"/>
    <d v="2028-11-21T00:00:00"/>
    <x v="0"/>
    <x v="10"/>
    <x v="3"/>
    <x v="1"/>
    <x v="4"/>
    <s v="Corporate"/>
    <s v="Distributor"/>
    <x v="4"/>
    <n v="3"/>
    <n v="2529.31"/>
    <n v="10"/>
    <n v="6829.13"/>
    <x v="1"/>
  </r>
  <r>
    <s v="ORD12031"/>
    <d v="2028-11-22T00:00:00"/>
    <x v="2"/>
    <x v="10"/>
    <x v="5"/>
    <x v="1"/>
    <x v="14"/>
    <s v="Home Office"/>
    <s v="Distributor"/>
    <x v="1"/>
    <n v="1"/>
    <n v="2885.73"/>
    <n v="10"/>
    <n v="2597.16"/>
    <x v="1"/>
  </r>
  <r>
    <s v="ORD10486"/>
    <d v="2028-11-23T00:00:00"/>
    <x v="0"/>
    <x v="10"/>
    <x v="2"/>
    <x v="1"/>
    <x v="14"/>
    <s v="Corporate"/>
    <s v="Retail Store"/>
    <x v="4"/>
    <n v="1"/>
    <n v="1883.65"/>
    <n v="5"/>
    <n v="1789.47"/>
    <x v="2"/>
  </r>
  <r>
    <s v="ORD11800"/>
    <d v="2028-11-24T00:00:00"/>
    <x v="3"/>
    <x v="10"/>
    <x v="3"/>
    <x v="2"/>
    <x v="11"/>
    <s v="Corporate"/>
    <s v="Distributor"/>
    <x v="0"/>
    <n v="2"/>
    <n v="7493.5"/>
    <n v="5"/>
    <n v="14237.65"/>
    <x v="3"/>
  </r>
  <r>
    <s v="ORD11388"/>
    <d v="2028-11-25T00:00:00"/>
    <x v="4"/>
    <x v="10"/>
    <x v="7"/>
    <x v="2"/>
    <x v="2"/>
    <s v="Corporate"/>
    <s v="Online"/>
    <x v="4"/>
    <n v="4"/>
    <n v="7134.99"/>
    <n v="20"/>
    <n v="22831.97"/>
    <x v="3"/>
  </r>
  <r>
    <s v="ORD10146"/>
    <d v="2028-11-26T00:00:00"/>
    <x v="0"/>
    <x v="10"/>
    <x v="4"/>
    <x v="2"/>
    <x v="17"/>
    <s v="Corporate"/>
    <s v="Distributor"/>
    <x v="0"/>
    <n v="1"/>
    <n v="5424.77"/>
    <n v="10"/>
    <n v="4882.29"/>
    <x v="1"/>
  </r>
  <r>
    <s v="ORD12200"/>
    <d v="2028-11-27T00:00:00"/>
    <x v="4"/>
    <x v="10"/>
    <x v="9"/>
    <x v="2"/>
    <x v="2"/>
    <s v="Consumer"/>
    <s v="Distributor"/>
    <x v="1"/>
    <n v="2"/>
    <n v="7171.57"/>
    <n v="15"/>
    <n v="12191.67"/>
    <x v="3"/>
  </r>
  <r>
    <s v="ORD12466"/>
    <d v="2028-11-28T00:00:00"/>
    <x v="1"/>
    <x v="10"/>
    <x v="8"/>
    <x v="4"/>
    <x v="9"/>
    <s v="Consumer"/>
    <s v="Online"/>
    <x v="2"/>
    <n v="4"/>
    <n v="32379"/>
    <n v="15"/>
    <n v="110088.62"/>
    <x v="3"/>
  </r>
  <r>
    <s v="ORD11490"/>
    <d v="2028-11-29T00:00:00"/>
    <x v="1"/>
    <x v="10"/>
    <x v="0"/>
    <x v="3"/>
    <x v="15"/>
    <s v="Corporate"/>
    <s v="Distributor"/>
    <x v="0"/>
    <n v="3"/>
    <n v="30871.3"/>
    <n v="15"/>
    <n v="78721.820000000007"/>
    <x v="3"/>
  </r>
  <r>
    <s v="ORD12450"/>
    <d v="2028-11-30T00:00:00"/>
    <x v="3"/>
    <x v="10"/>
    <x v="8"/>
    <x v="0"/>
    <x v="8"/>
    <s v="Corporate"/>
    <s v="Distributor"/>
    <x v="0"/>
    <n v="1"/>
    <n v="50015.73"/>
    <n v="10"/>
    <n v="45014.16"/>
    <x v="3"/>
  </r>
  <r>
    <s v="ORD10065"/>
    <d v="2028-12-01T00:00:00"/>
    <x v="3"/>
    <x v="11"/>
    <x v="3"/>
    <x v="2"/>
    <x v="16"/>
    <s v="Small Business"/>
    <s v="Distributor"/>
    <x v="2"/>
    <n v="1"/>
    <n v="5442.69"/>
    <n v="15"/>
    <n v="4626.29"/>
    <x v="2"/>
  </r>
  <r>
    <s v="ORD11318"/>
    <d v="2028-12-02T00:00:00"/>
    <x v="1"/>
    <x v="11"/>
    <x v="7"/>
    <x v="0"/>
    <x v="6"/>
    <s v="Small Business"/>
    <s v="Retail Store"/>
    <x v="4"/>
    <n v="5"/>
    <n v="48765.08"/>
    <n v="15"/>
    <n v="207251.57"/>
    <x v="0"/>
  </r>
  <r>
    <s v="ORD10669"/>
    <d v="2028-12-03T00:00:00"/>
    <x v="3"/>
    <x v="11"/>
    <x v="6"/>
    <x v="4"/>
    <x v="5"/>
    <s v="Corporate"/>
    <s v="Online"/>
    <x v="3"/>
    <n v="1"/>
    <n v="37572.269999999997"/>
    <n v="5"/>
    <n v="35693.660000000003"/>
    <x v="0"/>
  </r>
  <r>
    <s v="ORD10280"/>
    <d v="2028-12-04T00:00:00"/>
    <x v="2"/>
    <x v="11"/>
    <x v="2"/>
    <x v="0"/>
    <x v="18"/>
    <s v="Corporate"/>
    <s v="Distributor"/>
    <x v="0"/>
    <n v="1"/>
    <n v="65669.69"/>
    <n v="15"/>
    <n v="55819.24"/>
    <x v="3"/>
  </r>
  <r>
    <s v="ORD11145"/>
    <d v="2028-12-05T00:00:00"/>
    <x v="3"/>
    <x v="11"/>
    <x v="5"/>
    <x v="2"/>
    <x v="11"/>
    <s v="Corporate"/>
    <s v="Online"/>
    <x v="4"/>
    <n v="5"/>
    <n v="7286.58"/>
    <n v="0"/>
    <n v="36432.89"/>
    <x v="1"/>
  </r>
  <r>
    <s v="ORD10654"/>
    <d v="2028-12-06T00:00:00"/>
    <x v="4"/>
    <x v="11"/>
    <x v="3"/>
    <x v="2"/>
    <x v="11"/>
    <s v="Consumer"/>
    <s v="Online"/>
    <x v="4"/>
    <n v="3"/>
    <n v="4936.83"/>
    <n v="5"/>
    <n v="14069.98"/>
    <x v="3"/>
  </r>
  <r>
    <s v="ORD10489"/>
    <d v="2028-12-07T00:00:00"/>
    <x v="0"/>
    <x v="11"/>
    <x v="3"/>
    <x v="2"/>
    <x v="16"/>
    <s v="Consumer"/>
    <s v="Distributor"/>
    <x v="1"/>
    <n v="4"/>
    <n v="6548.12"/>
    <n v="15"/>
    <n v="22263.61"/>
    <x v="0"/>
  </r>
  <r>
    <s v="ORD12173"/>
    <d v="2028-12-08T00:00:00"/>
    <x v="3"/>
    <x v="11"/>
    <x v="4"/>
    <x v="1"/>
    <x v="4"/>
    <s v="Corporate"/>
    <s v="Distributor"/>
    <x v="4"/>
    <n v="5"/>
    <n v="2062.66"/>
    <n v="0"/>
    <n v="10313.299999999999"/>
    <x v="3"/>
  </r>
  <r>
    <s v="ORD10907"/>
    <d v="2028-12-09T00:00:00"/>
    <x v="0"/>
    <x v="11"/>
    <x v="2"/>
    <x v="2"/>
    <x v="17"/>
    <s v="Small Business"/>
    <s v="Distributor"/>
    <x v="1"/>
    <n v="3"/>
    <n v="5874.85"/>
    <n v="5"/>
    <n v="16743.310000000001"/>
    <x v="3"/>
  </r>
  <r>
    <s v="ORD10409"/>
    <d v="2028-12-10T00:00:00"/>
    <x v="4"/>
    <x v="11"/>
    <x v="6"/>
    <x v="3"/>
    <x v="15"/>
    <s v="Small Business"/>
    <s v="Distributor"/>
    <x v="4"/>
    <n v="3"/>
    <n v="38913.53"/>
    <n v="0"/>
    <n v="116740.6"/>
    <x v="3"/>
  </r>
  <r>
    <s v="ORD12233"/>
    <d v="2028-12-11T00:00:00"/>
    <x v="2"/>
    <x v="11"/>
    <x v="8"/>
    <x v="2"/>
    <x v="17"/>
    <s v="Consumer"/>
    <s v="Retail Store"/>
    <x v="3"/>
    <n v="3"/>
    <n v="7334.63"/>
    <n v="0"/>
    <n v="22003.88"/>
    <x v="2"/>
  </r>
  <r>
    <s v="ORD11269"/>
    <d v="2028-12-12T00:00:00"/>
    <x v="1"/>
    <x v="11"/>
    <x v="8"/>
    <x v="1"/>
    <x v="4"/>
    <s v="Small Business"/>
    <s v="Retail Store"/>
    <x v="0"/>
    <n v="1"/>
    <n v="1985.02"/>
    <n v="5"/>
    <n v="1885.77"/>
    <x v="1"/>
  </r>
  <r>
    <s v="ORD11329"/>
    <d v="2028-12-13T00:00:00"/>
    <x v="2"/>
    <x v="11"/>
    <x v="7"/>
    <x v="2"/>
    <x v="2"/>
    <s v="Consumer"/>
    <s v="Distributor"/>
    <x v="4"/>
    <n v="1"/>
    <n v="6432.12"/>
    <n v="5"/>
    <n v="6110.51"/>
    <x v="0"/>
  </r>
  <r>
    <s v="ORD10862"/>
    <d v="2028-12-14T00:00:00"/>
    <x v="1"/>
    <x v="11"/>
    <x v="9"/>
    <x v="0"/>
    <x v="6"/>
    <s v="Home Office"/>
    <s v="Retail Store"/>
    <x v="3"/>
    <n v="3"/>
    <n v="60179.88"/>
    <n v="20"/>
    <n v="144431.72"/>
    <x v="3"/>
  </r>
  <r>
    <s v="ORD11319"/>
    <d v="2028-12-15T00:00:00"/>
    <x v="3"/>
    <x v="11"/>
    <x v="2"/>
    <x v="3"/>
    <x v="3"/>
    <s v="Consumer"/>
    <s v="Online"/>
    <x v="1"/>
    <n v="2"/>
    <n v="34195.61"/>
    <n v="5"/>
    <n v="64971.66"/>
    <x v="3"/>
  </r>
  <r>
    <s v="ORD11024"/>
    <d v="2028-12-16T00:00:00"/>
    <x v="1"/>
    <x v="11"/>
    <x v="1"/>
    <x v="2"/>
    <x v="2"/>
    <s v="Consumer"/>
    <s v="Online"/>
    <x v="4"/>
    <n v="2"/>
    <n v="5931.17"/>
    <n v="15"/>
    <n v="10083"/>
    <x v="2"/>
  </r>
  <r>
    <s v="ORD10165"/>
    <d v="2028-12-17T00:00:00"/>
    <x v="4"/>
    <x v="11"/>
    <x v="0"/>
    <x v="2"/>
    <x v="2"/>
    <s v="Small Business"/>
    <s v="Online"/>
    <x v="2"/>
    <n v="4"/>
    <n v="7745.25"/>
    <n v="20"/>
    <n v="24784.799999999999"/>
    <x v="2"/>
  </r>
  <r>
    <s v="ORD12277"/>
    <d v="2028-12-18T00:00:00"/>
    <x v="0"/>
    <x v="11"/>
    <x v="3"/>
    <x v="1"/>
    <x v="4"/>
    <s v="Corporate"/>
    <s v="Distributor"/>
    <x v="3"/>
    <n v="1"/>
    <n v="2746.83"/>
    <n v="5"/>
    <n v="2609.4899999999998"/>
    <x v="3"/>
  </r>
  <r>
    <s v="ORD10143"/>
    <d v="2028-12-19T00:00:00"/>
    <x v="1"/>
    <x v="11"/>
    <x v="1"/>
    <x v="1"/>
    <x v="14"/>
    <s v="Home Office"/>
    <s v="Online"/>
    <x v="1"/>
    <n v="1"/>
    <n v="2978.28"/>
    <n v="20"/>
    <n v="2382.62"/>
    <x v="3"/>
  </r>
  <r>
    <s v="ORD11959"/>
    <d v="2028-12-20T00:00:00"/>
    <x v="1"/>
    <x v="11"/>
    <x v="7"/>
    <x v="4"/>
    <x v="10"/>
    <s v="Corporate"/>
    <s v="Online"/>
    <x v="0"/>
    <n v="3"/>
    <n v="36734.57"/>
    <n v="0"/>
    <n v="110203.71"/>
    <x v="2"/>
  </r>
  <r>
    <s v="ORD11830"/>
    <d v="2028-12-21T00:00:00"/>
    <x v="4"/>
    <x v="11"/>
    <x v="5"/>
    <x v="1"/>
    <x v="4"/>
    <s v="Consumer"/>
    <s v="Online"/>
    <x v="2"/>
    <n v="1"/>
    <n v="2723.16"/>
    <n v="15"/>
    <n v="2314.69"/>
    <x v="1"/>
  </r>
  <r>
    <s v="ORD12429"/>
    <d v="2028-12-22T00:00:00"/>
    <x v="1"/>
    <x v="11"/>
    <x v="0"/>
    <x v="3"/>
    <x v="3"/>
    <s v="Home Office"/>
    <s v="Retail Store"/>
    <x v="3"/>
    <n v="4"/>
    <n v="33780.81"/>
    <n v="10"/>
    <n v="121610.9"/>
    <x v="3"/>
  </r>
  <r>
    <s v="ORD11789"/>
    <d v="2028-12-23T00:00:00"/>
    <x v="1"/>
    <x v="11"/>
    <x v="8"/>
    <x v="3"/>
    <x v="19"/>
    <s v="Corporate"/>
    <s v="Online"/>
    <x v="0"/>
    <n v="4"/>
    <n v="25520.33"/>
    <n v="5"/>
    <n v="96977.24"/>
    <x v="3"/>
  </r>
  <r>
    <s v="ORD10745"/>
    <d v="2028-12-24T00:00:00"/>
    <x v="4"/>
    <x v="11"/>
    <x v="6"/>
    <x v="4"/>
    <x v="10"/>
    <s v="Small Business"/>
    <s v="Online"/>
    <x v="2"/>
    <n v="2"/>
    <n v="35268.14"/>
    <n v="0"/>
    <n v="70536.28"/>
    <x v="0"/>
  </r>
  <r>
    <s v="ORD11271"/>
    <d v="2028-12-25T00:00:00"/>
    <x v="3"/>
    <x v="11"/>
    <x v="4"/>
    <x v="3"/>
    <x v="3"/>
    <s v="Home Office"/>
    <s v="Distributor"/>
    <x v="1"/>
    <n v="2"/>
    <n v="30622.080000000002"/>
    <n v="5"/>
    <n v="58181.95"/>
    <x v="3"/>
  </r>
  <r>
    <s v="ORD12496"/>
    <d v="2028-12-26T00:00:00"/>
    <x v="0"/>
    <x v="11"/>
    <x v="8"/>
    <x v="3"/>
    <x v="19"/>
    <s v="Consumer"/>
    <s v="Distributor"/>
    <x v="2"/>
    <n v="1"/>
    <n v="35915.32"/>
    <n v="0"/>
    <n v="35915.32"/>
    <x v="0"/>
  </r>
  <r>
    <s v="ORD11632"/>
    <d v="2028-12-27T00:00:00"/>
    <x v="3"/>
    <x v="11"/>
    <x v="0"/>
    <x v="2"/>
    <x v="17"/>
    <s v="Small Business"/>
    <s v="Retail Store"/>
    <x v="4"/>
    <n v="3"/>
    <n v="6198.12"/>
    <n v="10"/>
    <n v="16734.919999999998"/>
    <x v="0"/>
  </r>
  <r>
    <s v="ORD10861"/>
    <d v="2028-12-28T00:00:00"/>
    <x v="0"/>
    <x v="11"/>
    <x v="1"/>
    <x v="3"/>
    <x v="3"/>
    <s v="Corporate"/>
    <s v="Distributor"/>
    <x v="4"/>
    <n v="5"/>
    <n v="32970.54"/>
    <n v="20"/>
    <n v="131882.14000000001"/>
    <x v="1"/>
  </r>
  <r>
    <s v="ORD10265"/>
    <d v="2028-12-29T00:00:00"/>
    <x v="4"/>
    <x v="11"/>
    <x v="9"/>
    <x v="4"/>
    <x v="5"/>
    <s v="Home Office"/>
    <s v="Online"/>
    <x v="2"/>
    <n v="5"/>
    <n v="48982.51"/>
    <n v="10"/>
    <n v="220421.28"/>
    <x v="3"/>
  </r>
  <r>
    <s v="ORD10458"/>
    <d v="2028-12-30T00:00:00"/>
    <x v="0"/>
    <x v="11"/>
    <x v="4"/>
    <x v="1"/>
    <x v="1"/>
    <s v="Consumer"/>
    <s v="Distributor"/>
    <x v="2"/>
    <n v="2"/>
    <n v="3029.05"/>
    <n v="0"/>
    <n v="6058.11"/>
    <x v="3"/>
  </r>
  <r>
    <s v="ORD10355"/>
    <d v="2028-12-31T00:00:00"/>
    <x v="0"/>
    <x v="11"/>
    <x v="3"/>
    <x v="4"/>
    <x v="10"/>
    <s v="Home Office"/>
    <s v="Distributor"/>
    <x v="4"/>
    <n v="4"/>
    <n v="42191.86"/>
    <n v="10"/>
    <n v="151890.70000000001"/>
    <x v="3"/>
  </r>
  <r>
    <s v="ORD11518"/>
    <d v="2029-01-01T00:00:00"/>
    <x v="2"/>
    <x v="0"/>
    <x v="8"/>
    <x v="1"/>
    <x v="13"/>
    <s v="Consumer"/>
    <s v="Online"/>
    <x v="3"/>
    <n v="4"/>
    <n v="1901.22"/>
    <n v="5"/>
    <n v="7224.62"/>
    <x v="3"/>
  </r>
  <r>
    <s v="ORD12435"/>
    <d v="2029-01-02T00:00:00"/>
    <x v="0"/>
    <x v="0"/>
    <x v="7"/>
    <x v="4"/>
    <x v="5"/>
    <s v="Corporate"/>
    <s v="Retail Store"/>
    <x v="0"/>
    <n v="5"/>
    <n v="33109.449999999997"/>
    <n v="10"/>
    <n v="148992.51999999999"/>
    <x v="3"/>
  </r>
  <r>
    <s v="ORD11620"/>
    <d v="2029-01-03T00:00:00"/>
    <x v="0"/>
    <x v="0"/>
    <x v="5"/>
    <x v="3"/>
    <x v="15"/>
    <s v="Corporate"/>
    <s v="Online"/>
    <x v="2"/>
    <n v="4"/>
    <n v="29345.73"/>
    <n v="5"/>
    <n v="111513.79"/>
    <x v="2"/>
  </r>
  <r>
    <s v="ORD11603"/>
    <d v="2029-01-04T00:00:00"/>
    <x v="1"/>
    <x v="0"/>
    <x v="6"/>
    <x v="0"/>
    <x v="6"/>
    <s v="Small Business"/>
    <s v="Retail Store"/>
    <x v="0"/>
    <n v="2"/>
    <n v="58457.95"/>
    <n v="0"/>
    <n v="116915.9"/>
    <x v="0"/>
  </r>
  <r>
    <s v="ORD10228"/>
    <d v="2029-01-05T00:00:00"/>
    <x v="3"/>
    <x v="0"/>
    <x v="6"/>
    <x v="3"/>
    <x v="15"/>
    <s v="Consumer"/>
    <s v="Online"/>
    <x v="2"/>
    <n v="2"/>
    <n v="39003.18"/>
    <n v="15"/>
    <n v="66305.41"/>
    <x v="3"/>
  </r>
  <r>
    <s v="ORD12103"/>
    <d v="2029-01-06T00:00:00"/>
    <x v="3"/>
    <x v="0"/>
    <x v="0"/>
    <x v="1"/>
    <x v="13"/>
    <s v="Consumer"/>
    <s v="Retail Store"/>
    <x v="3"/>
    <n v="2"/>
    <n v="1891.95"/>
    <n v="5"/>
    <n v="3594.7"/>
    <x v="0"/>
  </r>
  <r>
    <s v="ORD10619"/>
    <d v="2029-01-07T00:00:00"/>
    <x v="0"/>
    <x v="0"/>
    <x v="5"/>
    <x v="1"/>
    <x v="4"/>
    <s v="Consumer"/>
    <s v="Retail Store"/>
    <x v="3"/>
    <n v="2"/>
    <n v="2017.16"/>
    <n v="10"/>
    <n v="3630.9"/>
    <x v="3"/>
  </r>
  <r>
    <s v="ORD12059"/>
    <d v="2029-01-08T00:00:00"/>
    <x v="0"/>
    <x v="0"/>
    <x v="6"/>
    <x v="4"/>
    <x v="5"/>
    <s v="Small Business"/>
    <s v="Distributor"/>
    <x v="4"/>
    <n v="5"/>
    <n v="37803.339999999997"/>
    <n v="10"/>
    <n v="170115.04"/>
    <x v="3"/>
  </r>
  <r>
    <s v="ORD10453"/>
    <d v="2029-01-09T00:00:00"/>
    <x v="4"/>
    <x v="0"/>
    <x v="3"/>
    <x v="4"/>
    <x v="5"/>
    <s v="Consumer"/>
    <s v="Distributor"/>
    <x v="4"/>
    <n v="5"/>
    <n v="37850.370000000003"/>
    <n v="0"/>
    <n v="189251.83"/>
    <x v="3"/>
  </r>
  <r>
    <s v="ORD10574"/>
    <d v="2029-01-10T00:00:00"/>
    <x v="0"/>
    <x v="0"/>
    <x v="2"/>
    <x v="2"/>
    <x v="17"/>
    <s v="Small Business"/>
    <s v="Retail Store"/>
    <x v="3"/>
    <n v="1"/>
    <n v="5242.3599999999997"/>
    <n v="10"/>
    <n v="4718.12"/>
    <x v="1"/>
  </r>
  <r>
    <s v="ORD11084"/>
    <d v="2029-01-11T00:00:00"/>
    <x v="3"/>
    <x v="0"/>
    <x v="6"/>
    <x v="4"/>
    <x v="12"/>
    <s v="Small Business"/>
    <s v="Online"/>
    <x v="4"/>
    <n v="1"/>
    <n v="36036.22"/>
    <n v="0"/>
    <n v="36036.22"/>
    <x v="3"/>
  </r>
  <r>
    <s v="ORD11956"/>
    <d v="2029-01-12T00:00:00"/>
    <x v="2"/>
    <x v="0"/>
    <x v="9"/>
    <x v="3"/>
    <x v="19"/>
    <s v="Small Business"/>
    <s v="Distributor"/>
    <x v="2"/>
    <n v="4"/>
    <n v="26373.56"/>
    <n v="15"/>
    <n v="89670.09"/>
    <x v="1"/>
  </r>
  <r>
    <s v="ORD11933"/>
    <d v="2029-01-13T00:00:00"/>
    <x v="2"/>
    <x v="0"/>
    <x v="1"/>
    <x v="1"/>
    <x v="13"/>
    <s v="Corporate"/>
    <s v="Online"/>
    <x v="2"/>
    <n v="1"/>
    <n v="2108.67"/>
    <n v="15"/>
    <n v="1792.37"/>
    <x v="0"/>
  </r>
  <r>
    <s v="ORD11124"/>
    <d v="2029-01-14T00:00:00"/>
    <x v="2"/>
    <x v="0"/>
    <x v="1"/>
    <x v="3"/>
    <x v="7"/>
    <s v="Small Business"/>
    <s v="Retail Store"/>
    <x v="1"/>
    <n v="2"/>
    <n v="30079.02"/>
    <n v="10"/>
    <n v="54142.239999999998"/>
    <x v="3"/>
  </r>
  <r>
    <s v="ORD11829"/>
    <d v="2029-01-15T00:00:00"/>
    <x v="1"/>
    <x v="0"/>
    <x v="2"/>
    <x v="1"/>
    <x v="4"/>
    <s v="Corporate"/>
    <s v="Retail Store"/>
    <x v="0"/>
    <n v="4"/>
    <n v="2156.6799999999998"/>
    <n v="10"/>
    <n v="7764.04"/>
    <x v="3"/>
  </r>
  <r>
    <s v="ORD10415"/>
    <d v="2029-01-16T00:00:00"/>
    <x v="1"/>
    <x v="0"/>
    <x v="1"/>
    <x v="2"/>
    <x v="2"/>
    <s v="Home Office"/>
    <s v="Retail Store"/>
    <x v="2"/>
    <n v="5"/>
    <n v="6416.54"/>
    <n v="0"/>
    <n v="32082.7"/>
    <x v="3"/>
  </r>
  <r>
    <s v="ORD11793"/>
    <d v="2029-01-17T00:00:00"/>
    <x v="2"/>
    <x v="0"/>
    <x v="0"/>
    <x v="0"/>
    <x v="8"/>
    <s v="Consumer"/>
    <s v="Retail Store"/>
    <x v="1"/>
    <n v="3"/>
    <n v="53560.58"/>
    <n v="0"/>
    <n v="160681.74"/>
    <x v="3"/>
  </r>
  <r>
    <s v="ORD11688"/>
    <d v="2029-01-18T00:00:00"/>
    <x v="2"/>
    <x v="0"/>
    <x v="3"/>
    <x v="2"/>
    <x v="16"/>
    <s v="Home Office"/>
    <s v="Retail Store"/>
    <x v="0"/>
    <n v="3"/>
    <n v="5415.88"/>
    <n v="5"/>
    <n v="15435.26"/>
    <x v="3"/>
  </r>
  <r>
    <s v="ORD10501"/>
    <d v="2029-01-19T00:00:00"/>
    <x v="4"/>
    <x v="0"/>
    <x v="8"/>
    <x v="0"/>
    <x v="8"/>
    <s v="Small Business"/>
    <s v="Online"/>
    <x v="4"/>
    <n v="1"/>
    <n v="63548.52"/>
    <n v="5"/>
    <n v="60371.09"/>
    <x v="2"/>
  </r>
  <r>
    <s v="ORD10520"/>
    <d v="2029-01-20T00:00:00"/>
    <x v="2"/>
    <x v="0"/>
    <x v="7"/>
    <x v="3"/>
    <x v="7"/>
    <s v="Small Business"/>
    <s v="Online"/>
    <x v="2"/>
    <n v="3"/>
    <n v="29249.45"/>
    <n v="10"/>
    <n v="78973.509999999995"/>
    <x v="2"/>
  </r>
  <r>
    <s v="ORD10512"/>
    <d v="2029-01-21T00:00:00"/>
    <x v="1"/>
    <x v="0"/>
    <x v="3"/>
    <x v="4"/>
    <x v="12"/>
    <s v="Small Business"/>
    <s v="Distributor"/>
    <x v="2"/>
    <n v="3"/>
    <n v="38570.160000000003"/>
    <n v="10"/>
    <n v="104139.42"/>
    <x v="3"/>
  </r>
  <r>
    <s v="ORD10235"/>
    <d v="2029-01-22T00:00:00"/>
    <x v="4"/>
    <x v="0"/>
    <x v="3"/>
    <x v="0"/>
    <x v="8"/>
    <s v="Consumer"/>
    <s v="Retail Store"/>
    <x v="1"/>
    <n v="4"/>
    <n v="68177.08"/>
    <n v="5"/>
    <n v="259072.89"/>
    <x v="3"/>
  </r>
  <r>
    <s v="ORD10047"/>
    <d v="2029-01-23T00:00:00"/>
    <x v="1"/>
    <x v="0"/>
    <x v="2"/>
    <x v="0"/>
    <x v="0"/>
    <s v="Consumer"/>
    <s v="Retail Store"/>
    <x v="4"/>
    <n v="2"/>
    <n v="44431.61"/>
    <n v="0"/>
    <n v="88863.21"/>
    <x v="3"/>
  </r>
  <r>
    <s v="ORD11049"/>
    <d v="2029-01-24T00:00:00"/>
    <x v="0"/>
    <x v="0"/>
    <x v="2"/>
    <x v="3"/>
    <x v="3"/>
    <s v="Home Office"/>
    <s v="Online"/>
    <x v="4"/>
    <n v="3"/>
    <n v="39478.550000000003"/>
    <n v="10"/>
    <n v="106592.07"/>
    <x v="2"/>
  </r>
  <r>
    <s v="ORD10660"/>
    <d v="2029-01-25T00:00:00"/>
    <x v="4"/>
    <x v="0"/>
    <x v="3"/>
    <x v="0"/>
    <x v="18"/>
    <s v="Consumer"/>
    <s v="Distributor"/>
    <x v="3"/>
    <n v="1"/>
    <n v="66394.080000000002"/>
    <n v="5"/>
    <n v="63074.37"/>
    <x v="0"/>
  </r>
  <r>
    <s v="ORD11526"/>
    <d v="2029-01-26T00:00:00"/>
    <x v="3"/>
    <x v="0"/>
    <x v="8"/>
    <x v="0"/>
    <x v="8"/>
    <s v="Corporate"/>
    <s v="Retail Store"/>
    <x v="3"/>
    <n v="2"/>
    <n v="52933.99"/>
    <n v="10"/>
    <n v="95281.19"/>
    <x v="0"/>
  </r>
  <r>
    <s v="ORD11766"/>
    <d v="2029-01-27T00:00:00"/>
    <x v="1"/>
    <x v="0"/>
    <x v="9"/>
    <x v="0"/>
    <x v="18"/>
    <s v="Home Office"/>
    <s v="Online"/>
    <x v="2"/>
    <n v="1"/>
    <n v="67277.86"/>
    <n v="15"/>
    <n v="57186.18"/>
    <x v="3"/>
  </r>
  <r>
    <s v="ORD10555"/>
    <d v="2029-01-28T00:00:00"/>
    <x v="2"/>
    <x v="0"/>
    <x v="1"/>
    <x v="3"/>
    <x v="15"/>
    <s v="Small Business"/>
    <s v="Retail Store"/>
    <x v="0"/>
    <n v="2"/>
    <n v="36764.959999999999"/>
    <n v="10"/>
    <n v="66176.929999999993"/>
    <x v="1"/>
  </r>
  <r>
    <s v="ORD10448"/>
    <d v="2029-01-29T00:00:00"/>
    <x v="4"/>
    <x v="0"/>
    <x v="0"/>
    <x v="2"/>
    <x v="17"/>
    <s v="Corporate"/>
    <s v="Online"/>
    <x v="0"/>
    <n v="4"/>
    <n v="7421.27"/>
    <n v="0"/>
    <n v="29685.06"/>
    <x v="3"/>
  </r>
  <r>
    <s v="ORD12339"/>
    <d v="2029-01-30T00:00:00"/>
    <x v="1"/>
    <x v="0"/>
    <x v="1"/>
    <x v="2"/>
    <x v="11"/>
    <s v="Corporate"/>
    <s v="Distributor"/>
    <x v="1"/>
    <n v="1"/>
    <n v="6584.65"/>
    <n v="5"/>
    <n v="6255.42"/>
    <x v="0"/>
  </r>
  <r>
    <s v="ORD11849"/>
    <d v="2029-01-31T00:00:00"/>
    <x v="4"/>
    <x v="0"/>
    <x v="6"/>
    <x v="1"/>
    <x v="1"/>
    <s v="Home Office"/>
    <s v="Online"/>
    <x v="0"/>
    <n v="5"/>
    <n v="3030.42"/>
    <n v="10"/>
    <n v="13636.9"/>
    <x v="2"/>
  </r>
  <r>
    <s v="ORD10928"/>
    <d v="2029-02-01T00:00:00"/>
    <x v="2"/>
    <x v="1"/>
    <x v="2"/>
    <x v="1"/>
    <x v="1"/>
    <s v="Corporate"/>
    <s v="Distributor"/>
    <x v="3"/>
    <n v="1"/>
    <n v="2616.09"/>
    <n v="10"/>
    <n v="2354.48"/>
    <x v="2"/>
  </r>
  <r>
    <s v="ORD10699"/>
    <d v="2029-02-02T00:00:00"/>
    <x v="2"/>
    <x v="1"/>
    <x v="8"/>
    <x v="0"/>
    <x v="8"/>
    <s v="Corporate"/>
    <s v="Online"/>
    <x v="2"/>
    <n v="2"/>
    <n v="48417.47"/>
    <n v="15"/>
    <n v="82309.7"/>
    <x v="3"/>
  </r>
  <r>
    <s v="ORD11686"/>
    <d v="2029-02-03T00:00:00"/>
    <x v="1"/>
    <x v="1"/>
    <x v="2"/>
    <x v="4"/>
    <x v="9"/>
    <s v="Corporate"/>
    <s v="Online"/>
    <x v="3"/>
    <n v="2"/>
    <n v="48370.92"/>
    <n v="20"/>
    <n v="77393.47"/>
    <x v="3"/>
  </r>
  <r>
    <s v="ORD10206"/>
    <d v="2029-02-04T00:00:00"/>
    <x v="3"/>
    <x v="1"/>
    <x v="7"/>
    <x v="4"/>
    <x v="12"/>
    <s v="Small Business"/>
    <s v="Distributor"/>
    <x v="4"/>
    <n v="4"/>
    <n v="41989.33"/>
    <n v="10"/>
    <n v="151161.57999999999"/>
    <x v="3"/>
  </r>
  <r>
    <s v="ORD11991"/>
    <d v="2029-02-05T00:00:00"/>
    <x v="1"/>
    <x v="1"/>
    <x v="0"/>
    <x v="2"/>
    <x v="16"/>
    <s v="Corporate"/>
    <s v="Distributor"/>
    <x v="1"/>
    <n v="1"/>
    <n v="7088.29"/>
    <n v="10"/>
    <n v="6379.46"/>
    <x v="3"/>
  </r>
  <r>
    <s v="ORD12122"/>
    <d v="2029-02-06T00:00:00"/>
    <x v="3"/>
    <x v="1"/>
    <x v="5"/>
    <x v="3"/>
    <x v="7"/>
    <s v="Home Office"/>
    <s v="Distributor"/>
    <x v="0"/>
    <n v="1"/>
    <n v="26991.64"/>
    <n v="20"/>
    <n v="21593.31"/>
    <x v="2"/>
  </r>
  <r>
    <s v="ORD12193"/>
    <d v="2029-02-07T00:00:00"/>
    <x v="2"/>
    <x v="1"/>
    <x v="1"/>
    <x v="3"/>
    <x v="3"/>
    <s v="Consumer"/>
    <s v="Distributor"/>
    <x v="3"/>
    <n v="1"/>
    <n v="36935.279999999999"/>
    <n v="0"/>
    <n v="36935.279999999999"/>
    <x v="3"/>
  </r>
  <r>
    <s v="ORD11239"/>
    <d v="2029-02-08T00:00:00"/>
    <x v="3"/>
    <x v="1"/>
    <x v="0"/>
    <x v="4"/>
    <x v="5"/>
    <s v="Home Office"/>
    <s v="Retail Store"/>
    <x v="2"/>
    <n v="2"/>
    <n v="33906.61"/>
    <n v="5"/>
    <n v="64422.559999999998"/>
    <x v="3"/>
  </r>
  <r>
    <s v="ORD12222"/>
    <d v="2029-02-09T00:00:00"/>
    <x v="3"/>
    <x v="1"/>
    <x v="0"/>
    <x v="4"/>
    <x v="12"/>
    <s v="Corporate"/>
    <s v="Online"/>
    <x v="1"/>
    <n v="5"/>
    <n v="41328.11"/>
    <n v="15"/>
    <n v="175644.45"/>
    <x v="2"/>
  </r>
  <r>
    <s v="ORD11338"/>
    <d v="2029-02-10T00:00:00"/>
    <x v="0"/>
    <x v="1"/>
    <x v="0"/>
    <x v="4"/>
    <x v="12"/>
    <s v="Corporate"/>
    <s v="Distributor"/>
    <x v="3"/>
    <n v="4"/>
    <n v="32936.76"/>
    <n v="5"/>
    <n v="125159.67999999999"/>
    <x v="3"/>
  </r>
  <r>
    <s v="ORD10312"/>
    <d v="2029-02-11T00:00:00"/>
    <x v="0"/>
    <x v="1"/>
    <x v="7"/>
    <x v="0"/>
    <x v="6"/>
    <s v="Small Business"/>
    <s v="Retail Store"/>
    <x v="3"/>
    <n v="1"/>
    <n v="62415.16"/>
    <n v="10"/>
    <n v="56173.64"/>
    <x v="3"/>
  </r>
  <r>
    <s v="ORD12073"/>
    <d v="2029-02-12T00:00:00"/>
    <x v="0"/>
    <x v="1"/>
    <x v="5"/>
    <x v="2"/>
    <x v="17"/>
    <s v="Corporate"/>
    <s v="Online"/>
    <x v="3"/>
    <n v="3"/>
    <n v="4950.87"/>
    <n v="5"/>
    <n v="14109.99"/>
    <x v="1"/>
  </r>
  <r>
    <s v="ORD11132"/>
    <d v="2029-02-13T00:00:00"/>
    <x v="1"/>
    <x v="1"/>
    <x v="1"/>
    <x v="1"/>
    <x v="14"/>
    <s v="Home Office"/>
    <s v="Retail Store"/>
    <x v="4"/>
    <n v="4"/>
    <n v="2508.6"/>
    <n v="5"/>
    <n v="9532.66"/>
    <x v="3"/>
  </r>
  <r>
    <s v="ORD11573"/>
    <d v="2029-02-14T00:00:00"/>
    <x v="2"/>
    <x v="1"/>
    <x v="8"/>
    <x v="0"/>
    <x v="6"/>
    <s v="Small Business"/>
    <s v="Distributor"/>
    <x v="3"/>
    <n v="2"/>
    <n v="47653.34"/>
    <n v="0"/>
    <n v="95306.68"/>
    <x v="1"/>
  </r>
  <r>
    <s v="ORD10097"/>
    <d v="2029-02-15T00:00:00"/>
    <x v="0"/>
    <x v="1"/>
    <x v="6"/>
    <x v="0"/>
    <x v="6"/>
    <s v="Small Business"/>
    <s v="Retail Store"/>
    <x v="0"/>
    <n v="4"/>
    <n v="43507.66"/>
    <n v="15"/>
    <n v="147926.04"/>
    <x v="3"/>
  </r>
  <r>
    <s v="ORD12364"/>
    <d v="2029-02-16T00:00:00"/>
    <x v="2"/>
    <x v="1"/>
    <x v="6"/>
    <x v="4"/>
    <x v="12"/>
    <s v="Small Business"/>
    <s v="Distributor"/>
    <x v="3"/>
    <n v="2"/>
    <n v="51951.21"/>
    <n v="10"/>
    <n v="93512.18"/>
    <x v="2"/>
  </r>
  <r>
    <s v="ORD11658"/>
    <d v="2029-02-17T00:00:00"/>
    <x v="2"/>
    <x v="1"/>
    <x v="9"/>
    <x v="1"/>
    <x v="13"/>
    <s v="Corporate"/>
    <s v="Online"/>
    <x v="0"/>
    <n v="5"/>
    <n v="2238.87"/>
    <n v="0"/>
    <n v="11194.35"/>
    <x v="3"/>
  </r>
  <r>
    <s v="ORD10266"/>
    <d v="2029-02-18T00:00:00"/>
    <x v="4"/>
    <x v="1"/>
    <x v="9"/>
    <x v="4"/>
    <x v="10"/>
    <s v="Corporate"/>
    <s v="Distributor"/>
    <x v="3"/>
    <n v="2"/>
    <n v="38396.910000000003"/>
    <n v="5"/>
    <n v="72954.13"/>
    <x v="3"/>
  </r>
  <r>
    <s v="ORD11696"/>
    <d v="2029-02-19T00:00:00"/>
    <x v="4"/>
    <x v="1"/>
    <x v="6"/>
    <x v="4"/>
    <x v="5"/>
    <s v="Small Business"/>
    <s v="Online"/>
    <x v="2"/>
    <n v="4"/>
    <n v="32783.42"/>
    <n v="10"/>
    <n v="118020.33"/>
    <x v="3"/>
  </r>
  <r>
    <s v="ORD11206"/>
    <d v="2029-02-20T00:00:00"/>
    <x v="3"/>
    <x v="1"/>
    <x v="3"/>
    <x v="4"/>
    <x v="10"/>
    <s v="Consumer"/>
    <s v="Online"/>
    <x v="0"/>
    <n v="4"/>
    <n v="44231.96"/>
    <n v="15"/>
    <n v="150388.65"/>
    <x v="0"/>
  </r>
  <r>
    <s v="ORD12309"/>
    <d v="2029-02-21T00:00:00"/>
    <x v="0"/>
    <x v="1"/>
    <x v="1"/>
    <x v="2"/>
    <x v="2"/>
    <s v="Small Business"/>
    <s v="Distributor"/>
    <x v="2"/>
    <n v="4"/>
    <n v="7009.55"/>
    <n v="0"/>
    <n v="28038.22"/>
    <x v="1"/>
  </r>
  <r>
    <s v="ORD11108"/>
    <d v="2029-02-22T00:00:00"/>
    <x v="3"/>
    <x v="1"/>
    <x v="5"/>
    <x v="1"/>
    <x v="4"/>
    <s v="Home Office"/>
    <s v="Distributor"/>
    <x v="2"/>
    <n v="1"/>
    <n v="2828.72"/>
    <n v="10"/>
    <n v="2545.85"/>
    <x v="0"/>
  </r>
  <r>
    <s v="ORD10818"/>
    <d v="2029-02-23T00:00:00"/>
    <x v="2"/>
    <x v="1"/>
    <x v="8"/>
    <x v="3"/>
    <x v="19"/>
    <s v="Corporate"/>
    <s v="Distributor"/>
    <x v="1"/>
    <n v="2"/>
    <n v="25161.82"/>
    <n v="5"/>
    <n v="47807.46"/>
    <x v="1"/>
  </r>
  <r>
    <s v="ORD11489"/>
    <d v="2029-02-24T00:00:00"/>
    <x v="0"/>
    <x v="1"/>
    <x v="9"/>
    <x v="1"/>
    <x v="14"/>
    <s v="Home Office"/>
    <s v="Distributor"/>
    <x v="2"/>
    <n v="5"/>
    <n v="2231.42"/>
    <n v="10"/>
    <n v="10041.39"/>
    <x v="1"/>
  </r>
  <r>
    <s v="ORD12225"/>
    <d v="2029-02-25T00:00:00"/>
    <x v="4"/>
    <x v="1"/>
    <x v="7"/>
    <x v="0"/>
    <x v="8"/>
    <s v="Corporate"/>
    <s v="Distributor"/>
    <x v="0"/>
    <n v="4"/>
    <n v="55011.85"/>
    <n v="15"/>
    <n v="187040.3"/>
    <x v="0"/>
  </r>
  <r>
    <s v="ORD10173"/>
    <d v="2029-02-26T00:00:00"/>
    <x v="4"/>
    <x v="1"/>
    <x v="4"/>
    <x v="3"/>
    <x v="3"/>
    <s v="Home Office"/>
    <s v="Distributor"/>
    <x v="0"/>
    <n v="3"/>
    <n v="30310.21"/>
    <n v="5"/>
    <n v="86384.11"/>
    <x v="0"/>
  </r>
  <r>
    <s v="ORD11622"/>
    <d v="2029-02-27T00:00:00"/>
    <x v="1"/>
    <x v="1"/>
    <x v="9"/>
    <x v="2"/>
    <x v="2"/>
    <s v="Consumer"/>
    <s v="Retail Store"/>
    <x v="4"/>
    <n v="2"/>
    <n v="5618.33"/>
    <n v="0"/>
    <n v="11236.66"/>
    <x v="3"/>
  </r>
  <r>
    <s v="ORD11462"/>
    <d v="2029-02-28T00:00:00"/>
    <x v="3"/>
    <x v="1"/>
    <x v="3"/>
    <x v="0"/>
    <x v="18"/>
    <s v="Corporate"/>
    <s v="Retail Store"/>
    <x v="1"/>
    <n v="3"/>
    <n v="55761.29"/>
    <n v="5"/>
    <n v="158919.69"/>
    <x v="0"/>
  </r>
  <r>
    <s v="ORD11048"/>
    <d v="2029-03-01T00:00:00"/>
    <x v="2"/>
    <x v="2"/>
    <x v="3"/>
    <x v="2"/>
    <x v="17"/>
    <s v="Corporate"/>
    <s v="Retail Store"/>
    <x v="3"/>
    <n v="5"/>
    <n v="7053.86"/>
    <n v="0"/>
    <n v="35269.31"/>
    <x v="3"/>
  </r>
  <r>
    <s v="ORD11893"/>
    <d v="2029-03-02T00:00:00"/>
    <x v="3"/>
    <x v="2"/>
    <x v="4"/>
    <x v="1"/>
    <x v="1"/>
    <s v="Corporate"/>
    <s v="Retail Store"/>
    <x v="3"/>
    <n v="4"/>
    <n v="2432.2199999999998"/>
    <n v="5"/>
    <n v="9242.43"/>
    <x v="0"/>
  </r>
  <r>
    <s v="ORD10461"/>
    <d v="2029-03-03T00:00:00"/>
    <x v="3"/>
    <x v="2"/>
    <x v="1"/>
    <x v="1"/>
    <x v="1"/>
    <s v="Consumer"/>
    <s v="Distributor"/>
    <x v="4"/>
    <n v="3"/>
    <n v="2211.3000000000002"/>
    <n v="15"/>
    <n v="5638.8"/>
    <x v="0"/>
  </r>
  <r>
    <s v="ORD12127"/>
    <d v="2029-03-04T00:00:00"/>
    <x v="3"/>
    <x v="2"/>
    <x v="9"/>
    <x v="0"/>
    <x v="8"/>
    <s v="Corporate"/>
    <s v="Distributor"/>
    <x v="1"/>
    <n v="1"/>
    <n v="66729.149999999994"/>
    <n v="5"/>
    <n v="63392.69"/>
    <x v="3"/>
  </r>
  <r>
    <s v="ORD10073"/>
    <d v="2029-03-05T00:00:00"/>
    <x v="1"/>
    <x v="2"/>
    <x v="4"/>
    <x v="2"/>
    <x v="17"/>
    <s v="Corporate"/>
    <s v="Distributor"/>
    <x v="1"/>
    <n v="3"/>
    <n v="6112.36"/>
    <n v="10"/>
    <n v="16503.38"/>
    <x v="3"/>
  </r>
  <r>
    <s v="ORD11376"/>
    <d v="2029-03-06T00:00:00"/>
    <x v="4"/>
    <x v="2"/>
    <x v="3"/>
    <x v="4"/>
    <x v="12"/>
    <s v="Consumer"/>
    <s v="Retail Store"/>
    <x v="1"/>
    <n v="2"/>
    <n v="42036.63"/>
    <n v="10"/>
    <n v="75665.94"/>
    <x v="2"/>
  </r>
  <r>
    <s v="ORD11486"/>
    <d v="2029-03-07T00:00:00"/>
    <x v="1"/>
    <x v="2"/>
    <x v="0"/>
    <x v="0"/>
    <x v="0"/>
    <s v="Home Office"/>
    <s v="Retail Store"/>
    <x v="2"/>
    <n v="2"/>
    <n v="60410.2"/>
    <n v="5"/>
    <n v="114779.37"/>
    <x v="2"/>
  </r>
  <r>
    <s v="ORD12352"/>
    <d v="2029-03-08T00:00:00"/>
    <x v="0"/>
    <x v="2"/>
    <x v="8"/>
    <x v="4"/>
    <x v="10"/>
    <s v="Corporate"/>
    <s v="Distributor"/>
    <x v="0"/>
    <n v="2"/>
    <n v="40189.94"/>
    <n v="0"/>
    <n v="80379.89"/>
    <x v="3"/>
  </r>
  <r>
    <s v="ORD12217"/>
    <d v="2029-03-09T00:00:00"/>
    <x v="2"/>
    <x v="2"/>
    <x v="1"/>
    <x v="3"/>
    <x v="15"/>
    <s v="Consumer"/>
    <s v="Distributor"/>
    <x v="0"/>
    <n v="2"/>
    <n v="28962.880000000001"/>
    <n v="20"/>
    <n v="46340.61"/>
    <x v="3"/>
  </r>
  <r>
    <s v="ORD12211"/>
    <d v="2029-03-10T00:00:00"/>
    <x v="2"/>
    <x v="2"/>
    <x v="7"/>
    <x v="2"/>
    <x v="2"/>
    <s v="Consumer"/>
    <s v="Retail Store"/>
    <x v="2"/>
    <n v="2"/>
    <n v="8105.67"/>
    <n v="0"/>
    <n v="16211.33"/>
    <x v="3"/>
  </r>
  <r>
    <s v="ORD10526"/>
    <d v="2029-03-11T00:00:00"/>
    <x v="0"/>
    <x v="2"/>
    <x v="8"/>
    <x v="4"/>
    <x v="12"/>
    <s v="Small Business"/>
    <s v="Retail Store"/>
    <x v="1"/>
    <n v="5"/>
    <n v="47298.03"/>
    <n v="5"/>
    <n v="224665.65"/>
    <x v="3"/>
  </r>
  <r>
    <s v="ORD12490"/>
    <d v="2029-03-12T00:00:00"/>
    <x v="0"/>
    <x v="2"/>
    <x v="1"/>
    <x v="1"/>
    <x v="1"/>
    <s v="Consumer"/>
    <s v="Online"/>
    <x v="0"/>
    <n v="4"/>
    <n v="2286.13"/>
    <n v="5"/>
    <n v="8687.31"/>
    <x v="2"/>
  </r>
  <r>
    <s v="ORD10099"/>
    <d v="2029-03-13T00:00:00"/>
    <x v="2"/>
    <x v="2"/>
    <x v="9"/>
    <x v="0"/>
    <x v="6"/>
    <s v="Corporate"/>
    <s v="Distributor"/>
    <x v="4"/>
    <n v="3"/>
    <n v="66270.899999999994"/>
    <n v="0"/>
    <n v="198812.71"/>
    <x v="3"/>
  </r>
  <r>
    <s v="ORD11912"/>
    <d v="2029-03-14T00:00:00"/>
    <x v="4"/>
    <x v="2"/>
    <x v="1"/>
    <x v="2"/>
    <x v="11"/>
    <s v="Small Business"/>
    <s v="Online"/>
    <x v="1"/>
    <n v="4"/>
    <n v="5951.95"/>
    <n v="10"/>
    <n v="21427.03"/>
    <x v="3"/>
  </r>
  <r>
    <s v="ORD10364"/>
    <d v="2029-03-15T00:00:00"/>
    <x v="0"/>
    <x v="2"/>
    <x v="4"/>
    <x v="2"/>
    <x v="11"/>
    <s v="Home Office"/>
    <s v="Distributor"/>
    <x v="1"/>
    <n v="2"/>
    <n v="5181.95"/>
    <n v="20"/>
    <n v="8291.1200000000008"/>
    <x v="0"/>
  </r>
  <r>
    <s v="ORD11480"/>
    <d v="2029-03-16T00:00:00"/>
    <x v="1"/>
    <x v="2"/>
    <x v="0"/>
    <x v="4"/>
    <x v="12"/>
    <s v="Home Office"/>
    <s v="Online"/>
    <x v="3"/>
    <n v="4"/>
    <n v="39864.36"/>
    <n v="0"/>
    <n v="159457.42000000001"/>
    <x v="2"/>
  </r>
  <r>
    <s v="ORD10625"/>
    <d v="2029-03-17T00:00:00"/>
    <x v="1"/>
    <x v="2"/>
    <x v="4"/>
    <x v="0"/>
    <x v="6"/>
    <s v="Home Office"/>
    <s v="Distributor"/>
    <x v="3"/>
    <n v="5"/>
    <n v="71743.520000000004"/>
    <n v="0"/>
    <n v="358717.58"/>
    <x v="3"/>
  </r>
  <r>
    <s v="ORD10247"/>
    <d v="2029-03-18T00:00:00"/>
    <x v="2"/>
    <x v="2"/>
    <x v="6"/>
    <x v="2"/>
    <x v="2"/>
    <s v="Corporate"/>
    <s v="Online"/>
    <x v="0"/>
    <n v="1"/>
    <n v="6212.26"/>
    <n v="10"/>
    <n v="5591.03"/>
    <x v="3"/>
  </r>
  <r>
    <s v="ORD11047"/>
    <d v="2029-03-19T00:00:00"/>
    <x v="2"/>
    <x v="2"/>
    <x v="1"/>
    <x v="3"/>
    <x v="3"/>
    <s v="Small Business"/>
    <s v="Distributor"/>
    <x v="4"/>
    <n v="2"/>
    <n v="27925.71"/>
    <n v="10"/>
    <n v="50266.28"/>
    <x v="3"/>
  </r>
  <r>
    <s v="ORD10771"/>
    <d v="2029-03-20T00:00:00"/>
    <x v="3"/>
    <x v="2"/>
    <x v="3"/>
    <x v="2"/>
    <x v="11"/>
    <s v="Small Business"/>
    <s v="Retail Store"/>
    <x v="3"/>
    <n v="3"/>
    <n v="5802.59"/>
    <n v="5"/>
    <n v="16537.39"/>
    <x v="3"/>
  </r>
  <r>
    <s v="ORD11785"/>
    <d v="2029-03-21T00:00:00"/>
    <x v="2"/>
    <x v="2"/>
    <x v="1"/>
    <x v="2"/>
    <x v="17"/>
    <s v="Consumer"/>
    <s v="Online"/>
    <x v="3"/>
    <n v="3"/>
    <n v="5931.26"/>
    <n v="15"/>
    <n v="15124.71"/>
    <x v="3"/>
  </r>
  <r>
    <s v="ORD11624"/>
    <d v="2029-03-22T00:00:00"/>
    <x v="4"/>
    <x v="2"/>
    <x v="2"/>
    <x v="2"/>
    <x v="16"/>
    <s v="Consumer"/>
    <s v="Distributor"/>
    <x v="4"/>
    <n v="3"/>
    <n v="5363.61"/>
    <n v="0"/>
    <n v="16090.84"/>
    <x v="3"/>
  </r>
  <r>
    <s v="ORD11244"/>
    <d v="2029-03-23T00:00:00"/>
    <x v="4"/>
    <x v="2"/>
    <x v="1"/>
    <x v="4"/>
    <x v="5"/>
    <s v="Small Business"/>
    <s v="Distributor"/>
    <x v="4"/>
    <n v="5"/>
    <n v="34169.54"/>
    <n v="10"/>
    <n v="153762.93"/>
    <x v="3"/>
  </r>
  <r>
    <s v="ORD10366"/>
    <d v="2029-03-24T00:00:00"/>
    <x v="4"/>
    <x v="2"/>
    <x v="5"/>
    <x v="0"/>
    <x v="18"/>
    <s v="Small Business"/>
    <s v="Retail Store"/>
    <x v="3"/>
    <n v="3"/>
    <n v="51854.94"/>
    <n v="0"/>
    <n v="155564.82999999999"/>
    <x v="2"/>
  </r>
  <r>
    <s v="ORD12350"/>
    <d v="2029-03-25T00:00:00"/>
    <x v="1"/>
    <x v="2"/>
    <x v="9"/>
    <x v="4"/>
    <x v="10"/>
    <s v="Small Business"/>
    <s v="Retail Store"/>
    <x v="0"/>
    <n v="5"/>
    <n v="41639.769999999997"/>
    <n v="15"/>
    <n v="176969.03"/>
    <x v="0"/>
  </r>
  <r>
    <s v="ORD11117"/>
    <d v="2029-03-26T00:00:00"/>
    <x v="3"/>
    <x v="2"/>
    <x v="7"/>
    <x v="2"/>
    <x v="17"/>
    <s v="Home Office"/>
    <s v="Distributor"/>
    <x v="3"/>
    <n v="3"/>
    <n v="6602.34"/>
    <n v="10"/>
    <n v="17826.32"/>
    <x v="1"/>
  </r>
  <r>
    <s v="ORD12400"/>
    <d v="2029-03-27T00:00:00"/>
    <x v="3"/>
    <x v="2"/>
    <x v="0"/>
    <x v="2"/>
    <x v="17"/>
    <s v="Small Business"/>
    <s v="Retail Store"/>
    <x v="2"/>
    <n v="3"/>
    <n v="7084.75"/>
    <n v="10"/>
    <n v="19128.82"/>
    <x v="2"/>
  </r>
  <r>
    <s v="ORD10255"/>
    <d v="2029-03-28T00:00:00"/>
    <x v="4"/>
    <x v="2"/>
    <x v="6"/>
    <x v="2"/>
    <x v="2"/>
    <s v="Consumer"/>
    <s v="Retail Store"/>
    <x v="3"/>
    <n v="4"/>
    <n v="5581.8"/>
    <n v="15"/>
    <n v="18978.12"/>
    <x v="3"/>
  </r>
  <r>
    <s v="ORD11348"/>
    <d v="2029-03-29T00:00:00"/>
    <x v="3"/>
    <x v="2"/>
    <x v="5"/>
    <x v="1"/>
    <x v="13"/>
    <s v="Consumer"/>
    <s v="Retail Store"/>
    <x v="4"/>
    <n v="4"/>
    <n v="2388.4899999999998"/>
    <n v="20"/>
    <n v="7643.18"/>
    <x v="3"/>
  </r>
  <r>
    <s v="ORD12382"/>
    <d v="2029-03-30T00:00:00"/>
    <x v="0"/>
    <x v="2"/>
    <x v="7"/>
    <x v="1"/>
    <x v="4"/>
    <s v="Consumer"/>
    <s v="Online"/>
    <x v="4"/>
    <n v="1"/>
    <n v="2174.89"/>
    <n v="10"/>
    <n v="1957.4"/>
    <x v="0"/>
  </r>
  <r>
    <s v="ORD12125"/>
    <d v="2029-03-31T00:00:00"/>
    <x v="2"/>
    <x v="2"/>
    <x v="2"/>
    <x v="2"/>
    <x v="16"/>
    <s v="Corporate"/>
    <s v="Online"/>
    <x v="0"/>
    <n v="1"/>
    <n v="5798.68"/>
    <n v="15"/>
    <n v="4928.88"/>
    <x v="3"/>
  </r>
  <r>
    <s v="ORD10700"/>
    <d v="2029-04-01T00:00:00"/>
    <x v="4"/>
    <x v="3"/>
    <x v="5"/>
    <x v="3"/>
    <x v="15"/>
    <s v="Small Business"/>
    <s v="Distributor"/>
    <x v="3"/>
    <n v="1"/>
    <n v="31079.52"/>
    <n v="5"/>
    <n v="29525.54"/>
    <x v="0"/>
  </r>
  <r>
    <s v="ORD11699"/>
    <d v="2029-04-02T00:00:00"/>
    <x v="3"/>
    <x v="3"/>
    <x v="5"/>
    <x v="2"/>
    <x v="16"/>
    <s v="Small Business"/>
    <s v="Distributor"/>
    <x v="1"/>
    <n v="3"/>
    <n v="7831.25"/>
    <n v="15"/>
    <n v="19969.689999999999"/>
    <x v="3"/>
  </r>
  <r>
    <s v="ORD10010"/>
    <d v="2029-04-03T00:00:00"/>
    <x v="1"/>
    <x v="3"/>
    <x v="6"/>
    <x v="0"/>
    <x v="6"/>
    <s v="Consumer"/>
    <s v="Retail Store"/>
    <x v="0"/>
    <n v="4"/>
    <n v="54602.48"/>
    <n v="20"/>
    <n v="174727.93"/>
    <x v="3"/>
  </r>
  <r>
    <s v="ORD12230"/>
    <d v="2029-04-04T00:00:00"/>
    <x v="4"/>
    <x v="3"/>
    <x v="4"/>
    <x v="1"/>
    <x v="14"/>
    <s v="Consumer"/>
    <s v="Online"/>
    <x v="3"/>
    <n v="3"/>
    <n v="2413.8200000000002"/>
    <n v="15"/>
    <n v="6155.25"/>
    <x v="3"/>
  </r>
  <r>
    <s v="ORD10101"/>
    <d v="2029-04-05T00:00:00"/>
    <x v="2"/>
    <x v="3"/>
    <x v="0"/>
    <x v="4"/>
    <x v="12"/>
    <s v="Consumer"/>
    <s v="Distributor"/>
    <x v="1"/>
    <n v="1"/>
    <n v="42549.61"/>
    <n v="10"/>
    <n v="38294.65"/>
    <x v="2"/>
  </r>
  <r>
    <s v="ORD12005"/>
    <d v="2029-04-06T00:00:00"/>
    <x v="2"/>
    <x v="3"/>
    <x v="3"/>
    <x v="3"/>
    <x v="7"/>
    <s v="Consumer"/>
    <s v="Online"/>
    <x v="2"/>
    <n v="1"/>
    <n v="29143.65"/>
    <n v="15"/>
    <n v="24772.1"/>
    <x v="2"/>
  </r>
  <r>
    <s v="ORD10233"/>
    <d v="2029-04-07T00:00:00"/>
    <x v="3"/>
    <x v="3"/>
    <x v="4"/>
    <x v="1"/>
    <x v="13"/>
    <s v="Small Business"/>
    <s v="Retail Store"/>
    <x v="3"/>
    <n v="2"/>
    <n v="2174.86"/>
    <n v="10"/>
    <n v="3914.75"/>
    <x v="1"/>
  </r>
  <r>
    <s v="ORD10591"/>
    <d v="2029-04-08T00:00:00"/>
    <x v="0"/>
    <x v="3"/>
    <x v="3"/>
    <x v="2"/>
    <x v="17"/>
    <s v="Consumer"/>
    <s v="Distributor"/>
    <x v="2"/>
    <n v="3"/>
    <n v="8041.17"/>
    <n v="0"/>
    <n v="24123.5"/>
    <x v="2"/>
  </r>
  <r>
    <s v="ORD10132"/>
    <d v="2029-04-09T00:00:00"/>
    <x v="4"/>
    <x v="3"/>
    <x v="4"/>
    <x v="2"/>
    <x v="17"/>
    <s v="Corporate"/>
    <s v="Distributor"/>
    <x v="3"/>
    <n v="2"/>
    <n v="7849.68"/>
    <n v="20"/>
    <n v="12559.48"/>
    <x v="2"/>
  </r>
  <r>
    <s v="ORD11862"/>
    <d v="2029-04-10T00:00:00"/>
    <x v="3"/>
    <x v="3"/>
    <x v="6"/>
    <x v="1"/>
    <x v="1"/>
    <s v="Corporate"/>
    <s v="Retail Store"/>
    <x v="4"/>
    <n v="3"/>
    <n v="2271.46"/>
    <n v="10"/>
    <n v="6132.95"/>
    <x v="1"/>
  </r>
  <r>
    <s v="ORD11540"/>
    <d v="2029-04-11T00:00:00"/>
    <x v="2"/>
    <x v="3"/>
    <x v="3"/>
    <x v="3"/>
    <x v="19"/>
    <s v="Corporate"/>
    <s v="Retail Store"/>
    <x v="0"/>
    <n v="4"/>
    <n v="29836.25"/>
    <n v="0"/>
    <n v="119345"/>
    <x v="2"/>
  </r>
  <r>
    <s v="ORD10859"/>
    <d v="2029-04-12T00:00:00"/>
    <x v="2"/>
    <x v="3"/>
    <x v="0"/>
    <x v="2"/>
    <x v="2"/>
    <s v="Consumer"/>
    <s v="Retail Store"/>
    <x v="3"/>
    <n v="5"/>
    <n v="6291.3"/>
    <n v="5"/>
    <n v="29883.67"/>
    <x v="3"/>
  </r>
  <r>
    <s v="ORD10374"/>
    <d v="2029-04-13T00:00:00"/>
    <x v="4"/>
    <x v="3"/>
    <x v="7"/>
    <x v="2"/>
    <x v="2"/>
    <s v="Small Business"/>
    <s v="Online"/>
    <x v="1"/>
    <n v="3"/>
    <n v="5744.25"/>
    <n v="0"/>
    <n v="17232.75"/>
    <x v="1"/>
  </r>
  <r>
    <s v="ORD11508"/>
    <d v="2029-04-14T00:00:00"/>
    <x v="0"/>
    <x v="3"/>
    <x v="5"/>
    <x v="3"/>
    <x v="3"/>
    <s v="Small Business"/>
    <s v="Distributor"/>
    <x v="0"/>
    <n v="4"/>
    <n v="34891.35"/>
    <n v="0"/>
    <n v="139565.41"/>
    <x v="2"/>
  </r>
  <r>
    <s v="ORD12457"/>
    <d v="2029-04-15T00:00:00"/>
    <x v="3"/>
    <x v="3"/>
    <x v="8"/>
    <x v="0"/>
    <x v="6"/>
    <s v="Corporate"/>
    <s v="Retail Store"/>
    <x v="2"/>
    <n v="4"/>
    <n v="45968.1"/>
    <n v="15"/>
    <n v="156291.53"/>
    <x v="2"/>
  </r>
  <r>
    <s v="ORD11429"/>
    <d v="2029-04-16T00:00:00"/>
    <x v="1"/>
    <x v="3"/>
    <x v="4"/>
    <x v="2"/>
    <x v="16"/>
    <s v="Small Business"/>
    <s v="Retail Store"/>
    <x v="2"/>
    <n v="2"/>
    <n v="7834.88"/>
    <n v="0"/>
    <n v="15669.76"/>
    <x v="3"/>
  </r>
  <r>
    <s v="ORD12369"/>
    <d v="2029-04-17T00:00:00"/>
    <x v="2"/>
    <x v="3"/>
    <x v="2"/>
    <x v="3"/>
    <x v="7"/>
    <s v="Corporate"/>
    <s v="Distributor"/>
    <x v="2"/>
    <n v="3"/>
    <n v="31545.919999999998"/>
    <n v="0"/>
    <n v="94637.77"/>
    <x v="2"/>
  </r>
  <r>
    <s v="ORD10725"/>
    <d v="2029-04-18T00:00:00"/>
    <x v="2"/>
    <x v="3"/>
    <x v="4"/>
    <x v="3"/>
    <x v="19"/>
    <s v="Home Office"/>
    <s v="Online"/>
    <x v="1"/>
    <n v="1"/>
    <n v="25791.07"/>
    <n v="15"/>
    <n v="21922.41"/>
    <x v="3"/>
  </r>
  <r>
    <s v="ORD12121"/>
    <d v="2029-04-19T00:00:00"/>
    <x v="2"/>
    <x v="3"/>
    <x v="3"/>
    <x v="2"/>
    <x v="16"/>
    <s v="Small Business"/>
    <s v="Distributor"/>
    <x v="2"/>
    <n v="4"/>
    <n v="5048.76"/>
    <n v="5"/>
    <n v="19185.29"/>
    <x v="3"/>
  </r>
  <r>
    <s v="ORD10985"/>
    <d v="2029-04-20T00:00:00"/>
    <x v="4"/>
    <x v="3"/>
    <x v="9"/>
    <x v="0"/>
    <x v="0"/>
    <s v="Consumer"/>
    <s v="Online"/>
    <x v="4"/>
    <n v="2"/>
    <n v="61611.65"/>
    <n v="10"/>
    <n v="110900.97"/>
    <x v="3"/>
  </r>
  <r>
    <s v="ORD12344"/>
    <d v="2029-04-21T00:00:00"/>
    <x v="0"/>
    <x v="3"/>
    <x v="8"/>
    <x v="2"/>
    <x v="17"/>
    <s v="Small Business"/>
    <s v="Retail Store"/>
    <x v="2"/>
    <n v="4"/>
    <n v="5980.21"/>
    <n v="10"/>
    <n v="21528.76"/>
    <x v="3"/>
  </r>
  <r>
    <s v="ORD10425"/>
    <d v="2029-04-22T00:00:00"/>
    <x v="3"/>
    <x v="3"/>
    <x v="8"/>
    <x v="0"/>
    <x v="18"/>
    <s v="Corporate"/>
    <s v="Retail Store"/>
    <x v="1"/>
    <n v="3"/>
    <n v="60098.85"/>
    <n v="0"/>
    <n v="180296.55"/>
    <x v="3"/>
  </r>
  <r>
    <s v="ORD10381"/>
    <d v="2029-04-23T00:00:00"/>
    <x v="2"/>
    <x v="3"/>
    <x v="0"/>
    <x v="4"/>
    <x v="9"/>
    <s v="Home Office"/>
    <s v="Distributor"/>
    <x v="1"/>
    <n v="3"/>
    <n v="47558.62"/>
    <n v="5"/>
    <n v="135542.07999999999"/>
    <x v="0"/>
  </r>
  <r>
    <s v="ORD10323"/>
    <d v="2029-04-24T00:00:00"/>
    <x v="1"/>
    <x v="3"/>
    <x v="8"/>
    <x v="1"/>
    <x v="13"/>
    <s v="Corporate"/>
    <s v="Distributor"/>
    <x v="1"/>
    <n v="5"/>
    <n v="2448.2199999999998"/>
    <n v="15"/>
    <n v="10404.92"/>
    <x v="0"/>
  </r>
  <r>
    <s v="ORD11428"/>
    <d v="2029-04-25T00:00:00"/>
    <x v="3"/>
    <x v="3"/>
    <x v="8"/>
    <x v="4"/>
    <x v="5"/>
    <s v="Small Business"/>
    <s v="Distributor"/>
    <x v="2"/>
    <n v="4"/>
    <n v="44973.03"/>
    <n v="0"/>
    <n v="179892.12"/>
    <x v="3"/>
  </r>
  <r>
    <s v="ORD11775"/>
    <d v="2029-04-26T00:00:00"/>
    <x v="4"/>
    <x v="3"/>
    <x v="0"/>
    <x v="3"/>
    <x v="7"/>
    <s v="Home Office"/>
    <s v="Distributor"/>
    <x v="3"/>
    <n v="5"/>
    <n v="34706.19"/>
    <n v="5"/>
    <n v="164854.39000000001"/>
    <x v="3"/>
  </r>
  <r>
    <s v="ORD10128"/>
    <d v="2029-04-27T00:00:00"/>
    <x v="0"/>
    <x v="3"/>
    <x v="3"/>
    <x v="3"/>
    <x v="3"/>
    <s v="Small Business"/>
    <s v="Distributor"/>
    <x v="0"/>
    <n v="5"/>
    <n v="37586.65"/>
    <n v="10"/>
    <n v="169139.92"/>
    <x v="0"/>
  </r>
  <r>
    <s v="ORD12176"/>
    <d v="2029-04-28T00:00:00"/>
    <x v="1"/>
    <x v="3"/>
    <x v="0"/>
    <x v="0"/>
    <x v="18"/>
    <s v="Small Business"/>
    <s v="Distributor"/>
    <x v="4"/>
    <n v="1"/>
    <n v="70075.44"/>
    <n v="5"/>
    <n v="66571.67"/>
    <x v="3"/>
  </r>
  <r>
    <s v="ORD10746"/>
    <d v="2029-04-29T00:00:00"/>
    <x v="3"/>
    <x v="3"/>
    <x v="9"/>
    <x v="1"/>
    <x v="14"/>
    <s v="Corporate"/>
    <s v="Online"/>
    <x v="4"/>
    <n v="5"/>
    <n v="2022.38"/>
    <n v="0"/>
    <n v="10111.92"/>
    <x v="3"/>
  </r>
  <r>
    <s v="ORD12097"/>
    <d v="2029-04-30T00:00:00"/>
    <x v="1"/>
    <x v="3"/>
    <x v="4"/>
    <x v="0"/>
    <x v="6"/>
    <s v="Small Business"/>
    <s v="Retail Store"/>
    <x v="1"/>
    <n v="1"/>
    <n v="44809.57"/>
    <n v="5"/>
    <n v="42569.1"/>
    <x v="0"/>
  </r>
  <r>
    <s v="ORD12139"/>
    <d v="2029-05-01T00:00:00"/>
    <x v="4"/>
    <x v="4"/>
    <x v="4"/>
    <x v="2"/>
    <x v="2"/>
    <s v="Corporate"/>
    <s v="Retail Store"/>
    <x v="0"/>
    <n v="4"/>
    <n v="6405.38"/>
    <n v="10"/>
    <n v="23059.37"/>
    <x v="3"/>
  </r>
  <r>
    <s v="ORD11510"/>
    <d v="2029-05-02T00:00:00"/>
    <x v="1"/>
    <x v="4"/>
    <x v="0"/>
    <x v="0"/>
    <x v="18"/>
    <s v="Consumer"/>
    <s v="Distributor"/>
    <x v="2"/>
    <n v="4"/>
    <n v="52045.34"/>
    <n v="0"/>
    <n v="208181.37"/>
    <x v="2"/>
  </r>
  <r>
    <s v="ORD10074"/>
    <d v="2029-05-03T00:00:00"/>
    <x v="0"/>
    <x v="4"/>
    <x v="0"/>
    <x v="3"/>
    <x v="15"/>
    <s v="Small Business"/>
    <s v="Retail Store"/>
    <x v="1"/>
    <n v="2"/>
    <n v="35186.04"/>
    <n v="0"/>
    <n v="70372.070000000007"/>
    <x v="0"/>
  </r>
  <r>
    <s v="ORD10835"/>
    <d v="2029-05-04T00:00:00"/>
    <x v="1"/>
    <x v="4"/>
    <x v="9"/>
    <x v="2"/>
    <x v="11"/>
    <s v="Small Business"/>
    <s v="Online"/>
    <x v="0"/>
    <n v="2"/>
    <n v="7377.14"/>
    <n v="5"/>
    <n v="14016.57"/>
    <x v="0"/>
  </r>
  <r>
    <s v="ORD11218"/>
    <d v="2029-05-05T00:00:00"/>
    <x v="0"/>
    <x v="4"/>
    <x v="9"/>
    <x v="3"/>
    <x v="7"/>
    <s v="Consumer"/>
    <s v="Retail Store"/>
    <x v="1"/>
    <n v="4"/>
    <n v="39960.69"/>
    <n v="5"/>
    <n v="151850.62"/>
    <x v="3"/>
  </r>
  <r>
    <s v="ORD10579"/>
    <d v="2029-05-06T00:00:00"/>
    <x v="1"/>
    <x v="4"/>
    <x v="7"/>
    <x v="4"/>
    <x v="10"/>
    <s v="Consumer"/>
    <s v="Distributor"/>
    <x v="1"/>
    <n v="4"/>
    <n v="43807.74"/>
    <n v="5"/>
    <n v="166469.42000000001"/>
    <x v="3"/>
  </r>
  <r>
    <s v="ORD12227"/>
    <d v="2029-05-07T00:00:00"/>
    <x v="1"/>
    <x v="4"/>
    <x v="0"/>
    <x v="0"/>
    <x v="18"/>
    <s v="Home Office"/>
    <s v="Online"/>
    <x v="0"/>
    <n v="3"/>
    <n v="55632.7"/>
    <n v="5"/>
    <n v="158553.20000000001"/>
    <x v="3"/>
  </r>
  <r>
    <s v="ORD11840"/>
    <d v="2029-05-08T00:00:00"/>
    <x v="4"/>
    <x v="4"/>
    <x v="8"/>
    <x v="3"/>
    <x v="19"/>
    <s v="Corporate"/>
    <s v="Online"/>
    <x v="4"/>
    <n v="3"/>
    <n v="26775.98"/>
    <n v="10"/>
    <n v="72295.149999999994"/>
    <x v="0"/>
  </r>
  <r>
    <s v="ORD12111"/>
    <d v="2029-05-09T00:00:00"/>
    <x v="3"/>
    <x v="4"/>
    <x v="4"/>
    <x v="0"/>
    <x v="6"/>
    <s v="Corporate"/>
    <s v="Online"/>
    <x v="0"/>
    <n v="1"/>
    <n v="53783.38"/>
    <n v="5"/>
    <n v="51094.21"/>
    <x v="2"/>
  </r>
  <r>
    <s v="ORD10774"/>
    <d v="2029-05-10T00:00:00"/>
    <x v="2"/>
    <x v="4"/>
    <x v="4"/>
    <x v="0"/>
    <x v="0"/>
    <s v="Small Business"/>
    <s v="Online"/>
    <x v="2"/>
    <n v="3"/>
    <n v="55666.98"/>
    <n v="10"/>
    <n v="150300.84"/>
    <x v="0"/>
  </r>
  <r>
    <s v="ORD10655"/>
    <d v="2029-05-11T00:00:00"/>
    <x v="0"/>
    <x v="4"/>
    <x v="5"/>
    <x v="4"/>
    <x v="12"/>
    <s v="Small Business"/>
    <s v="Retail Store"/>
    <x v="2"/>
    <n v="2"/>
    <n v="42806.57"/>
    <n v="0"/>
    <n v="85613.14"/>
    <x v="1"/>
  </r>
  <r>
    <s v="ORD12319"/>
    <d v="2029-05-12T00:00:00"/>
    <x v="0"/>
    <x v="4"/>
    <x v="7"/>
    <x v="2"/>
    <x v="11"/>
    <s v="Corporate"/>
    <s v="Online"/>
    <x v="0"/>
    <n v="5"/>
    <n v="5090.88"/>
    <n v="0"/>
    <n v="25454.38"/>
    <x v="1"/>
  </r>
  <r>
    <s v="ORD10810"/>
    <d v="2029-05-13T00:00:00"/>
    <x v="2"/>
    <x v="4"/>
    <x v="8"/>
    <x v="4"/>
    <x v="9"/>
    <s v="Consumer"/>
    <s v="Retail Store"/>
    <x v="0"/>
    <n v="4"/>
    <n v="52166.42"/>
    <n v="0"/>
    <n v="208665.68"/>
    <x v="0"/>
  </r>
  <r>
    <s v="ORD10416"/>
    <d v="2029-05-14T00:00:00"/>
    <x v="1"/>
    <x v="4"/>
    <x v="4"/>
    <x v="1"/>
    <x v="14"/>
    <s v="Corporate"/>
    <s v="Retail Store"/>
    <x v="2"/>
    <n v="3"/>
    <n v="2793.36"/>
    <n v="5"/>
    <n v="7961.07"/>
    <x v="3"/>
  </r>
  <r>
    <s v="ORD10468"/>
    <d v="2029-05-15T00:00:00"/>
    <x v="3"/>
    <x v="4"/>
    <x v="3"/>
    <x v="1"/>
    <x v="4"/>
    <s v="Small Business"/>
    <s v="Distributor"/>
    <x v="1"/>
    <n v="3"/>
    <n v="2696.14"/>
    <n v="15"/>
    <n v="6875.15"/>
    <x v="0"/>
  </r>
  <r>
    <s v="ORD11422"/>
    <d v="2029-05-16T00:00:00"/>
    <x v="1"/>
    <x v="4"/>
    <x v="6"/>
    <x v="2"/>
    <x v="16"/>
    <s v="Consumer"/>
    <s v="Online"/>
    <x v="2"/>
    <n v="1"/>
    <n v="5484.07"/>
    <n v="5"/>
    <n v="5209.87"/>
    <x v="3"/>
  </r>
  <r>
    <s v="ORD10897"/>
    <d v="2029-05-17T00:00:00"/>
    <x v="0"/>
    <x v="4"/>
    <x v="7"/>
    <x v="0"/>
    <x v="8"/>
    <s v="Consumer"/>
    <s v="Online"/>
    <x v="3"/>
    <n v="2"/>
    <n v="64028.12"/>
    <n v="10"/>
    <n v="115250.62"/>
    <x v="2"/>
  </r>
  <r>
    <s v="ORD10560"/>
    <d v="2029-05-18T00:00:00"/>
    <x v="3"/>
    <x v="4"/>
    <x v="2"/>
    <x v="1"/>
    <x v="13"/>
    <s v="Consumer"/>
    <s v="Distributor"/>
    <x v="1"/>
    <n v="2"/>
    <n v="2421.0300000000002"/>
    <n v="10"/>
    <n v="4357.8599999999997"/>
    <x v="3"/>
  </r>
  <r>
    <s v="ORD10485"/>
    <d v="2029-05-19T00:00:00"/>
    <x v="3"/>
    <x v="4"/>
    <x v="4"/>
    <x v="0"/>
    <x v="0"/>
    <s v="Small Business"/>
    <s v="Retail Store"/>
    <x v="3"/>
    <n v="4"/>
    <n v="63654.9"/>
    <n v="0"/>
    <n v="254619.62"/>
    <x v="1"/>
  </r>
  <r>
    <s v="ORD10344"/>
    <d v="2029-05-20T00:00:00"/>
    <x v="4"/>
    <x v="4"/>
    <x v="1"/>
    <x v="2"/>
    <x v="11"/>
    <s v="Small Business"/>
    <s v="Distributor"/>
    <x v="3"/>
    <n v="3"/>
    <n v="5166.5200000000004"/>
    <n v="5"/>
    <n v="14724.58"/>
    <x v="3"/>
  </r>
  <r>
    <s v="ORD10647"/>
    <d v="2029-05-21T00:00:00"/>
    <x v="0"/>
    <x v="4"/>
    <x v="9"/>
    <x v="0"/>
    <x v="18"/>
    <s v="Corporate"/>
    <s v="Retail Store"/>
    <x v="1"/>
    <n v="3"/>
    <n v="44648.21"/>
    <n v="20"/>
    <n v="107155.71"/>
    <x v="0"/>
  </r>
  <r>
    <s v="ORD11839"/>
    <d v="2029-05-22T00:00:00"/>
    <x v="3"/>
    <x v="4"/>
    <x v="3"/>
    <x v="2"/>
    <x v="17"/>
    <s v="Home Office"/>
    <s v="Retail Store"/>
    <x v="3"/>
    <n v="2"/>
    <n v="6027.44"/>
    <n v="15"/>
    <n v="10246.64"/>
    <x v="3"/>
  </r>
  <r>
    <s v="ORD10584"/>
    <d v="2029-05-23T00:00:00"/>
    <x v="3"/>
    <x v="4"/>
    <x v="4"/>
    <x v="0"/>
    <x v="0"/>
    <s v="Home Office"/>
    <s v="Distributor"/>
    <x v="0"/>
    <n v="3"/>
    <n v="70687.199999999997"/>
    <n v="0"/>
    <n v="212061.59"/>
    <x v="3"/>
  </r>
  <r>
    <s v="ORD10138"/>
    <d v="2029-05-24T00:00:00"/>
    <x v="4"/>
    <x v="4"/>
    <x v="8"/>
    <x v="4"/>
    <x v="10"/>
    <s v="Consumer"/>
    <s v="Distributor"/>
    <x v="4"/>
    <n v="5"/>
    <n v="47691.7"/>
    <n v="0"/>
    <n v="238458.48"/>
    <x v="0"/>
  </r>
  <r>
    <s v="ORD11851"/>
    <d v="2029-05-25T00:00:00"/>
    <x v="3"/>
    <x v="4"/>
    <x v="4"/>
    <x v="4"/>
    <x v="12"/>
    <s v="Consumer"/>
    <s v="Online"/>
    <x v="0"/>
    <n v="2"/>
    <n v="38633.35"/>
    <n v="5"/>
    <n v="73403.360000000001"/>
    <x v="0"/>
  </r>
  <r>
    <s v="ORD11478"/>
    <d v="2029-05-26T00:00:00"/>
    <x v="2"/>
    <x v="4"/>
    <x v="8"/>
    <x v="4"/>
    <x v="5"/>
    <s v="Consumer"/>
    <s v="Retail Store"/>
    <x v="1"/>
    <n v="2"/>
    <n v="52438.080000000002"/>
    <n v="5"/>
    <n v="99632.35"/>
    <x v="0"/>
  </r>
  <r>
    <s v="ORD10008"/>
    <d v="2029-05-27T00:00:00"/>
    <x v="1"/>
    <x v="4"/>
    <x v="2"/>
    <x v="1"/>
    <x v="1"/>
    <s v="Home Office"/>
    <s v="Distributor"/>
    <x v="4"/>
    <n v="3"/>
    <n v="2581.23"/>
    <n v="15"/>
    <n v="6582.14"/>
    <x v="1"/>
  </r>
  <r>
    <s v="ORD10884"/>
    <d v="2029-05-28T00:00:00"/>
    <x v="2"/>
    <x v="4"/>
    <x v="8"/>
    <x v="0"/>
    <x v="0"/>
    <s v="Small Business"/>
    <s v="Retail Store"/>
    <x v="1"/>
    <n v="4"/>
    <n v="55203.5"/>
    <n v="15"/>
    <n v="187691.89"/>
    <x v="3"/>
  </r>
  <r>
    <s v="ORD11923"/>
    <d v="2029-05-29T00:00:00"/>
    <x v="0"/>
    <x v="4"/>
    <x v="4"/>
    <x v="2"/>
    <x v="16"/>
    <s v="Consumer"/>
    <s v="Retail Store"/>
    <x v="3"/>
    <n v="1"/>
    <n v="7200.94"/>
    <n v="15"/>
    <n v="6120.8"/>
    <x v="3"/>
  </r>
  <r>
    <s v="ORD10689"/>
    <d v="2029-05-30T00:00:00"/>
    <x v="0"/>
    <x v="4"/>
    <x v="2"/>
    <x v="3"/>
    <x v="19"/>
    <s v="Corporate"/>
    <s v="Online"/>
    <x v="0"/>
    <n v="3"/>
    <n v="35625.620000000003"/>
    <n v="0"/>
    <n v="106876.87"/>
    <x v="3"/>
  </r>
  <r>
    <s v="ORD11012"/>
    <d v="2029-05-31T00:00:00"/>
    <x v="3"/>
    <x v="4"/>
    <x v="7"/>
    <x v="2"/>
    <x v="2"/>
    <s v="Corporate"/>
    <s v="Retail Store"/>
    <x v="2"/>
    <n v="1"/>
    <n v="5855.05"/>
    <n v="0"/>
    <n v="5855.05"/>
    <x v="3"/>
  </r>
  <r>
    <s v="ORD10876"/>
    <d v="2029-06-01T00:00:00"/>
    <x v="1"/>
    <x v="5"/>
    <x v="0"/>
    <x v="2"/>
    <x v="17"/>
    <s v="Corporate"/>
    <s v="Distributor"/>
    <x v="3"/>
    <n v="4"/>
    <n v="6469.27"/>
    <n v="20"/>
    <n v="20701.66"/>
    <x v="3"/>
  </r>
  <r>
    <s v="ORD10240"/>
    <d v="2029-06-02T00:00:00"/>
    <x v="4"/>
    <x v="5"/>
    <x v="0"/>
    <x v="0"/>
    <x v="6"/>
    <s v="Corporate"/>
    <s v="Distributor"/>
    <x v="3"/>
    <n v="5"/>
    <n v="71055.520000000004"/>
    <n v="10"/>
    <n v="319749.84999999998"/>
    <x v="2"/>
  </r>
  <r>
    <s v="ORD11425"/>
    <d v="2029-06-03T00:00:00"/>
    <x v="1"/>
    <x v="5"/>
    <x v="3"/>
    <x v="3"/>
    <x v="15"/>
    <s v="Corporate"/>
    <s v="Online"/>
    <x v="1"/>
    <n v="3"/>
    <n v="26879.47"/>
    <n v="10"/>
    <n v="72574.58"/>
    <x v="0"/>
  </r>
  <r>
    <s v="ORD10987"/>
    <d v="2029-06-04T00:00:00"/>
    <x v="1"/>
    <x v="5"/>
    <x v="9"/>
    <x v="1"/>
    <x v="14"/>
    <s v="Small Business"/>
    <s v="Distributor"/>
    <x v="1"/>
    <n v="4"/>
    <n v="2109.59"/>
    <n v="0"/>
    <n v="8438.34"/>
    <x v="3"/>
  </r>
  <r>
    <s v="ORD10693"/>
    <d v="2029-06-05T00:00:00"/>
    <x v="2"/>
    <x v="5"/>
    <x v="2"/>
    <x v="0"/>
    <x v="6"/>
    <s v="Home Office"/>
    <s v="Distributor"/>
    <x v="4"/>
    <n v="3"/>
    <n v="50591.58"/>
    <n v="0"/>
    <n v="151774.73000000001"/>
    <x v="0"/>
  </r>
  <r>
    <s v="ORD12365"/>
    <d v="2029-06-06T00:00:00"/>
    <x v="1"/>
    <x v="5"/>
    <x v="2"/>
    <x v="2"/>
    <x v="11"/>
    <s v="Corporate"/>
    <s v="Distributor"/>
    <x v="0"/>
    <n v="2"/>
    <n v="7255.97"/>
    <n v="10"/>
    <n v="13060.75"/>
    <x v="3"/>
  </r>
  <r>
    <s v="ORD11905"/>
    <d v="2029-06-07T00:00:00"/>
    <x v="4"/>
    <x v="5"/>
    <x v="4"/>
    <x v="2"/>
    <x v="17"/>
    <s v="Consumer"/>
    <s v="Retail Store"/>
    <x v="4"/>
    <n v="1"/>
    <n v="8096.24"/>
    <n v="10"/>
    <n v="7286.62"/>
    <x v="3"/>
  </r>
  <r>
    <s v="ORD11838"/>
    <d v="2029-06-08T00:00:00"/>
    <x v="4"/>
    <x v="5"/>
    <x v="0"/>
    <x v="1"/>
    <x v="13"/>
    <s v="Consumer"/>
    <s v="Retail Store"/>
    <x v="0"/>
    <n v="3"/>
    <n v="2538.23"/>
    <n v="10"/>
    <n v="6853.23"/>
    <x v="0"/>
  </r>
  <r>
    <s v="ORD11627"/>
    <d v="2029-06-09T00:00:00"/>
    <x v="4"/>
    <x v="5"/>
    <x v="4"/>
    <x v="1"/>
    <x v="1"/>
    <s v="Home Office"/>
    <s v="Retail Store"/>
    <x v="1"/>
    <n v="1"/>
    <n v="2186.89"/>
    <n v="0"/>
    <n v="2186.89"/>
    <x v="1"/>
  </r>
  <r>
    <s v="ORD10959"/>
    <d v="2029-06-10T00:00:00"/>
    <x v="2"/>
    <x v="5"/>
    <x v="9"/>
    <x v="2"/>
    <x v="17"/>
    <s v="Small Business"/>
    <s v="Online"/>
    <x v="2"/>
    <n v="5"/>
    <n v="7930.49"/>
    <n v="15"/>
    <n v="33704.589999999997"/>
    <x v="0"/>
  </r>
  <r>
    <s v="ORD12020"/>
    <d v="2029-06-11T00:00:00"/>
    <x v="4"/>
    <x v="5"/>
    <x v="0"/>
    <x v="2"/>
    <x v="11"/>
    <s v="Small Business"/>
    <s v="Distributor"/>
    <x v="4"/>
    <n v="2"/>
    <n v="6712.91"/>
    <n v="5"/>
    <n v="12754.52"/>
    <x v="2"/>
  </r>
  <r>
    <s v="ORD10301"/>
    <d v="2029-06-12T00:00:00"/>
    <x v="3"/>
    <x v="5"/>
    <x v="4"/>
    <x v="4"/>
    <x v="10"/>
    <s v="Consumer"/>
    <s v="Distributor"/>
    <x v="1"/>
    <n v="4"/>
    <n v="34229.919999999998"/>
    <n v="5"/>
    <n v="130073.7"/>
    <x v="0"/>
  </r>
  <r>
    <s v="ORD10437"/>
    <d v="2029-06-13T00:00:00"/>
    <x v="4"/>
    <x v="5"/>
    <x v="3"/>
    <x v="1"/>
    <x v="1"/>
    <s v="Consumer"/>
    <s v="Retail Store"/>
    <x v="0"/>
    <n v="2"/>
    <n v="1877.02"/>
    <n v="5"/>
    <n v="3566.33"/>
    <x v="3"/>
  </r>
  <r>
    <s v="ORD11354"/>
    <d v="2029-06-14T00:00:00"/>
    <x v="0"/>
    <x v="5"/>
    <x v="2"/>
    <x v="2"/>
    <x v="17"/>
    <s v="Consumer"/>
    <s v="Online"/>
    <x v="1"/>
    <n v="4"/>
    <n v="7159.62"/>
    <n v="0"/>
    <n v="28638.47"/>
    <x v="3"/>
  </r>
  <r>
    <s v="ORD10841"/>
    <d v="2029-06-15T00:00:00"/>
    <x v="2"/>
    <x v="5"/>
    <x v="5"/>
    <x v="3"/>
    <x v="3"/>
    <s v="Consumer"/>
    <s v="Online"/>
    <x v="3"/>
    <n v="5"/>
    <n v="38714.99"/>
    <n v="5"/>
    <n v="183896.19"/>
    <x v="3"/>
  </r>
  <r>
    <s v="ORD11558"/>
    <d v="2029-06-16T00:00:00"/>
    <x v="2"/>
    <x v="5"/>
    <x v="2"/>
    <x v="4"/>
    <x v="9"/>
    <s v="Small Business"/>
    <s v="Distributor"/>
    <x v="4"/>
    <n v="5"/>
    <n v="42981.01"/>
    <n v="10"/>
    <n v="193414.55"/>
    <x v="2"/>
  </r>
  <r>
    <s v="ORD11971"/>
    <d v="2029-06-17T00:00:00"/>
    <x v="3"/>
    <x v="5"/>
    <x v="4"/>
    <x v="1"/>
    <x v="4"/>
    <s v="Small Business"/>
    <s v="Distributor"/>
    <x v="2"/>
    <n v="5"/>
    <n v="2540.44"/>
    <n v="10"/>
    <n v="11431.99"/>
    <x v="1"/>
  </r>
  <r>
    <s v="ORD11387"/>
    <d v="2029-06-18T00:00:00"/>
    <x v="1"/>
    <x v="5"/>
    <x v="9"/>
    <x v="4"/>
    <x v="9"/>
    <s v="Corporate"/>
    <s v="Online"/>
    <x v="3"/>
    <n v="2"/>
    <n v="43437.65"/>
    <n v="10"/>
    <n v="78187.77"/>
    <x v="1"/>
  </r>
  <r>
    <s v="ORD11989"/>
    <d v="2029-06-19T00:00:00"/>
    <x v="1"/>
    <x v="5"/>
    <x v="2"/>
    <x v="1"/>
    <x v="1"/>
    <s v="Home Office"/>
    <s v="Retail Store"/>
    <x v="1"/>
    <n v="3"/>
    <n v="3099.87"/>
    <n v="0"/>
    <n v="9299.61"/>
    <x v="0"/>
  </r>
  <r>
    <s v="ORD10921"/>
    <d v="2029-06-20T00:00:00"/>
    <x v="1"/>
    <x v="5"/>
    <x v="3"/>
    <x v="4"/>
    <x v="9"/>
    <s v="Consumer"/>
    <s v="Retail Store"/>
    <x v="0"/>
    <n v="4"/>
    <n v="38752.28"/>
    <n v="0"/>
    <n v="155009.14000000001"/>
    <x v="0"/>
  </r>
  <r>
    <s v="ORD11780"/>
    <d v="2029-06-21T00:00:00"/>
    <x v="3"/>
    <x v="5"/>
    <x v="5"/>
    <x v="3"/>
    <x v="7"/>
    <s v="Corporate"/>
    <s v="Online"/>
    <x v="4"/>
    <n v="2"/>
    <n v="25442.77"/>
    <n v="10"/>
    <n v="45796.99"/>
    <x v="3"/>
  </r>
  <r>
    <s v="ORD12092"/>
    <d v="2029-06-22T00:00:00"/>
    <x v="2"/>
    <x v="5"/>
    <x v="6"/>
    <x v="0"/>
    <x v="18"/>
    <s v="Consumer"/>
    <s v="Retail Store"/>
    <x v="1"/>
    <n v="5"/>
    <n v="45455.72"/>
    <n v="0"/>
    <n v="227278.59"/>
    <x v="3"/>
  </r>
  <r>
    <s v="ORD12034"/>
    <d v="2029-06-23T00:00:00"/>
    <x v="3"/>
    <x v="5"/>
    <x v="5"/>
    <x v="4"/>
    <x v="12"/>
    <s v="Small Business"/>
    <s v="Retail Store"/>
    <x v="4"/>
    <n v="4"/>
    <n v="50407.18"/>
    <n v="15"/>
    <n v="171384.41"/>
    <x v="2"/>
  </r>
  <r>
    <s v="ORD10303"/>
    <d v="2029-06-24T00:00:00"/>
    <x v="2"/>
    <x v="5"/>
    <x v="6"/>
    <x v="4"/>
    <x v="9"/>
    <s v="Corporate"/>
    <s v="Distributor"/>
    <x v="1"/>
    <n v="4"/>
    <n v="46091.18"/>
    <n v="0"/>
    <n v="184364.73"/>
    <x v="3"/>
  </r>
  <r>
    <s v="ORD12024"/>
    <d v="2029-06-25T00:00:00"/>
    <x v="2"/>
    <x v="5"/>
    <x v="3"/>
    <x v="0"/>
    <x v="18"/>
    <s v="Corporate"/>
    <s v="Online"/>
    <x v="1"/>
    <n v="3"/>
    <n v="68742.14"/>
    <n v="5"/>
    <n v="195915.11"/>
    <x v="2"/>
  </r>
  <r>
    <s v="ORD11981"/>
    <d v="2029-06-26T00:00:00"/>
    <x v="4"/>
    <x v="5"/>
    <x v="4"/>
    <x v="2"/>
    <x v="2"/>
    <s v="Consumer"/>
    <s v="Retail Store"/>
    <x v="0"/>
    <n v="1"/>
    <n v="7580.52"/>
    <n v="5"/>
    <n v="7201.49"/>
    <x v="3"/>
  </r>
  <r>
    <s v="ORD10353"/>
    <d v="2029-06-27T00:00:00"/>
    <x v="4"/>
    <x v="5"/>
    <x v="5"/>
    <x v="2"/>
    <x v="16"/>
    <s v="Home Office"/>
    <s v="Online"/>
    <x v="1"/>
    <n v="5"/>
    <n v="5851.11"/>
    <n v="10"/>
    <n v="26330.01"/>
    <x v="0"/>
  </r>
  <r>
    <s v="ORD11184"/>
    <d v="2029-06-28T00:00:00"/>
    <x v="4"/>
    <x v="5"/>
    <x v="7"/>
    <x v="3"/>
    <x v="3"/>
    <s v="Corporate"/>
    <s v="Distributor"/>
    <x v="0"/>
    <n v="2"/>
    <n v="33204.720000000001"/>
    <n v="10"/>
    <n v="59768.5"/>
    <x v="3"/>
  </r>
  <r>
    <s v="ORD11529"/>
    <d v="2029-06-29T00:00:00"/>
    <x v="3"/>
    <x v="5"/>
    <x v="1"/>
    <x v="1"/>
    <x v="1"/>
    <s v="Home Office"/>
    <s v="Online"/>
    <x v="3"/>
    <n v="5"/>
    <n v="2113.56"/>
    <n v="10"/>
    <n v="9511.01"/>
    <x v="3"/>
  </r>
  <r>
    <s v="ORD11628"/>
    <d v="2029-06-30T00:00:00"/>
    <x v="2"/>
    <x v="5"/>
    <x v="8"/>
    <x v="4"/>
    <x v="5"/>
    <s v="Home Office"/>
    <s v="Distributor"/>
    <x v="2"/>
    <n v="4"/>
    <n v="44422.29"/>
    <n v="10"/>
    <n v="159920.25"/>
    <x v="3"/>
  </r>
  <r>
    <s v="ORD10622"/>
    <d v="2029-07-01T00:00:00"/>
    <x v="2"/>
    <x v="6"/>
    <x v="4"/>
    <x v="2"/>
    <x v="17"/>
    <s v="Small Business"/>
    <s v="Retail Store"/>
    <x v="3"/>
    <n v="5"/>
    <n v="6009.73"/>
    <n v="0"/>
    <n v="30048.63"/>
    <x v="3"/>
  </r>
  <r>
    <s v="ORD11966"/>
    <d v="2029-07-02T00:00:00"/>
    <x v="4"/>
    <x v="6"/>
    <x v="7"/>
    <x v="1"/>
    <x v="4"/>
    <s v="Consumer"/>
    <s v="Online"/>
    <x v="1"/>
    <n v="4"/>
    <n v="2824.4"/>
    <n v="5"/>
    <n v="10732.71"/>
    <x v="3"/>
  </r>
  <r>
    <s v="ORD11179"/>
    <d v="2029-07-03T00:00:00"/>
    <x v="1"/>
    <x v="6"/>
    <x v="3"/>
    <x v="3"/>
    <x v="15"/>
    <s v="Consumer"/>
    <s v="Distributor"/>
    <x v="3"/>
    <n v="4"/>
    <n v="26519.52"/>
    <n v="5"/>
    <n v="100774.18"/>
    <x v="1"/>
  </r>
  <r>
    <s v="ORD11936"/>
    <d v="2029-07-04T00:00:00"/>
    <x v="1"/>
    <x v="6"/>
    <x v="5"/>
    <x v="2"/>
    <x v="17"/>
    <s v="Corporate"/>
    <s v="Distributor"/>
    <x v="4"/>
    <n v="1"/>
    <n v="7507.62"/>
    <n v="10"/>
    <n v="6756.86"/>
    <x v="3"/>
  </r>
  <r>
    <s v="ORD11010"/>
    <d v="2029-07-05T00:00:00"/>
    <x v="0"/>
    <x v="6"/>
    <x v="8"/>
    <x v="4"/>
    <x v="10"/>
    <s v="Consumer"/>
    <s v="Online"/>
    <x v="0"/>
    <n v="2"/>
    <n v="51989.54"/>
    <n v="5"/>
    <n v="98780.12"/>
    <x v="3"/>
  </r>
  <r>
    <s v="ORD11327"/>
    <d v="2029-07-06T00:00:00"/>
    <x v="3"/>
    <x v="6"/>
    <x v="9"/>
    <x v="2"/>
    <x v="2"/>
    <s v="Corporate"/>
    <s v="Retail Store"/>
    <x v="1"/>
    <n v="1"/>
    <n v="5952.92"/>
    <n v="5"/>
    <n v="5655.28"/>
    <x v="3"/>
  </r>
  <r>
    <s v="ORD11234"/>
    <d v="2029-07-07T00:00:00"/>
    <x v="2"/>
    <x v="6"/>
    <x v="9"/>
    <x v="2"/>
    <x v="2"/>
    <s v="Small Business"/>
    <s v="Distributor"/>
    <x v="3"/>
    <n v="1"/>
    <n v="6573.53"/>
    <n v="10"/>
    <n v="5916.17"/>
    <x v="2"/>
  </r>
  <r>
    <s v="ORD11536"/>
    <d v="2029-07-08T00:00:00"/>
    <x v="4"/>
    <x v="6"/>
    <x v="5"/>
    <x v="2"/>
    <x v="16"/>
    <s v="Home Office"/>
    <s v="Online"/>
    <x v="2"/>
    <n v="3"/>
    <n v="5327.43"/>
    <n v="5"/>
    <n v="15183.18"/>
    <x v="3"/>
  </r>
  <r>
    <s v="ORD10602"/>
    <d v="2029-07-09T00:00:00"/>
    <x v="2"/>
    <x v="6"/>
    <x v="6"/>
    <x v="4"/>
    <x v="12"/>
    <s v="Consumer"/>
    <s v="Online"/>
    <x v="2"/>
    <n v="2"/>
    <n v="51842.47"/>
    <n v="10"/>
    <n v="93316.44"/>
    <x v="3"/>
  </r>
  <r>
    <s v="ORD12260"/>
    <d v="2029-07-10T00:00:00"/>
    <x v="1"/>
    <x v="6"/>
    <x v="9"/>
    <x v="2"/>
    <x v="2"/>
    <s v="Home Office"/>
    <s v="Distributor"/>
    <x v="4"/>
    <n v="2"/>
    <n v="7440.92"/>
    <n v="10"/>
    <n v="13393.66"/>
    <x v="0"/>
  </r>
  <r>
    <s v="ORD11399"/>
    <d v="2029-07-11T00:00:00"/>
    <x v="4"/>
    <x v="6"/>
    <x v="9"/>
    <x v="3"/>
    <x v="3"/>
    <s v="Home Office"/>
    <s v="Distributor"/>
    <x v="0"/>
    <n v="4"/>
    <n v="38362.1"/>
    <n v="5"/>
    <n v="145775.99"/>
    <x v="3"/>
  </r>
  <r>
    <s v="ORD11136"/>
    <d v="2029-07-12T00:00:00"/>
    <x v="4"/>
    <x v="6"/>
    <x v="4"/>
    <x v="0"/>
    <x v="8"/>
    <s v="Consumer"/>
    <s v="Distributor"/>
    <x v="4"/>
    <n v="2"/>
    <n v="61819.93"/>
    <n v="5"/>
    <n v="117457.86"/>
    <x v="3"/>
  </r>
  <r>
    <s v="ORD11735"/>
    <d v="2029-07-13T00:00:00"/>
    <x v="0"/>
    <x v="6"/>
    <x v="4"/>
    <x v="3"/>
    <x v="15"/>
    <s v="Corporate"/>
    <s v="Retail Store"/>
    <x v="3"/>
    <n v="4"/>
    <n v="25109.75"/>
    <n v="0"/>
    <n v="100438.99"/>
    <x v="3"/>
  </r>
  <r>
    <s v="ORD11689"/>
    <d v="2029-07-14T00:00:00"/>
    <x v="0"/>
    <x v="6"/>
    <x v="0"/>
    <x v="0"/>
    <x v="6"/>
    <s v="Corporate"/>
    <s v="Online"/>
    <x v="4"/>
    <n v="3"/>
    <n v="56612.37"/>
    <n v="5"/>
    <n v="161345.26"/>
    <x v="2"/>
  </r>
  <r>
    <s v="ORD11209"/>
    <d v="2029-07-15T00:00:00"/>
    <x v="4"/>
    <x v="6"/>
    <x v="3"/>
    <x v="3"/>
    <x v="19"/>
    <s v="Home Office"/>
    <s v="Distributor"/>
    <x v="3"/>
    <n v="2"/>
    <n v="25487.34"/>
    <n v="10"/>
    <n v="45877.22"/>
    <x v="2"/>
  </r>
  <r>
    <s v="ORD11721"/>
    <d v="2029-07-16T00:00:00"/>
    <x v="3"/>
    <x v="6"/>
    <x v="2"/>
    <x v="0"/>
    <x v="6"/>
    <s v="Corporate"/>
    <s v="Distributor"/>
    <x v="3"/>
    <n v="5"/>
    <n v="44782.720000000001"/>
    <n v="5"/>
    <n v="212717.9"/>
    <x v="3"/>
  </r>
  <r>
    <s v="ORD11517"/>
    <d v="2029-07-17T00:00:00"/>
    <x v="3"/>
    <x v="6"/>
    <x v="3"/>
    <x v="3"/>
    <x v="7"/>
    <s v="Small Business"/>
    <s v="Distributor"/>
    <x v="3"/>
    <n v="3"/>
    <n v="28386.86"/>
    <n v="10"/>
    <n v="76644.509999999995"/>
    <x v="2"/>
  </r>
  <r>
    <s v="ORD11790"/>
    <d v="2029-07-18T00:00:00"/>
    <x v="4"/>
    <x v="6"/>
    <x v="0"/>
    <x v="1"/>
    <x v="1"/>
    <s v="Consumer"/>
    <s v="Online"/>
    <x v="3"/>
    <n v="3"/>
    <n v="2845.86"/>
    <n v="20"/>
    <n v="6830.07"/>
    <x v="3"/>
  </r>
  <r>
    <s v="ORD11208"/>
    <d v="2029-07-19T00:00:00"/>
    <x v="0"/>
    <x v="6"/>
    <x v="2"/>
    <x v="0"/>
    <x v="6"/>
    <s v="Home Office"/>
    <s v="Distributor"/>
    <x v="4"/>
    <n v="5"/>
    <n v="44180.98"/>
    <n v="15"/>
    <n v="187769.15"/>
    <x v="3"/>
  </r>
  <r>
    <s v="ORD11634"/>
    <d v="2029-07-20T00:00:00"/>
    <x v="2"/>
    <x v="6"/>
    <x v="8"/>
    <x v="1"/>
    <x v="1"/>
    <s v="Small Business"/>
    <s v="Online"/>
    <x v="4"/>
    <n v="4"/>
    <n v="2043.12"/>
    <n v="10"/>
    <n v="7355.24"/>
    <x v="0"/>
  </r>
  <r>
    <s v="ORD10567"/>
    <d v="2029-07-21T00:00:00"/>
    <x v="1"/>
    <x v="6"/>
    <x v="3"/>
    <x v="1"/>
    <x v="1"/>
    <s v="Corporate"/>
    <s v="Retail Store"/>
    <x v="2"/>
    <n v="3"/>
    <n v="2183.44"/>
    <n v="0"/>
    <n v="6550.33"/>
    <x v="3"/>
  </r>
  <r>
    <s v="ORD10727"/>
    <d v="2029-07-22T00:00:00"/>
    <x v="4"/>
    <x v="6"/>
    <x v="5"/>
    <x v="1"/>
    <x v="1"/>
    <s v="Consumer"/>
    <s v="Online"/>
    <x v="1"/>
    <n v="1"/>
    <n v="1975.92"/>
    <n v="5"/>
    <n v="1877.12"/>
    <x v="3"/>
  </r>
  <r>
    <s v="ORD10726"/>
    <d v="2029-07-23T00:00:00"/>
    <x v="2"/>
    <x v="6"/>
    <x v="8"/>
    <x v="1"/>
    <x v="4"/>
    <s v="Home Office"/>
    <s v="Retail Store"/>
    <x v="1"/>
    <n v="2"/>
    <n v="2191.44"/>
    <n v="20"/>
    <n v="3506.31"/>
    <x v="3"/>
  </r>
  <r>
    <s v="ORD11914"/>
    <d v="2029-07-24T00:00:00"/>
    <x v="0"/>
    <x v="6"/>
    <x v="4"/>
    <x v="3"/>
    <x v="15"/>
    <s v="Consumer"/>
    <s v="Online"/>
    <x v="2"/>
    <n v="4"/>
    <n v="38132.1"/>
    <n v="10"/>
    <n v="137275.57999999999"/>
    <x v="2"/>
  </r>
  <r>
    <s v="ORD10525"/>
    <d v="2029-07-25T00:00:00"/>
    <x v="4"/>
    <x v="6"/>
    <x v="8"/>
    <x v="1"/>
    <x v="1"/>
    <s v="Small Business"/>
    <s v="Online"/>
    <x v="4"/>
    <n v="1"/>
    <n v="1891.64"/>
    <n v="15"/>
    <n v="1607.89"/>
    <x v="3"/>
  </r>
  <r>
    <s v="ORD10967"/>
    <d v="2029-07-26T00:00:00"/>
    <x v="0"/>
    <x v="6"/>
    <x v="4"/>
    <x v="0"/>
    <x v="6"/>
    <s v="Home Office"/>
    <s v="Online"/>
    <x v="0"/>
    <n v="2"/>
    <n v="68740.570000000007"/>
    <n v="5"/>
    <n v="130607.08"/>
    <x v="1"/>
  </r>
  <r>
    <s v="ORD10586"/>
    <d v="2029-07-27T00:00:00"/>
    <x v="4"/>
    <x v="6"/>
    <x v="2"/>
    <x v="1"/>
    <x v="1"/>
    <s v="Home Office"/>
    <s v="Distributor"/>
    <x v="4"/>
    <n v="4"/>
    <n v="2132.69"/>
    <n v="0"/>
    <n v="8530.76"/>
    <x v="1"/>
  </r>
  <r>
    <s v="ORD11586"/>
    <d v="2029-07-28T00:00:00"/>
    <x v="2"/>
    <x v="6"/>
    <x v="8"/>
    <x v="4"/>
    <x v="5"/>
    <s v="Home Office"/>
    <s v="Distributor"/>
    <x v="4"/>
    <n v="1"/>
    <n v="36175.629999999997"/>
    <n v="5"/>
    <n v="34366.85"/>
    <x v="1"/>
  </r>
  <r>
    <s v="ORD11947"/>
    <d v="2029-07-29T00:00:00"/>
    <x v="0"/>
    <x v="6"/>
    <x v="8"/>
    <x v="2"/>
    <x v="17"/>
    <s v="Small Business"/>
    <s v="Online"/>
    <x v="1"/>
    <n v="2"/>
    <n v="6937.52"/>
    <n v="15"/>
    <n v="11793.79"/>
    <x v="0"/>
  </r>
  <r>
    <s v="ORD10191"/>
    <d v="2029-07-30T00:00:00"/>
    <x v="2"/>
    <x v="6"/>
    <x v="7"/>
    <x v="3"/>
    <x v="19"/>
    <s v="Home Office"/>
    <s v="Distributor"/>
    <x v="4"/>
    <n v="4"/>
    <n v="33425.43"/>
    <n v="5"/>
    <n v="127016.63"/>
    <x v="1"/>
  </r>
  <r>
    <s v="ORD12290"/>
    <d v="2029-07-31T00:00:00"/>
    <x v="4"/>
    <x v="6"/>
    <x v="9"/>
    <x v="1"/>
    <x v="4"/>
    <s v="Corporate"/>
    <s v="Distributor"/>
    <x v="4"/>
    <n v="5"/>
    <n v="2110.0700000000002"/>
    <n v="0"/>
    <n v="10550.33"/>
    <x v="3"/>
  </r>
  <r>
    <s v="ORD12448"/>
    <d v="2029-08-01T00:00:00"/>
    <x v="1"/>
    <x v="7"/>
    <x v="9"/>
    <x v="4"/>
    <x v="12"/>
    <s v="Consumer"/>
    <s v="Distributor"/>
    <x v="3"/>
    <n v="3"/>
    <n v="33896.339999999997"/>
    <n v="15"/>
    <n v="86435.67"/>
    <x v="1"/>
  </r>
  <r>
    <s v="ORD10675"/>
    <d v="2029-08-02T00:00:00"/>
    <x v="1"/>
    <x v="7"/>
    <x v="8"/>
    <x v="1"/>
    <x v="1"/>
    <s v="Small Business"/>
    <s v="Distributor"/>
    <x v="1"/>
    <n v="3"/>
    <n v="2818.65"/>
    <n v="10"/>
    <n v="7610.36"/>
    <x v="0"/>
  </r>
  <r>
    <s v="ORD11823"/>
    <d v="2029-08-03T00:00:00"/>
    <x v="1"/>
    <x v="7"/>
    <x v="9"/>
    <x v="4"/>
    <x v="10"/>
    <s v="Consumer"/>
    <s v="Retail Store"/>
    <x v="1"/>
    <n v="4"/>
    <n v="51343.55"/>
    <n v="5"/>
    <n v="195105.5"/>
    <x v="3"/>
  </r>
  <r>
    <s v="ORD10664"/>
    <d v="2029-08-04T00:00:00"/>
    <x v="2"/>
    <x v="7"/>
    <x v="2"/>
    <x v="3"/>
    <x v="3"/>
    <s v="Home Office"/>
    <s v="Distributor"/>
    <x v="2"/>
    <n v="5"/>
    <n v="37818.629999999997"/>
    <n v="5"/>
    <n v="179638.47"/>
    <x v="2"/>
  </r>
  <r>
    <s v="ORD11116"/>
    <d v="2029-08-05T00:00:00"/>
    <x v="3"/>
    <x v="7"/>
    <x v="9"/>
    <x v="4"/>
    <x v="5"/>
    <s v="Small Business"/>
    <s v="Distributor"/>
    <x v="4"/>
    <n v="5"/>
    <n v="35723.839999999997"/>
    <n v="10"/>
    <n v="160757.26"/>
    <x v="2"/>
  </r>
  <r>
    <s v="ORD11336"/>
    <d v="2029-08-06T00:00:00"/>
    <x v="4"/>
    <x v="7"/>
    <x v="0"/>
    <x v="4"/>
    <x v="10"/>
    <s v="Consumer"/>
    <s v="Retail Store"/>
    <x v="2"/>
    <n v="5"/>
    <n v="43793.440000000002"/>
    <n v="15"/>
    <n v="186122.11"/>
    <x v="0"/>
  </r>
  <r>
    <s v="ORD10054"/>
    <d v="2029-08-07T00:00:00"/>
    <x v="2"/>
    <x v="7"/>
    <x v="5"/>
    <x v="2"/>
    <x v="16"/>
    <s v="Small Business"/>
    <s v="Online"/>
    <x v="1"/>
    <n v="1"/>
    <n v="5744.67"/>
    <n v="10"/>
    <n v="5170.2"/>
    <x v="1"/>
  </r>
  <r>
    <s v="ORD12329"/>
    <d v="2029-08-08T00:00:00"/>
    <x v="4"/>
    <x v="7"/>
    <x v="0"/>
    <x v="0"/>
    <x v="18"/>
    <s v="Consumer"/>
    <s v="Distributor"/>
    <x v="3"/>
    <n v="5"/>
    <n v="65489.15"/>
    <n v="0"/>
    <n v="327445.76000000001"/>
    <x v="2"/>
  </r>
  <r>
    <s v="ORD10038"/>
    <d v="2029-08-09T00:00:00"/>
    <x v="4"/>
    <x v="7"/>
    <x v="5"/>
    <x v="3"/>
    <x v="7"/>
    <s v="Consumer"/>
    <s v="Online"/>
    <x v="2"/>
    <n v="4"/>
    <n v="35710.75"/>
    <n v="15"/>
    <n v="121416.56"/>
    <x v="0"/>
  </r>
  <r>
    <s v="ORD12208"/>
    <d v="2029-08-10T00:00:00"/>
    <x v="1"/>
    <x v="7"/>
    <x v="8"/>
    <x v="2"/>
    <x v="2"/>
    <s v="Home Office"/>
    <s v="Distributor"/>
    <x v="2"/>
    <n v="4"/>
    <n v="5490.58"/>
    <n v="20"/>
    <n v="17569.87"/>
    <x v="1"/>
  </r>
  <r>
    <s v="ORD11147"/>
    <d v="2029-08-11T00:00:00"/>
    <x v="1"/>
    <x v="7"/>
    <x v="6"/>
    <x v="0"/>
    <x v="6"/>
    <s v="Home Office"/>
    <s v="Online"/>
    <x v="4"/>
    <n v="2"/>
    <n v="60013.78"/>
    <n v="0"/>
    <n v="120027.57"/>
    <x v="3"/>
  </r>
  <r>
    <s v="ORD11276"/>
    <d v="2029-08-12T00:00:00"/>
    <x v="4"/>
    <x v="7"/>
    <x v="5"/>
    <x v="3"/>
    <x v="3"/>
    <s v="Consumer"/>
    <s v="Online"/>
    <x v="0"/>
    <n v="1"/>
    <n v="30817.21"/>
    <n v="5"/>
    <n v="29276.35"/>
    <x v="1"/>
  </r>
  <r>
    <s v="ORD12112"/>
    <d v="2029-08-13T00:00:00"/>
    <x v="3"/>
    <x v="7"/>
    <x v="8"/>
    <x v="2"/>
    <x v="2"/>
    <s v="Consumer"/>
    <s v="Retail Store"/>
    <x v="1"/>
    <n v="2"/>
    <n v="5247.69"/>
    <n v="10"/>
    <n v="9445.85"/>
    <x v="3"/>
  </r>
  <r>
    <s v="ORD11126"/>
    <d v="2029-08-14T00:00:00"/>
    <x v="0"/>
    <x v="7"/>
    <x v="5"/>
    <x v="0"/>
    <x v="6"/>
    <s v="Home Office"/>
    <s v="Online"/>
    <x v="4"/>
    <n v="2"/>
    <n v="43804.63"/>
    <n v="0"/>
    <n v="87609.27"/>
    <x v="2"/>
  </r>
  <r>
    <s v="ORD10155"/>
    <d v="2029-08-15T00:00:00"/>
    <x v="0"/>
    <x v="7"/>
    <x v="6"/>
    <x v="1"/>
    <x v="14"/>
    <s v="Consumer"/>
    <s v="Distributor"/>
    <x v="3"/>
    <n v="5"/>
    <n v="2455.46"/>
    <n v="5"/>
    <n v="11663.44"/>
    <x v="1"/>
  </r>
  <r>
    <s v="ORD11910"/>
    <d v="2029-08-16T00:00:00"/>
    <x v="1"/>
    <x v="7"/>
    <x v="6"/>
    <x v="2"/>
    <x v="16"/>
    <s v="Corporate"/>
    <s v="Online"/>
    <x v="1"/>
    <n v="5"/>
    <n v="7607.46"/>
    <n v="20"/>
    <n v="30429.86"/>
    <x v="3"/>
  </r>
  <r>
    <s v="ORD10678"/>
    <d v="2029-08-17T00:00:00"/>
    <x v="4"/>
    <x v="7"/>
    <x v="5"/>
    <x v="4"/>
    <x v="5"/>
    <s v="Home Office"/>
    <s v="Distributor"/>
    <x v="1"/>
    <n v="4"/>
    <n v="33901.51"/>
    <n v="0"/>
    <n v="135606.06"/>
    <x v="1"/>
  </r>
  <r>
    <s v="ORD11825"/>
    <d v="2029-08-18T00:00:00"/>
    <x v="2"/>
    <x v="7"/>
    <x v="8"/>
    <x v="3"/>
    <x v="7"/>
    <s v="Corporate"/>
    <s v="Online"/>
    <x v="2"/>
    <n v="1"/>
    <n v="29330.27"/>
    <n v="10"/>
    <n v="26397.24"/>
    <x v="2"/>
  </r>
  <r>
    <s v="ORD11161"/>
    <d v="2029-08-19T00:00:00"/>
    <x v="1"/>
    <x v="7"/>
    <x v="5"/>
    <x v="4"/>
    <x v="9"/>
    <s v="Corporate"/>
    <s v="Online"/>
    <x v="0"/>
    <n v="3"/>
    <n v="50501.16"/>
    <n v="10"/>
    <n v="136353.14000000001"/>
    <x v="0"/>
  </r>
  <r>
    <s v="ORD11005"/>
    <d v="2029-08-20T00:00:00"/>
    <x v="0"/>
    <x v="7"/>
    <x v="2"/>
    <x v="0"/>
    <x v="18"/>
    <s v="Corporate"/>
    <s v="Online"/>
    <x v="4"/>
    <n v="3"/>
    <n v="55946.64"/>
    <n v="10"/>
    <n v="151055.93"/>
    <x v="2"/>
  </r>
  <r>
    <s v="ORD11932"/>
    <d v="2029-08-21T00:00:00"/>
    <x v="0"/>
    <x v="7"/>
    <x v="4"/>
    <x v="4"/>
    <x v="12"/>
    <s v="Home Office"/>
    <s v="Distributor"/>
    <x v="0"/>
    <n v="3"/>
    <n v="44692.51"/>
    <n v="15"/>
    <n v="113965.89"/>
    <x v="0"/>
  </r>
  <r>
    <s v="ORD10401"/>
    <d v="2029-08-22T00:00:00"/>
    <x v="3"/>
    <x v="7"/>
    <x v="0"/>
    <x v="3"/>
    <x v="19"/>
    <s v="Consumer"/>
    <s v="Retail Store"/>
    <x v="1"/>
    <n v="2"/>
    <n v="27669.5"/>
    <n v="0"/>
    <n v="55339"/>
    <x v="1"/>
  </r>
  <r>
    <s v="ORD10806"/>
    <d v="2029-08-23T00:00:00"/>
    <x v="4"/>
    <x v="7"/>
    <x v="8"/>
    <x v="2"/>
    <x v="16"/>
    <s v="Corporate"/>
    <s v="Distributor"/>
    <x v="3"/>
    <n v="4"/>
    <n v="5807.99"/>
    <n v="5"/>
    <n v="22070.37"/>
    <x v="0"/>
  </r>
  <r>
    <s v="ORD11734"/>
    <d v="2029-08-24T00:00:00"/>
    <x v="3"/>
    <x v="7"/>
    <x v="8"/>
    <x v="4"/>
    <x v="10"/>
    <s v="Corporate"/>
    <s v="Retail Store"/>
    <x v="4"/>
    <n v="4"/>
    <n v="34116.089999999997"/>
    <n v="5"/>
    <n v="129641.15"/>
    <x v="3"/>
  </r>
  <r>
    <s v="ORD12039"/>
    <d v="2029-08-25T00:00:00"/>
    <x v="1"/>
    <x v="7"/>
    <x v="6"/>
    <x v="4"/>
    <x v="10"/>
    <s v="Home Office"/>
    <s v="Retail Store"/>
    <x v="3"/>
    <n v="5"/>
    <n v="33719.370000000003"/>
    <n v="10"/>
    <n v="151737.18"/>
    <x v="3"/>
  </r>
  <r>
    <s v="ORD12025"/>
    <d v="2029-08-26T00:00:00"/>
    <x v="0"/>
    <x v="7"/>
    <x v="8"/>
    <x v="4"/>
    <x v="5"/>
    <s v="Corporate"/>
    <s v="Retail Store"/>
    <x v="3"/>
    <n v="1"/>
    <n v="40700.79"/>
    <n v="15"/>
    <n v="34595.67"/>
    <x v="3"/>
  </r>
  <r>
    <s v="ORD10089"/>
    <d v="2029-08-27T00:00:00"/>
    <x v="2"/>
    <x v="7"/>
    <x v="5"/>
    <x v="3"/>
    <x v="15"/>
    <s v="Consumer"/>
    <s v="Distributor"/>
    <x v="1"/>
    <n v="4"/>
    <n v="34215.300000000003"/>
    <n v="0"/>
    <n v="136861.20000000001"/>
    <x v="1"/>
  </r>
  <r>
    <s v="ORD10522"/>
    <d v="2029-08-28T00:00:00"/>
    <x v="1"/>
    <x v="7"/>
    <x v="2"/>
    <x v="3"/>
    <x v="3"/>
    <s v="Home Office"/>
    <s v="Online"/>
    <x v="0"/>
    <n v="5"/>
    <n v="25187.32"/>
    <n v="5"/>
    <n v="119639.75"/>
    <x v="1"/>
  </r>
  <r>
    <s v="ORD12047"/>
    <d v="2029-08-29T00:00:00"/>
    <x v="3"/>
    <x v="7"/>
    <x v="0"/>
    <x v="1"/>
    <x v="13"/>
    <s v="Small Business"/>
    <s v="Distributor"/>
    <x v="0"/>
    <n v="3"/>
    <n v="2608.0100000000002"/>
    <n v="10"/>
    <n v="7041.64"/>
    <x v="3"/>
  </r>
  <r>
    <s v="ORD11394"/>
    <d v="2029-08-30T00:00:00"/>
    <x v="3"/>
    <x v="7"/>
    <x v="6"/>
    <x v="2"/>
    <x v="11"/>
    <s v="Consumer"/>
    <s v="Distributor"/>
    <x v="3"/>
    <n v="3"/>
    <n v="5279.37"/>
    <n v="10"/>
    <n v="14254.3"/>
    <x v="2"/>
  </r>
  <r>
    <s v="ORD11055"/>
    <d v="2029-08-31T00:00:00"/>
    <x v="0"/>
    <x v="7"/>
    <x v="5"/>
    <x v="1"/>
    <x v="1"/>
    <s v="Consumer"/>
    <s v="Online"/>
    <x v="4"/>
    <n v="3"/>
    <n v="3045.4"/>
    <n v="0"/>
    <n v="9136.19"/>
    <x v="3"/>
  </r>
  <r>
    <s v="ORD10600"/>
    <d v="2029-09-01T00:00:00"/>
    <x v="4"/>
    <x v="8"/>
    <x v="0"/>
    <x v="3"/>
    <x v="7"/>
    <s v="Consumer"/>
    <s v="Online"/>
    <x v="3"/>
    <n v="2"/>
    <n v="24395.34"/>
    <n v="0"/>
    <n v="48790.67"/>
    <x v="0"/>
  </r>
  <r>
    <s v="ORD11180"/>
    <d v="2029-09-02T00:00:00"/>
    <x v="0"/>
    <x v="8"/>
    <x v="2"/>
    <x v="4"/>
    <x v="10"/>
    <s v="Small Business"/>
    <s v="Online"/>
    <x v="2"/>
    <n v="1"/>
    <n v="48524.81"/>
    <n v="20"/>
    <n v="38819.85"/>
    <x v="3"/>
  </r>
  <r>
    <s v="ORD11052"/>
    <d v="2029-09-03T00:00:00"/>
    <x v="3"/>
    <x v="8"/>
    <x v="5"/>
    <x v="2"/>
    <x v="16"/>
    <s v="Corporate"/>
    <s v="Retail Store"/>
    <x v="2"/>
    <n v="2"/>
    <n v="4966.6000000000004"/>
    <n v="10"/>
    <n v="8939.89"/>
    <x v="0"/>
  </r>
  <r>
    <s v="ORD11695"/>
    <d v="2029-09-04T00:00:00"/>
    <x v="2"/>
    <x v="8"/>
    <x v="6"/>
    <x v="2"/>
    <x v="16"/>
    <s v="Consumer"/>
    <s v="Online"/>
    <x v="1"/>
    <n v="4"/>
    <n v="7078.57"/>
    <n v="5"/>
    <n v="26898.560000000001"/>
    <x v="0"/>
  </r>
  <r>
    <s v="ORD11278"/>
    <d v="2029-09-05T00:00:00"/>
    <x v="2"/>
    <x v="8"/>
    <x v="1"/>
    <x v="3"/>
    <x v="19"/>
    <s v="Corporate"/>
    <s v="Online"/>
    <x v="2"/>
    <n v="5"/>
    <n v="30538.240000000002"/>
    <n v="0"/>
    <n v="152691.21"/>
    <x v="3"/>
  </r>
  <r>
    <s v="ORD10071"/>
    <d v="2029-09-06T00:00:00"/>
    <x v="2"/>
    <x v="8"/>
    <x v="0"/>
    <x v="1"/>
    <x v="4"/>
    <s v="Consumer"/>
    <s v="Retail Store"/>
    <x v="1"/>
    <n v="5"/>
    <n v="2700.44"/>
    <n v="15"/>
    <n v="11476.87"/>
    <x v="3"/>
  </r>
  <r>
    <s v="ORD10361"/>
    <d v="2029-09-07T00:00:00"/>
    <x v="4"/>
    <x v="8"/>
    <x v="1"/>
    <x v="4"/>
    <x v="10"/>
    <s v="Home Office"/>
    <s v="Online"/>
    <x v="4"/>
    <n v="2"/>
    <n v="48694.61"/>
    <n v="10"/>
    <n v="87650.3"/>
    <x v="3"/>
  </r>
  <r>
    <s v="ORD12206"/>
    <d v="2029-09-08T00:00:00"/>
    <x v="3"/>
    <x v="8"/>
    <x v="0"/>
    <x v="4"/>
    <x v="10"/>
    <s v="Home Office"/>
    <s v="Distributor"/>
    <x v="0"/>
    <n v="5"/>
    <n v="38135.550000000003"/>
    <n v="20"/>
    <n v="152542.20000000001"/>
    <x v="2"/>
  </r>
  <r>
    <s v="ORD10431"/>
    <d v="2029-09-09T00:00:00"/>
    <x v="2"/>
    <x v="8"/>
    <x v="4"/>
    <x v="1"/>
    <x v="4"/>
    <s v="Home Office"/>
    <s v="Retail Store"/>
    <x v="2"/>
    <n v="1"/>
    <n v="2296.2600000000002"/>
    <n v="15"/>
    <n v="1951.82"/>
    <x v="3"/>
  </r>
  <r>
    <s v="ORD11043"/>
    <d v="2029-09-10T00:00:00"/>
    <x v="3"/>
    <x v="8"/>
    <x v="1"/>
    <x v="0"/>
    <x v="6"/>
    <s v="Consumer"/>
    <s v="Online"/>
    <x v="2"/>
    <n v="3"/>
    <n v="60450.05"/>
    <n v="20"/>
    <n v="145080.13"/>
    <x v="3"/>
  </r>
  <r>
    <s v="ORD12455"/>
    <d v="2029-09-11T00:00:00"/>
    <x v="1"/>
    <x v="8"/>
    <x v="8"/>
    <x v="0"/>
    <x v="6"/>
    <s v="Corporate"/>
    <s v="Distributor"/>
    <x v="2"/>
    <n v="4"/>
    <n v="48539.31"/>
    <n v="0"/>
    <n v="194157.22"/>
    <x v="1"/>
  </r>
  <r>
    <s v="ORD12410"/>
    <d v="2029-09-12T00:00:00"/>
    <x v="0"/>
    <x v="8"/>
    <x v="3"/>
    <x v="2"/>
    <x v="11"/>
    <s v="Small Business"/>
    <s v="Online"/>
    <x v="2"/>
    <n v="5"/>
    <n v="7699.74"/>
    <n v="5"/>
    <n v="36573.75"/>
    <x v="3"/>
  </r>
  <r>
    <s v="ORD10373"/>
    <d v="2029-09-13T00:00:00"/>
    <x v="0"/>
    <x v="8"/>
    <x v="5"/>
    <x v="0"/>
    <x v="18"/>
    <s v="Small Business"/>
    <s v="Online"/>
    <x v="3"/>
    <n v="2"/>
    <n v="45782.13"/>
    <n v="10"/>
    <n v="82407.83"/>
    <x v="3"/>
  </r>
  <r>
    <s v="ORD11922"/>
    <d v="2029-09-14T00:00:00"/>
    <x v="3"/>
    <x v="8"/>
    <x v="8"/>
    <x v="2"/>
    <x v="11"/>
    <s v="Consumer"/>
    <s v="Distributor"/>
    <x v="1"/>
    <n v="1"/>
    <n v="4944.8999999999996"/>
    <n v="15"/>
    <n v="4203.17"/>
    <x v="3"/>
  </r>
  <r>
    <s v="ORD12036"/>
    <d v="2029-09-15T00:00:00"/>
    <x v="1"/>
    <x v="8"/>
    <x v="8"/>
    <x v="2"/>
    <x v="17"/>
    <s v="Home Office"/>
    <s v="Retail Store"/>
    <x v="2"/>
    <n v="4"/>
    <n v="7821.38"/>
    <n v="0"/>
    <n v="31285.53"/>
    <x v="3"/>
  </r>
  <r>
    <s v="ORD11915"/>
    <d v="2029-09-16T00:00:00"/>
    <x v="3"/>
    <x v="8"/>
    <x v="3"/>
    <x v="1"/>
    <x v="1"/>
    <s v="Small Business"/>
    <s v="Online"/>
    <x v="2"/>
    <n v="1"/>
    <n v="1890.91"/>
    <n v="0"/>
    <n v="1890.91"/>
    <x v="1"/>
  </r>
  <r>
    <s v="ORD10042"/>
    <d v="2029-09-17T00:00:00"/>
    <x v="2"/>
    <x v="8"/>
    <x v="3"/>
    <x v="1"/>
    <x v="1"/>
    <s v="Home Office"/>
    <s v="Online"/>
    <x v="0"/>
    <n v="5"/>
    <n v="3054.76"/>
    <n v="5"/>
    <n v="14510.12"/>
    <x v="3"/>
  </r>
  <r>
    <s v="ORD10306"/>
    <d v="2029-09-18T00:00:00"/>
    <x v="2"/>
    <x v="8"/>
    <x v="0"/>
    <x v="0"/>
    <x v="6"/>
    <s v="Consumer"/>
    <s v="Online"/>
    <x v="4"/>
    <n v="5"/>
    <n v="49560.7"/>
    <n v="15"/>
    <n v="210632.98"/>
    <x v="1"/>
  </r>
  <r>
    <s v="ORD10674"/>
    <d v="2029-09-19T00:00:00"/>
    <x v="0"/>
    <x v="8"/>
    <x v="8"/>
    <x v="0"/>
    <x v="8"/>
    <s v="Small Business"/>
    <s v="Distributor"/>
    <x v="1"/>
    <n v="1"/>
    <n v="64518.400000000001"/>
    <n v="15"/>
    <n v="54840.639999999999"/>
    <x v="2"/>
  </r>
  <r>
    <s v="ORD10667"/>
    <d v="2029-09-20T00:00:00"/>
    <x v="0"/>
    <x v="8"/>
    <x v="3"/>
    <x v="3"/>
    <x v="19"/>
    <s v="Consumer"/>
    <s v="Online"/>
    <x v="3"/>
    <n v="2"/>
    <n v="31891.82"/>
    <n v="0"/>
    <n v="63783.65"/>
    <x v="3"/>
  </r>
  <r>
    <s v="ORD12321"/>
    <d v="2029-09-21T00:00:00"/>
    <x v="2"/>
    <x v="8"/>
    <x v="4"/>
    <x v="1"/>
    <x v="1"/>
    <s v="Consumer"/>
    <s v="Retail Store"/>
    <x v="0"/>
    <n v="5"/>
    <n v="2537.96"/>
    <n v="20"/>
    <n v="10151.85"/>
    <x v="3"/>
  </r>
  <r>
    <s v="ORD10078"/>
    <d v="2029-09-22T00:00:00"/>
    <x v="4"/>
    <x v="8"/>
    <x v="9"/>
    <x v="3"/>
    <x v="15"/>
    <s v="Small Business"/>
    <s v="Retail Store"/>
    <x v="1"/>
    <n v="5"/>
    <n v="38709.99"/>
    <n v="0"/>
    <n v="193549.96"/>
    <x v="3"/>
  </r>
  <r>
    <s v="ORD10046"/>
    <d v="2029-09-23T00:00:00"/>
    <x v="3"/>
    <x v="8"/>
    <x v="7"/>
    <x v="4"/>
    <x v="10"/>
    <s v="Home Office"/>
    <s v="Online"/>
    <x v="3"/>
    <n v="4"/>
    <n v="49159.23"/>
    <n v="10"/>
    <n v="176973.24"/>
    <x v="3"/>
  </r>
  <r>
    <s v="ORD10226"/>
    <d v="2029-09-24T00:00:00"/>
    <x v="2"/>
    <x v="8"/>
    <x v="9"/>
    <x v="2"/>
    <x v="16"/>
    <s v="Small Business"/>
    <s v="Online"/>
    <x v="1"/>
    <n v="3"/>
    <n v="6684.08"/>
    <n v="10"/>
    <n v="18047.009999999998"/>
    <x v="0"/>
  </r>
  <r>
    <s v="ORD12114"/>
    <d v="2029-09-25T00:00:00"/>
    <x v="2"/>
    <x v="8"/>
    <x v="9"/>
    <x v="1"/>
    <x v="13"/>
    <s v="Corporate"/>
    <s v="Distributor"/>
    <x v="3"/>
    <n v="3"/>
    <n v="2325.46"/>
    <n v="5"/>
    <n v="6627.56"/>
    <x v="3"/>
  </r>
  <r>
    <s v="ORD10465"/>
    <d v="2029-09-26T00:00:00"/>
    <x v="3"/>
    <x v="8"/>
    <x v="1"/>
    <x v="4"/>
    <x v="12"/>
    <s v="Consumer"/>
    <s v="Retail Store"/>
    <x v="4"/>
    <n v="1"/>
    <n v="44239.95"/>
    <n v="10"/>
    <n v="39815.96"/>
    <x v="3"/>
  </r>
  <r>
    <s v="ORD11897"/>
    <d v="2029-09-27T00:00:00"/>
    <x v="3"/>
    <x v="8"/>
    <x v="3"/>
    <x v="1"/>
    <x v="13"/>
    <s v="Consumer"/>
    <s v="Distributor"/>
    <x v="0"/>
    <n v="1"/>
    <n v="2277.16"/>
    <n v="10"/>
    <n v="2049.44"/>
    <x v="3"/>
  </r>
  <r>
    <s v="ORD11890"/>
    <d v="2029-09-28T00:00:00"/>
    <x v="4"/>
    <x v="8"/>
    <x v="7"/>
    <x v="1"/>
    <x v="13"/>
    <s v="Small Business"/>
    <s v="Online"/>
    <x v="4"/>
    <n v="3"/>
    <n v="2202.94"/>
    <n v="15"/>
    <n v="5617.5"/>
    <x v="3"/>
  </r>
  <r>
    <s v="ORD11000"/>
    <d v="2029-09-29T00:00:00"/>
    <x v="3"/>
    <x v="8"/>
    <x v="4"/>
    <x v="2"/>
    <x v="16"/>
    <s v="Corporate"/>
    <s v="Retail Store"/>
    <x v="2"/>
    <n v="5"/>
    <n v="7241.98"/>
    <n v="0"/>
    <n v="36209.910000000003"/>
    <x v="3"/>
  </r>
  <r>
    <s v="ORD11673"/>
    <d v="2029-09-30T00:00:00"/>
    <x v="1"/>
    <x v="8"/>
    <x v="0"/>
    <x v="4"/>
    <x v="10"/>
    <s v="Corporate"/>
    <s v="Distributor"/>
    <x v="3"/>
    <n v="3"/>
    <n v="34712.17"/>
    <n v="5"/>
    <n v="98929.69"/>
    <x v="3"/>
  </r>
  <r>
    <s v="ORD10402"/>
    <d v="2029-10-01T00:00:00"/>
    <x v="0"/>
    <x v="9"/>
    <x v="1"/>
    <x v="4"/>
    <x v="10"/>
    <s v="Consumer"/>
    <s v="Online"/>
    <x v="0"/>
    <n v="2"/>
    <n v="43332.49"/>
    <n v="10"/>
    <n v="77998.48"/>
    <x v="3"/>
  </r>
  <r>
    <s v="ORD11154"/>
    <d v="2029-10-02T00:00:00"/>
    <x v="0"/>
    <x v="9"/>
    <x v="9"/>
    <x v="1"/>
    <x v="14"/>
    <s v="Small Business"/>
    <s v="Retail Store"/>
    <x v="1"/>
    <n v="2"/>
    <n v="3005.95"/>
    <n v="20"/>
    <n v="4809.53"/>
    <x v="1"/>
  </r>
  <r>
    <s v="ORD11725"/>
    <d v="2029-10-03T00:00:00"/>
    <x v="2"/>
    <x v="9"/>
    <x v="8"/>
    <x v="0"/>
    <x v="8"/>
    <s v="Small Business"/>
    <s v="Retail Store"/>
    <x v="4"/>
    <n v="1"/>
    <n v="61228.29"/>
    <n v="20"/>
    <n v="48982.63"/>
    <x v="1"/>
  </r>
  <r>
    <s v="ORD10020"/>
    <d v="2029-10-04T00:00:00"/>
    <x v="0"/>
    <x v="9"/>
    <x v="8"/>
    <x v="1"/>
    <x v="14"/>
    <s v="Corporate"/>
    <s v="Distributor"/>
    <x v="2"/>
    <n v="5"/>
    <n v="1995.12"/>
    <n v="0"/>
    <n v="9975.6200000000008"/>
    <x v="0"/>
  </r>
  <r>
    <s v="ORD10029"/>
    <d v="2029-10-05T00:00:00"/>
    <x v="1"/>
    <x v="9"/>
    <x v="4"/>
    <x v="3"/>
    <x v="3"/>
    <s v="Consumer"/>
    <s v="Distributor"/>
    <x v="3"/>
    <n v="4"/>
    <n v="33970.519999999997"/>
    <n v="10"/>
    <n v="122293.87"/>
    <x v="2"/>
  </r>
  <r>
    <s v="ORD11970"/>
    <d v="2029-10-06T00:00:00"/>
    <x v="3"/>
    <x v="9"/>
    <x v="1"/>
    <x v="2"/>
    <x v="2"/>
    <s v="Small Business"/>
    <s v="Retail Store"/>
    <x v="0"/>
    <n v="3"/>
    <n v="7367.56"/>
    <n v="20"/>
    <n v="17682.150000000001"/>
    <x v="3"/>
  </r>
  <r>
    <s v="ORD10873"/>
    <d v="2029-10-07T00:00:00"/>
    <x v="2"/>
    <x v="9"/>
    <x v="7"/>
    <x v="2"/>
    <x v="11"/>
    <s v="Consumer"/>
    <s v="Retail Store"/>
    <x v="4"/>
    <n v="5"/>
    <n v="7042.42"/>
    <n v="15"/>
    <n v="29930.27"/>
    <x v="3"/>
  </r>
  <r>
    <s v="ORD11019"/>
    <d v="2029-10-08T00:00:00"/>
    <x v="1"/>
    <x v="9"/>
    <x v="8"/>
    <x v="2"/>
    <x v="17"/>
    <s v="Home Office"/>
    <s v="Distributor"/>
    <x v="2"/>
    <n v="1"/>
    <n v="5368.62"/>
    <n v="0"/>
    <n v="5368.62"/>
    <x v="3"/>
  </r>
  <r>
    <s v="ORD10588"/>
    <d v="2029-10-09T00:00:00"/>
    <x v="4"/>
    <x v="9"/>
    <x v="0"/>
    <x v="1"/>
    <x v="13"/>
    <s v="Corporate"/>
    <s v="Retail Store"/>
    <x v="1"/>
    <n v="4"/>
    <n v="2230.13"/>
    <n v="5"/>
    <n v="8474.49"/>
    <x v="3"/>
  </r>
  <r>
    <s v="ORD12120"/>
    <d v="2029-10-10T00:00:00"/>
    <x v="3"/>
    <x v="9"/>
    <x v="1"/>
    <x v="0"/>
    <x v="18"/>
    <s v="Home Office"/>
    <s v="Distributor"/>
    <x v="2"/>
    <n v="1"/>
    <n v="56611.37"/>
    <n v="5"/>
    <n v="53780.800000000003"/>
    <x v="0"/>
  </r>
  <r>
    <s v="ORD11762"/>
    <d v="2029-10-11T00:00:00"/>
    <x v="1"/>
    <x v="9"/>
    <x v="4"/>
    <x v="1"/>
    <x v="4"/>
    <s v="Home Office"/>
    <s v="Retail Store"/>
    <x v="3"/>
    <n v="5"/>
    <n v="2015.34"/>
    <n v="0"/>
    <n v="10076.709999999999"/>
    <x v="1"/>
  </r>
  <r>
    <s v="ORD11294"/>
    <d v="2029-10-12T00:00:00"/>
    <x v="3"/>
    <x v="9"/>
    <x v="9"/>
    <x v="1"/>
    <x v="14"/>
    <s v="Home Office"/>
    <s v="Retail Store"/>
    <x v="3"/>
    <n v="2"/>
    <n v="2561.7800000000002"/>
    <n v="0"/>
    <n v="5123.5600000000004"/>
    <x v="3"/>
  </r>
  <r>
    <s v="ORD12252"/>
    <d v="2029-10-13T00:00:00"/>
    <x v="4"/>
    <x v="9"/>
    <x v="7"/>
    <x v="4"/>
    <x v="5"/>
    <s v="Home Office"/>
    <s v="Online"/>
    <x v="1"/>
    <n v="2"/>
    <n v="50775.02"/>
    <n v="20"/>
    <n v="81240.03"/>
    <x v="1"/>
  </r>
  <r>
    <s v="ORD11479"/>
    <d v="2029-10-14T00:00:00"/>
    <x v="3"/>
    <x v="9"/>
    <x v="2"/>
    <x v="0"/>
    <x v="18"/>
    <s v="Consumer"/>
    <s v="Retail Store"/>
    <x v="0"/>
    <n v="4"/>
    <n v="55175.21"/>
    <n v="10"/>
    <n v="198630.74"/>
    <x v="3"/>
  </r>
  <r>
    <s v="ORD12184"/>
    <d v="2029-10-15T00:00:00"/>
    <x v="1"/>
    <x v="9"/>
    <x v="1"/>
    <x v="3"/>
    <x v="15"/>
    <s v="Consumer"/>
    <s v="Retail Store"/>
    <x v="2"/>
    <n v="5"/>
    <n v="39638.550000000003"/>
    <n v="15"/>
    <n v="168463.85"/>
    <x v="3"/>
  </r>
  <r>
    <s v="ORD11609"/>
    <d v="2029-10-16T00:00:00"/>
    <x v="2"/>
    <x v="9"/>
    <x v="3"/>
    <x v="2"/>
    <x v="17"/>
    <s v="Consumer"/>
    <s v="Retail Store"/>
    <x v="2"/>
    <n v="5"/>
    <n v="5811.05"/>
    <n v="5"/>
    <n v="27602.48"/>
    <x v="2"/>
  </r>
  <r>
    <s v="ORD12157"/>
    <d v="2029-10-17T00:00:00"/>
    <x v="3"/>
    <x v="9"/>
    <x v="3"/>
    <x v="0"/>
    <x v="18"/>
    <s v="Small Business"/>
    <s v="Retail Store"/>
    <x v="0"/>
    <n v="4"/>
    <n v="58159.97"/>
    <n v="0"/>
    <n v="232639.87"/>
    <x v="1"/>
  </r>
  <r>
    <s v="ORD12485"/>
    <d v="2029-10-18T00:00:00"/>
    <x v="0"/>
    <x v="9"/>
    <x v="9"/>
    <x v="1"/>
    <x v="13"/>
    <s v="Small Business"/>
    <s v="Distributor"/>
    <x v="2"/>
    <n v="2"/>
    <n v="1925.38"/>
    <n v="5"/>
    <n v="3658.23"/>
    <x v="3"/>
  </r>
  <r>
    <s v="ORD10825"/>
    <d v="2029-10-19T00:00:00"/>
    <x v="1"/>
    <x v="9"/>
    <x v="7"/>
    <x v="4"/>
    <x v="5"/>
    <s v="Corporate"/>
    <s v="Online"/>
    <x v="3"/>
    <n v="4"/>
    <n v="32542.03"/>
    <n v="15"/>
    <n v="110642.91"/>
    <x v="0"/>
  </r>
  <r>
    <s v="ORD10990"/>
    <d v="2029-10-20T00:00:00"/>
    <x v="2"/>
    <x v="9"/>
    <x v="8"/>
    <x v="1"/>
    <x v="1"/>
    <s v="Home Office"/>
    <s v="Retail Store"/>
    <x v="0"/>
    <n v="4"/>
    <n v="2792.75"/>
    <n v="0"/>
    <n v="11170.99"/>
    <x v="2"/>
  </r>
  <r>
    <s v="ORD12373"/>
    <d v="2029-10-21T00:00:00"/>
    <x v="4"/>
    <x v="9"/>
    <x v="5"/>
    <x v="2"/>
    <x v="2"/>
    <s v="Small Business"/>
    <s v="Retail Store"/>
    <x v="2"/>
    <n v="1"/>
    <n v="5905.06"/>
    <n v="0"/>
    <n v="5905.06"/>
    <x v="1"/>
  </r>
  <r>
    <s v="ORD11380"/>
    <d v="2029-10-22T00:00:00"/>
    <x v="0"/>
    <x v="9"/>
    <x v="1"/>
    <x v="3"/>
    <x v="7"/>
    <s v="Consumer"/>
    <s v="Online"/>
    <x v="1"/>
    <n v="3"/>
    <n v="35125.300000000003"/>
    <n v="5"/>
    <n v="100107.11"/>
    <x v="3"/>
  </r>
  <r>
    <s v="ORD10552"/>
    <d v="2029-10-23T00:00:00"/>
    <x v="3"/>
    <x v="9"/>
    <x v="6"/>
    <x v="2"/>
    <x v="17"/>
    <s v="Small Business"/>
    <s v="Online"/>
    <x v="2"/>
    <n v="2"/>
    <n v="5085.26"/>
    <n v="10"/>
    <n v="9153.4699999999993"/>
    <x v="1"/>
  </r>
  <r>
    <s v="ORD11274"/>
    <d v="2029-10-24T00:00:00"/>
    <x v="4"/>
    <x v="9"/>
    <x v="1"/>
    <x v="4"/>
    <x v="9"/>
    <s v="Consumer"/>
    <s v="Online"/>
    <x v="1"/>
    <n v="5"/>
    <n v="34790.120000000003"/>
    <n v="0"/>
    <n v="173950.61"/>
    <x v="3"/>
  </r>
  <r>
    <s v="ORD12086"/>
    <d v="2029-10-25T00:00:00"/>
    <x v="4"/>
    <x v="9"/>
    <x v="8"/>
    <x v="4"/>
    <x v="10"/>
    <s v="Consumer"/>
    <s v="Online"/>
    <x v="4"/>
    <n v="3"/>
    <n v="43896.639999999999"/>
    <n v="5"/>
    <n v="125105.42"/>
    <x v="3"/>
  </r>
  <r>
    <s v="ORD12449"/>
    <d v="2029-10-26T00:00:00"/>
    <x v="4"/>
    <x v="9"/>
    <x v="8"/>
    <x v="4"/>
    <x v="10"/>
    <s v="Consumer"/>
    <s v="Retail Store"/>
    <x v="1"/>
    <n v="4"/>
    <n v="44612.44"/>
    <n v="20"/>
    <n v="142759.82"/>
    <x v="3"/>
  </r>
  <r>
    <s v="ORD10896"/>
    <d v="2029-10-27T00:00:00"/>
    <x v="1"/>
    <x v="9"/>
    <x v="5"/>
    <x v="0"/>
    <x v="0"/>
    <s v="Small Business"/>
    <s v="Distributor"/>
    <x v="1"/>
    <n v="5"/>
    <n v="70597.94"/>
    <n v="0"/>
    <n v="352989.68"/>
    <x v="0"/>
  </r>
  <r>
    <s v="ORD11295"/>
    <d v="2029-10-28T00:00:00"/>
    <x v="0"/>
    <x v="9"/>
    <x v="2"/>
    <x v="2"/>
    <x v="11"/>
    <s v="Home Office"/>
    <s v="Distributor"/>
    <x v="3"/>
    <n v="1"/>
    <n v="5597.06"/>
    <n v="20"/>
    <n v="4477.6499999999996"/>
    <x v="1"/>
  </r>
  <r>
    <s v="ORD10672"/>
    <d v="2029-10-29T00:00:00"/>
    <x v="0"/>
    <x v="9"/>
    <x v="7"/>
    <x v="4"/>
    <x v="5"/>
    <s v="Consumer"/>
    <s v="Retail Store"/>
    <x v="2"/>
    <n v="4"/>
    <n v="40191.050000000003"/>
    <n v="10"/>
    <n v="144687.78"/>
    <x v="3"/>
  </r>
  <r>
    <s v="ORD11504"/>
    <d v="2029-10-30T00:00:00"/>
    <x v="0"/>
    <x v="9"/>
    <x v="0"/>
    <x v="0"/>
    <x v="6"/>
    <s v="Home Office"/>
    <s v="Retail Store"/>
    <x v="3"/>
    <n v="5"/>
    <n v="61987.77"/>
    <n v="5"/>
    <n v="294441.93"/>
    <x v="3"/>
  </r>
  <r>
    <s v="ORD12315"/>
    <d v="2029-10-31T00:00:00"/>
    <x v="2"/>
    <x v="9"/>
    <x v="9"/>
    <x v="4"/>
    <x v="9"/>
    <s v="Home Office"/>
    <s v="Online"/>
    <x v="1"/>
    <n v="5"/>
    <n v="31877.87"/>
    <n v="10"/>
    <n v="143450.41"/>
    <x v="3"/>
  </r>
  <r>
    <s v="ORD11929"/>
    <d v="2029-11-01T00:00:00"/>
    <x v="1"/>
    <x v="10"/>
    <x v="1"/>
    <x v="4"/>
    <x v="12"/>
    <s v="Corporate"/>
    <s v="Distributor"/>
    <x v="1"/>
    <n v="1"/>
    <n v="40220.61"/>
    <n v="10"/>
    <n v="36198.550000000003"/>
    <x v="3"/>
  </r>
  <r>
    <s v="ORD11350"/>
    <d v="2029-11-02T00:00:00"/>
    <x v="1"/>
    <x v="10"/>
    <x v="4"/>
    <x v="4"/>
    <x v="12"/>
    <s v="Home Office"/>
    <s v="Online"/>
    <x v="2"/>
    <n v="5"/>
    <n v="43097.95"/>
    <n v="0"/>
    <n v="215489.75"/>
    <x v="3"/>
  </r>
  <r>
    <s v="ORD10324"/>
    <d v="2029-11-03T00:00:00"/>
    <x v="1"/>
    <x v="10"/>
    <x v="4"/>
    <x v="0"/>
    <x v="6"/>
    <s v="Home Office"/>
    <s v="Retail Store"/>
    <x v="0"/>
    <n v="3"/>
    <n v="61628.62"/>
    <n v="15"/>
    <n v="157152.98000000001"/>
    <x v="3"/>
  </r>
  <r>
    <s v="ORD10541"/>
    <d v="2029-11-04T00:00:00"/>
    <x v="0"/>
    <x v="10"/>
    <x v="6"/>
    <x v="3"/>
    <x v="19"/>
    <s v="Home Office"/>
    <s v="Online"/>
    <x v="3"/>
    <n v="1"/>
    <n v="32036.25"/>
    <n v="10"/>
    <n v="28832.62"/>
    <x v="2"/>
  </r>
  <r>
    <s v="ORD11322"/>
    <d v="2029-11-05T00:00:00"/>
    <x v="0"/>
    <x v="10"/>
    <x v="1"/>
    <x v="0"/>
    <x v="8"/>
    <s v="Small Business"/>
    <s v="Distributor"/>
    <x v="4"/>
    <n v="4"/>
    <n v="51046.6"/>
    <n v="15"/>
    <n v="173558.43"/>
    <x v="3"/>
  </r>
  <r>
    <s v="ORD11199"/>
    <d v="2029-11-06T00:00:00"/>
    <x v="2"/>
    <x v="10"/>
    <x v="8"/>
    <x v="2"/>
    <x v="17"/>
    <s v="Corporate"/>
    <s v="Retail Store"/>
    <x v="1"/>
    <n v="3"/>
    <n v="6953.53"/>
    <n v="0"/>
    <n v="20860.580000000002"/>
    <x v="3"/>
  </r>
  <r>
    <s v="ORD12416"/>
    <d v="2029-11-07T00:00:00"/>
    <x v="3"/>
    <x v="10"/>
    <x v="3"/>
    <x v="3"/>
    <x v="7"/>
    <s v="Corporate"/>
    <s v="Distributor"/>
    <x v="0"/>
    <n v="5"/>
    <n v="32591.41"/>
    <n v="5"/>
    <n v="154809.18"/>
    <x v="0"/>
  </r>
  <r>
    <s v="ORD10105"/>
    <d v="2029-11-08T00:00:00"/>
    <x v="4"/>
    <x v="10"/>
    <x v="4"/>
    <x v="4"/>
    <x v="10"/>
    <s v="Corporate"/>
    <s v="Distributor"/>
    <x v="0"/>
    <n v="4"/>
    <n v="33296.6"/>
    <n v="10"/>
    <n v="119867.77"/>
    <x v="3"/>
  </r>
  <r>
    <s v="ORD10482"/>
    <d v="2029-11-09T00:00:00"/>
    <x v="1"/>
    <x v="10"/>
    <x v="3"/>
    <x v="0"/>
    <x v="8"/>
    <s v="Small Business"/>
    <s v="Online"/>
    <x v="1"/>
    <n v="3"/>
    <n v="60972.91"/>
    <n v="10"/>
    <n v="164626.85999999999"/>
    <x v="3"/>
  </r>
  <r>
    <s v="ORD10296"/>
    <d v="2029-11-10T00:00:00"/>
    <x v="2"/>
    <x v="10"/>
    <x v="4"/>
    <x v="3"/>
    <x v="19"/>
    <s v="Corporate"/>
    <s v="Online"/>
    <x v="4"/>
    <n v="5"/>
    <n v="34370.14"/>
    <n v="0"/>
    <n v="171850.68"/>
    <x v="3"/>
  </r>
  <r>
    <s v="ORD10748"/>
    <d v="2029-11-11T00:00:00"/>
    <x v="3"/>
    <x v="10"/>
    <x v="4"/>
    <x v="4"/>
    <x v="12"/>
    <s v="Corporate"/>
    <s v="Distributor"/>
    <x v="1"/>
    <n v="2"/>
    <n v="34540.74"/>
    <n v="15"/>
    <n v="58719.25"/>
    <x v="0"/>
  </r>
  <r>
    <s v="ORD12066"/>
    <d v="2029-11-12T00:00:00"/>
    <x v="4"/>
    <x v="10"/>
    <x v="9"/>
    <x v="3"/>
    <x v="19"/>
    <s v="Small Business"/>
    <s v="Online"/>
    <x v="2"/>
    <n v="5"/>
    <n v="36900"/>
    <n v="10"/>
    <n v="166050"/>
    <x v="3"/>
  </r>
  <r>
    <s v="ORD11198"/>
    <d v="2029-11-13T00:00:00"/>
    <x v="1"/>
    <x v="10"/>
    <x v="6"/>
    <x v="1"/>
    <x v="1"/>
    <s v="Consumer"/>
    <s v="Retail Store"/>
    <x v="4"/>
    <n v="3"/>
    <n v="2500.75"/>
    <n v="0"/>
    <n v="7502.25"/>
    <x v="3"/>
  </r>
  <r>
    <s v="ORD10949"/>
    <d v="2029-11-14T00:00:00"/>
    <x v="3"/>
    <x v="10"/>
    <x v="4"/>
    <x v="0"/>
    <x v="18"/>
    <s v="Consumer"/>
    <s v="Distributor"/>
    <x v="0"/>
    <n v="3"/>
    <n v="64443.79"/>
    <n v="10"/>
    <n v="173998.24"/>
    <x v="0"/>
  </r>
  <r>
    <s v="ORD10404"/>
    <d v="2029-11-15T00:00:00"/>
    <x v="1"/>
    <x v="10"/>
    <x v="2"/>
    <x v="3"/>
    <x v="19"/>
    <s v="Consumer"/>
    <s v="Distributor"/>
    <x v="1"/>
    <n v="1"/>
    <n v="25881.86"/>
    <n v="10"/>
    <n v="23293.67"/>
    <x v="3"/>
  </r>
  <r>
    <s v="ORD11934"/>
    <d v="2029-11-16T00:00:00"/>
    <x v="2"/>
    <x v="10"/>
    <x v="6"/>
    <x v="0"/>
    <x v="0"/>
    <s v="Home Office"/>
    <s v="Distributor"/>
    <x v="1"/>
    <n v="1"/>
    <n v="61192.6"/>
    <n v="10"/>
    <n v="55073.34"/>
    <x v="3"/>
  </r>
  <r>
    <s v="ORD10764"/>
    <d v="2029-11-17T00:00:00"/>
    <x v="1"/>
    <x v="10"/>
    <x v="0"/>
    <x v="1"/>
    <x v="14"/>
    <s v="Consumer"/>
    <s v="Distributor"/>
    <x v="1"/>
    <n v="2"/>
    <n v="2393.44"/>
    <n v="10"/>
    <n v="4308.1899999999996"/>
    <x v="2"/>
  </r>
  <r>
    <s v="ORD10012"/>
    <d v="2029-11-18T00:00:00"/>
    <x v="2"/>
    <x v="10"/>
    <x v="8"/>
    <x v="3"/>
    <x v="3"/>
    <s v="Consumer"/>
    <s v="Online"/>
    <x v="1"/>
    <n v="1"/>
    <n v="33211.68"/>
    <n v="5"/>
    <n v="31551.1"/>
    <x v="3"/>
  </r>
  <r>
    <s v="ORD10502"/>
    <d v="2029-11-19T00:00:00"/>
    <x v="3"/>
    <x v="10"/>
    <x v="1"/>
    <x v="2"/>
    <x v="17"/>
    <s v="Home Office"/>
    <s v="Online"/>
    <x v="4"/>
    <n v="3"/>
    <n v="6341.79"/>
    <n v="0"/>
    <n v="19025.36"/>
    <x v="0"/>
  </r>
  <r>
    <s v="ORD10757"/>
    <d v="2029-11-20T00:00:00"/>
    <x v="4"/>
    <x v="10"/>
    <x v="0"/>
    <x v="0"/>
    <x v="6"/>
    <s v="Corporate"/>
    <s v="Online"/>
    <x v="3"/>
    <n v="2"/>
    <n v="47373.84"/>
    <n v="10"/>
    <n v="85272.91"/>
    <x v="3"/>
  </r>
  <r>
    <s v="ORD10400"/>
    <d v="2029-11-21T00:00:00"/>
    <x v="3"/>
    <x v="10"/>
    <x v="0"/>
    <x v="3"/>
    <x v="19"/>
    <s v="Small Business"/>
    <s v="Online"/>
    <x v="4"/>
    <n v="4"/>
    <n v="37733.660000000003"/>
    <n v="0"/>
    <n v="150934.65"/>
    <x v="3"/>
  </r>
  <r>
    <s v="ORD12226"/>
    <d v="2029-11-22T00:00:00"/>
    <x v="0"/>
    <x v="10"/>
    <x v="6"/>
    <x v="3"/>
    <x v="3"/>
    <s v="Small Business"/>
    <s v="Retail Store"/>
    <x v="3"/>
    <n v="1"/>
    <n v="30291.96"/>
    <n v="10"/>
    <n v="27262.77"/>
    <x v="3"/>
  </r>
  <r>
    <s v="ORD12336"/>
    <d v="2029-11-23T00:00:00"/>
    <x v="0"/>
    <x v="10"/>
    <x v="8"/>
    <x v="1"/>
    <x v="1"/>
    <s v="Small Business"/>
    <s v="Online"/>
    <x v="0"/>
    <n v="2"/>
    <n v="3083.63"/>
    <n v="5"/>
    <n v="5858.9"/>
    <x v="2"/>
  </r>
  <r>
    <s v="ORD10129"/>
    <d v="2029-11-24T00:00:00"/>
    <x v="4"/>
    <x v="10"/>
    <x v="9"/>
    <x v="0"/>
    <x v="0"/>
    <s v="Consumer"/>
    <s v="Retail Store"/>
    <x v="4"/>
    <n v="4"/>
    <n v="69893.8"/>
    <n v="0"/>
    <n v="279575.21000000002"/>
    <x v="2"/>
  </r>
  <r>
    <s v="ORD12010"/>
    <d v="2029-11-25T00:00:00"/>
    <x v="1"/>
    <x v="10"/>
    <x v="5"/>
    <x v="2"/>
    <x v="11"/>
    <s v="Home Office"/>
    <s v="Retail Store"/>
    <x v="0"/>
    <n v="2"/>
    <n v="7170.59"/>
    <n v="15"/>
    <n v="12190"/>
    <x v="3"/>
  </r>
  <r>
    <s v="ORD11786"/>
    <d v="2029-11-26T00:00:00"/>
    <x v="0"/>
    <x v="10"/>
    <x v="6"/>
    <x v="2"/>
    <x v="2"/>
    <s v="Consumer"/>
    <s v="Online"/>
    <x v="2"/>
    <n v="4"/>
    <n v="7869.01"/>
    <n v="0"/>
    <n v="31476.05"/>
    <x v="3"/>
  </r>
  <r>
    <s v="ORD12263"/>
    <d v="2029-11-27T00:00:00"/>
    <x v="1"/>
    <x v="10"/>
    <x v="7"/>
    <x v="0"/>
    <x v="18"/>
    <s v="Corporate"/>
    <s v="Distributor"/>
    <x v="3"/>
    <n v="1"/>
    <n v="65290.46"/>
    <n v="15"/>
    <n v="55496.89"/>
    <x v="0"/>
  </r>
  <r>
    <s v="ORD10568"/>
    <d v="2029-11-28T00:00:00"/>
    <x v="3"/>
    <x v="10"/>
    <x v="9"/>
    <x v="1"/>
    <x v="4"/>
    <s v="Corporate"/>
    <s v="Online"/>
    <x v="3"/>
    <n v="4"/>
    <n v="2974.11"/>
    <n v="10"/>
    <n v="10706.79"/>
    <x v="0"/>
  </r>
  <r>
    <s v="ORD12083"/>
    <d v="2029-11-29T00:00:00"/>
    <x v="2"/>
    <x v="10"/>
    <x v="3"/>
    <x v="1"/>
    <x v="4"/>
    <s v="Consumer"/>
    <s v="Online"/>
    <x v="0"/>
    <n v="5"/>
    <n v="2975.43"/>
    <n v="20"/>
    <n v="11901.73"/>
    <x v="3"/>
  </r>
  <r>
    <s v="ORD11028"/>
    <d v="2029-11-30T00:00:00"/>
    <x v="3"/>
    <x v="10"/>
    <x v="5"/>
    <x v="1"/>
    <x v="1"/>
    <s v="Corporate"/>
    <s v="Distributor"/>
    <x v="3"/>
    <n v="2"/>
    <n v="2451.15"/>
    <n v="0"/>
    <n v="4902.3100000000004"/>
    <x v="3"/>
  </r>
  <r>
    <s v="ORD11040"/>
    <d v="2029-12-01T00:00:00"/>
    <x v="2"/>
    <x v="11"/>
    <x v="8"/>
    <x v="4"/>
    <x v="10"/>
    <s v="Small Business"/>
    <s v="Distributor"/>
    <x v="3"/>
    <n v="5"/>
    <n v="34465.29"/>
    <n v="0"/>
    <n v="172326.47"/>
    <x v="3"/>
  </r>
  <r>
    <s v="ORD12030"/>
    <d v="2029-12-02T00:00:00"/>
    <x v="3"/>
    <x v="11"/>
    <x v="1"/>
    <x v="0"/>
    <x v="8"/>
    <s v="Home Office"/>
    <s v="Online"/>
    <x v="0"/>
    <n v="4"/>
    <n v="45080.03"/>
    <n v="5"/>
    <n v="171304.12"/>
    <x v="3"/>
  </r>
  <r>
    <s v="ORD11794"/>
    <d v="2029-12-03T00:00:00"/>
    <x v="2"/>
    <x v="11"/>
    <x v="5"/>
    <x v="0"/>
    <x v="18"/>
    <s v="Corporate"/>
    <s v="Online"/>
    <x v="2"/>
    <n v="5"/>
    <n v="58477.65"/>
    <n v="10"/>
    <n v="263149.40999999997"/>
    <x v="2"/>
  </r>
  <r>
    <s v="ORD10491"/>
    <d v="2029-12-04T00:00:00"/>
    <x v="0"/>
    <x v="11"/>
    <x v="0"/>
    <x v="1"/>
    <x v="14"/>
    <s v="Consumer"/>
    <s v="Retail Store"/>
    <x v="3"/>
    <n v="2"/>
    <n v="2166.08"/>
    <n v="10"/>
    <n v="3898.94"/>
    <x v="1"/>
  </r>
  <r>
    <s v="ORD11228"/>
    <d v="2029-12-05T00:00:00"/>
    <x v="0"/>
    <x v="11"/>
    <x v="5"/>
    <x v="4"/>
    <x v="10"/>
    <s v="Home Office"/>
    <s v="Retail Store"/>
    <x v="4"/>
    <n v="3"/>
    <n v="42367.71"/>
    <n v="0"/>
    <n v="127103.12"/>
    <x v="1"/>
  </r>
  <r>
    <s v="ORD10119"/>
    <d v="2029-12-06T00:00:00"/>
    <x v="3"/>
    <x v="11"/>
    <x v="9"/>
    <x v="4"/>
    <x v="5"/>
    <s v="Home Office"/>
    <s v="Retail Store"/>
    <x v="1"/>
    <n v="2"/>
    <n v="34943.75"/>
    <n v="5"/>
    <n v="66393.13"/>
    <x v="3"/>
  </r>
  <r>
    <s v="ORD10640"/>
    <d v="2029-12-07T00:00:00"/>
    <x v="1"/>
    <x v="11"/>
    <x v="5"/>
    <x v="1"/>
    <x v="4"/>
    <s v="Consumer"/>
    <s v="Distributor"/>
    <x v="2"/>
    <n v="1"/>
    <n v="2677.05"/>
    <n v="10"/>
    <n v="2409.35"/>
    <x v="3"/>
  </r>
  <r>
    <s v="ORD10021"/>
    <d v="2029-12-08T00:00:00"/>
    <x v="3"/>
    <x v="11"/>
    <x v="0"/>
    <x v="1"/>
    <x v="1"/>
    <s v="Corporate"/>
    <s v="Online"/>
    <x v="1"/>
    <n v="2"/>
    <n v="2347.1"/>
    <n v="10"/>
    <n v="4224.78"/>
    <x v="3"/>
  </r>
  <r>
    <s v="ORD11439"/>
    <d v="2029-12-09T00:00:00"/>
    <x v="4"/>
    <x v="11"/>
    <x v="5"/>
    <x v="1"/>
    <x v="14"/>
    <s v="Small Business"/>
    <s v="Online"/>
    <x v="2"/>
    <n v="1"/>
    <n v="3079.46"/>
    <n v="15"/>
    <n v="2617.54"/>
    <x v="3"/>
  </r>
  <r>
    <s v="ORD11424"/>
    <d v="2029-12-10T00:00:00"/>
    <x v="1"/>
    <x v="11"/>
    <x v="7"/>
    <x v="1"/>
    <x v="4"/>
    <s v="Consumer"/>
    <s v="Distributor"/>
    <x v="0"/>
    <n v="3"/>
    <n v="2628.23"/>
    <n v="10"/>
    <n v="7096.22"/>
    <x v="1"/>
  </r>
  <r>
    <s v="ORD10123"/>
    <d v="2029-12-11T00:00:00"/>
    <x v="2"/>
    <x v="11"/>
    <x v="5"/>
    <x v="1"/>
    <x v="4"/>
    <s v="Consumer"/>
    <s v="Online"/>
    <x v="1"/>
    <n v="3"/>
    <n v="2586.7600000000002"/>
    <n v="15"/>
    <n v="6596.23"/>
    <x v="3"/>
  </r>
  <r>
    <s v="ORD12067"/>
    <d v="2029-12-12T00:00:00"/>
    <x v="2"/>
    <x v="11"/>
    <x v="6"/>
    <x v="1"/>
    <x v="14"/>
    <s v="Home Office"/>
    <s v="Online"/>
    <x v="3"/>
    <n v="2"/>
    <n v="2866.4"/>
    <n v="5"/>
    <n v="5446.15"/>
    <x v="3"/>
  </r>
  <r>
    <s v="ORD10421"/>
    <d v="2029-12-13T00:00:00"/>
    <x v="4"/>
    <x v="11"/>
    <x v="4"/>
    <x v="2"/>
    <x v="17"/>
    <s v="Small Business"/>
    <s v="Retail Store"/>
    <x v="0"/>
    <n v="2"/>
    <n v="7030.9"/>
    <n v="5"/>
    <n v="13358.71"/>
    <x v="3"/>
  </r>
  <r>
    <s v="ORD11492"/>
    <d v="2029-12-14T00:00:00"/>
    <x v="4"/>
    <x v="11"/>
    <x v="2"/>
    <x v="2"/>
    <x v="2"/>
    <s v="Consumer"/>
    <s v="Retail Store"/>
    <x v="2"/>
    <n v="5"/>
    <n v="8090.87"/>
    <n v="20"/>
    <n v="32363.47"/>
    <x v="0"/>
  </r>
  <r>
    <s v="ORD10822"/>
    <d v="2029-12-15T00:00:00"/>
    <x v="2"/>
    <x v="11"/>
    <x v="4"/>
    <x v="0"/>
    <x v="18"/>
    <s v="Home Office"/>
    <s v="Retail Store"/>
    <x v="1"/>
    <n v="2"/>
    <n v="48606.77"/>
    <n v="5"/>
    <n v="92352.87"/>
    <x v="2"/>
  </r>
  <r>
    <s v="ORD12137"/>
    <d v="2029-12-16T00:00:00"/>
    <x v="2"/>
    <x v="11"/>
    <x v="2"/>
    <x v="1"/>
    <x v="13"/>
    <s v="Consumer"/>
    <s v="Distributor"/>
    <x v="2"/>
    <n v="1"/>
    <n v="1926.79"/>
    <n v="15"/>
    <n v="1637.77"/>
    <x v="3"/>
  </r>
  <r>
    <s v="ORD10193"/>
    <d v="2029-12-17T00:00:00"/>
    <x v="4"/>
    <x v="11"/>
    <x v="6"/>
    <x v="0"/>
    <x v="8"/>
    <s v="Consumer"/>
    <s v="Retail Store"/>
    <x v="1"/>
    <n v="2"/>
    <n v="61338.07"/>
    <n v="0"/>
    <n v="122676.14"/>
    <x v="3"/>
  </r>
  <r>
    <s v="ORD11474"/>
    <d v="2029-12-18T00:00:00"/>
    <x v="0"/>
    <x v="11"/>
    <x v="1"/>
    <x v="3"/>
    <x v="7"/>
    <s v="Consumer"/>
    <s v="Retail Store"/>
    <x v="2"/>
    <n v="1"/>
    <n v="34987.69"/>
    <n v="5"/>
    <n v="33238.31"/>
    <x v="3"/>
  </r>
  <r>
    <s v="ORD11481"/>
    <d v="2029-12-19T00:00:00"/>
    <x v="4"/>
    <x v="11"/>
    <x v="4"/>
    <x v="0"/>
    <x v="0"/>
    <s v="Small Business"/>
    <s v="Distributor"/>
    <x v="1"/>
    <n v="4"/>
    <n v="56235.48"/>
    <n v="0"/>
    <n v="224941.91"/>
    <x v="3"/>
  </r>
  <r>
    <s v="ORD11499"/>
    <d v="2029-12-20T00:00:00"/>
    <x v="4"/>
    <x v="11"/>
    <x v="4"/>
    <x v="2"/>
    <x v="16"/>
    <s v="Corporate"/>
    <s v="Retail Store"/>
    <x v="2"/>
    <n v="3"/>
    <n v="5501.62"/>
    <n v="20"/>
    <n v="13203.9"/>
    <x v="3"/>
  </r>
  <r>
    <s v="ORD11255"/>
    <d v="2029-12-21T00:00:00"/>
    <x v="4"/>
    <x v="11"/>
    <x v="8"/>
    <x v="3"/>
    <x v="15"/>
    <s v="Small Business"/>
    <s v="Distributor"/>
    <x v="3"/>
    <n v="4"/>
    <n v="27986.91"/>
    <n v="10"/>
    <n v="100752.89"/>
    <x v="0"/>
  </r>
  <r>
    <s v="ORD12360"/>
    <d v="2029-12-22T00:00:00"/>
    <x v="3"/>
    <x v="11"/>
    <x v="8"/>
    <x v="0"/>
    <x v="8"/>
    <s v="Consumer"/>
    <s v="Retail Store"/>
    <x v="1"/>
    <n v="4"/>
    <n v="57693.71"/>
    <n v="5"/>
    <n v="219236.12"/>
    <x v="3"/>
  </r>
  <r>
    <s v="ORD11020"/>
    <d v="2029-12-23T00:00:00"/>
    <x v="4"/>
    <x v="11"/>
    <x v="0"/>
    <x v="3"/>
    <x v="7"/>
    <s v="Small Business"/>
    <s v="Distributor"/>
    <x v="2"/>
    <n v="1"/>
    <n v="27382.32"/>
    <n v="10"/>
    <n v="24644.09"/>
    <x v="0"/>
  </r>
  <r>
    <s v="ORD11344"/>
    <d v="2029-12-24T00:00:00"/>
    <x v="2"/>
    <x v="11"/>
    <x v="5"/>
    <x v="2"/>
    <x v="11"/>
    <s v="Small Business"/>
    <s v="Retail Store"/>
    <x v="3"/>
    <n v="4"/>
    <n v="6580.31"/>
    <n v="5"/>
    <n v="25005.19"/>
    <x v="3"/>
  </r>
  <r>
    <s v="ORD11975"/>
    <d v="2029-12-25T00:00:00"/>
    <x v="1"/>
    <x v="11"/>
    <x v="8"/>
    <x v="0"/>
    <x v="0"/>
    <s v="Small Business"/>
    <s v="Distributor"/>
    <x v="0"/>
    <n v="2"/>
    <n v="65265.38"/>
    <n v="5"/>
    <n v="124004.21"/>
    <x v="2"/>
  </r>
  <r>
    <s v="ORD12188"/>
    <d v="2029-12-26T00:00:00"/>
    <x v="1"/>
    <x v="11"/>
    <x v="9"/>
    <x v="4"/>
    <x v="9"/>
    <s v="Home Office"/>
    <s v="Retail Store"/>
    <x v="1"/>
    <n v="4"/>
    <n v="33724.83"/>
    <n v="5"/>
    <n v="128154.37"/>
    <x v="3"/>
  </r>
  <r>
    <s v="ORD10776"/>
    <d v="2029-12-27T00:00:00"/>
    <x v="2"/>
    <x v="11"/>
    <x v="5"/>
    <x v="1"/>
    <x v="13"/>
    <s v="Corporate"/>
    <s v="Retail Store"/>
    <x v="4"/>
    <n v="2"/>
    <n v="2174.85"/>
    <n v="5"/>
    <n v="4132.21"/>
    <x v="3"/>
  </r>
  <r>
    <s v="ORD11374"/>
    <d v="2029-12-28T00:00:00"/>
    <x v="3"/>
    <x v="11"/>
    <x v="6"/>
    <x v="3"/>
    <x v="15"/>
    <s v="Small Business"/>
    <s v="Retail Store"/>
    <x v="2"/>
    <n v="4"/>
    <n v="26379.77"/>
    <n v="5"/>
    <n v="100243.11"/>
    <x v="3"/>
  </r>
  <r>
    <s v="ORD11641"/>
    <d v="2029-12-29T00:00:00"/>
    <x v="0"/>
    <x v="11"/>
    <x v="4"/>
    <x v="3"/>
    <x v="7"/>
    <s v="Small Business"/>
    <s v="Distributor"/>
    <x v="2"/>
    <n v="5"/>
    <n v="31588.27"/>
    <n v="0"/>
    <n v="157941.35"/>
    <x v="0"/>
  </r>
  <r>
    <s v="ORD11881"/>
    <d v="2029-12-30T00:00:00"/>
    <x v="0"/>
    <x v="11"/>
    <x v="4"/>
    <x v="0"/>
    <x v="6"/>
    <s v="Corporate"/>
    <s v="Distributor"/>
    <x v="3"/>
    <n v="3"/>
    <n v="71544.13"/>
    <n v="5"/>
    <n v="203900.78"/>
    <x v="3"/>
  </r>
  <r>
    <s v="ORD10380"/>
    <d v="2029-12-31T00:00:00"/>
    <x v="3"/>
    <x v="11"/>
    <x v="0"/>
    <x v="4"/>
    <x v="9"/>
    <s v="Home Office"/>
    <s v="Online"/>
    <x v="1"/>
    <n v="4"/>
    <n v="34521.910000000003"/>
    <n v="15"/>
    <n v="117374.49"/>
    <x v="1"/>
  </r>
  <r>
    <s v="ORD12046"/>
    <d v="2030-01-01T00:00:00"/>
    <x v="1"/>
    <x v="0"/>
    <x v="3"/>
    <x v="4"/>
    <x v="12"/>
    <s v="Corporate"/>
    <s v="Online"/>
    <x v="4"/>
    <n v="5"/>
    <n v="35716.25"/>
    <n v="5"/>
    <n v="169652.19"/>
    <x v="2"/>
  </r>
  <r>
    <s v="ORD10624"/>
    <d v="2030-01-02T00:00:00"/>
    <x v="0"/>
    <x v="0"/>
    <x v="7"/>
    <x v="1"/>
    <x v="13"/>
    <s v="Home Office"/>
    <s v="Retail Store"/>
    <x v="0"/>
    <n v="1"/>
    <n v="2817.84"/>
    <n v="20"/>
    <n v="2254.27"/>
    <x v="3"/>
  </r>
  <r>
    <s v="ORD11113"/>
    <d v="2030-01-03T00:00:00"/>
    <x v="0"/>
    <x v="0"/>
    <x v="9"/>
    <x v="4"/>
    <x v="12"/>
    <s v="Consumer"/>
    <s v="Retail Store"/>
    <x v="3"/>
    <n v="1"/>
    <n v="52202.33"/>
    <n v="15"/>
    <n v="44371.98"/>
    <x v="1"/>
  </r>
  <r>
    <s v="ORD10981"/>
    <d v="2030-01-04T00:00:00"/>
    <x v="2"/>
    <x v="0"/>
    <x v="4"/>
    <x v="2"/>
    <x v="17"/>
    <s v="Corporate"/>
    <s v="Retail Store"/>
    <x v="2"/>
    <n v="3"/>
    <n v="5551.61"/>
    <n v="5"/>
    <n v="15822.08"/>
    <x v="1"/>
  </r>
  <r>
    <s v="ORD10259"/>
    <d v="2030-01-05T00:00:00"/>
    <x v="0"/>
    <x v="0"/>
    <x v="1"/>
    <x v="0"/>
    <x v="0"/>
    <s v="Small Business"/>
    <s v="Online"/>
    <x v="0"/>
    <n v="1"/>
    <n v="56701.9"/>
    <n v="5"/>
    <n v="53866.81"/>
    <x v="3"/>
  </r>
  <r>
    <s v="ORD12088"/>
    <d v="2030-01-06T00:00:00"/>
    <x v="4"/>
    <x v="0"/>
    <x v="7"/>
    <x v="0"/>
    <x v="6"/>
    <s v="Corporate"/>
    <s v="Retail Store"/>
    <x v="0"/>
    <n v="3"/>
    <n v="45094.73"/>
    <n v="10"/>
    <n v="121755.78"/>
    <x v="0"/>
  </r>
  <r>
    <s v="ORD12295"/>
    <d v="2030-01-07T00:00:00"/>
    <x v="2"/>
    <x v="0"/>
    <x v="4"/>
    <x v="3"/>
    <x v="7"/>
    <s v="Home Office"/>
    <s v="Online"/>
    <x v="1"/>
    <n v="4"/>
    <n v="24438.91"/>
    <n v="5"/>
    <n v="92867.87"/>
    <x v="3"/>
  </r>
  <r>
    <s v="ORD12270"/>
    <d v="2030-01-08T00:00:00"/>
    <x v="3"/>
    <x v="0"/>
    <x v="5"/>
    <x v="1"/>
    <x v="14"/>
    <s v="Corporate"/>
    <s v="Retail Store"/>
    <x v="2"/>
    <n v="5"/>
    <n v="2257.59"/>
    <n v="5"/>
    <n v="10723.56"/>
    <x v="1"/>
  </r>
  <r>
    <s v="ORD11302"/>
    <d v="2030-01-09T00:00:00"/>
    <x v="2"/>
    <x v="0"/>
    <x v="3"/>
    <x v="2"/>
    <x v="2"/>
    <s v="Small Business"/>
    <s v="Distributor"/>
    <x v="2"/>
    <n v="4"/>
    <n v="5974.54"/>
    <n v="10"/>
    <n v="21508.34"/>
    <x v="2"/>
  </r>
  <r>
    <s v="ORD11633"/>
    <d v="2030-01-10T00:00:00"/>
    <x v="3"/>
    <x v="0"/>
    <x v="0"/>
    <x v="1"/>
    <x v="4"/>
    <s v="Corporate"/>
    <s v="Online"/>
    <x v="2"/>
    <n v="4"/>
    <n v="2436.08"/>
    <n v="10"/>
    <n v="8769.9"/>
    <x v="2"/>
  </r>
  <r>
    <s v="ORD11286"/>
    <d v="2030-01-11T00:00:00"/>
    <x v="1"/>
    <x v="0"/>
    <x v="8"/>
    <x v="4"/>
    <x v="12"/>
    <s v="Home Office"/>
    <s v="Online"/>
    <x v="3"/>
    <n v="3"/>
    <n v="45953.23"/>
    <n v="5"/>
    <n v="130966.7"/>
    <x v="1"/>
  </r>
  <r>
    <s v="ORD11845"/>
    <d v="2030-01-12T00:00:00"/>
    <x v="0"/>
    <x v="0"/>
    <x v="4"/>
    <x v="2"/>
    <x v="2"/>
    <s v="Consumer"/>
    <s v="Online"/>
    <x v="3"/>
    <n v="4"/>
    <n v="5239.5600000000004"/>
    <n v="10"/>
    <n v="18862.43"/>
    <x v="3"/>
  </r>
  <r>
    <s v="ORD10028"/>
    <d v="2030-01-13T00:00:00"/>
    <x v="2"/>
    <x v="0"/>
    <x v="5"/>
    <x v="2"/>
    <x v="17"/>
    <s v="Corporate"/>
    <s v="Distributor"/>
    <x v="0"/>
    <n v="3"/>
    <n v="5306.89"/>
    <n v="0"/>
    <n v="15920.68"/>
    <x v="3"/>
  </r>
  <r>
    <s v="ORD12094"/>
    <d v="2030-01-14T00:00:00"/>
    <x v="4"/>
    <x v="0"/>
    <x v="6"/>
    <x v="1"/>
    <x v="1"/>
    <s v="Home Office"/>
    <s v="Online"/>
    <x v="0"/>
    <n v="4"/>
    <n v="3004.35"/>
    <n v="10"/>
    <n v="10815.66"/>
    <x v="1"/>
  </r>
  <r>
    <s v="ORD11737"/>
    <d v="2030-01-15T00:00:00"/>
    <x v="1"/>
    <x v="0"/>
    <x v="9"/>
    <x v="4"/>
    <x v="10"/>
    <s v="Corporate"/>
    <s v="Distributor"/>
    <x v="1"/>
    <n v="2"/>
    <n v="32054.17"/>
    <n v="15"/>
    <n v="54492.1"/>
    <x v="0"/>
  </r>
  <r>
    <s v="ORD10694"/>
    <d v="2030-01-16T00:00:00"/>
    <x v="3"/>
    <x v="0"/>
    <x v="2"/>
    <x v="0"/>
    <x v="6"/>
    <s v="Home Office"/>
    <s v="Retail Store"/>
    <x v="1"/>
    <n v="5"/>
    <n v="48626.05"/>
    <n v="10"/>
    <n v="218817.22"/>
    <x v="1"/>
  </r>
  <r>
    <s v="ORD11091"/>
    <d v="2030-01-17T00:00:00"/>
    <x v="0"/>
    <x v="0"/>
    <x v="1"/>
    <x v="2"/>
    <x v="17"/>
    <s v="Consumer"/>
    <s v="Distributor"/>
    <x v="3"/>
    <n v="5"/>
    <n v="7329.46"/>
    <n v="15"/>
    <n v="31150.21"/>
    <x v="2"/>
  </r>
  <r>
    <s v="ORD11455"/>
    <d v="2030-01-18T00:00:00"/>
    <x v="3"/>
    <x v="0"/>
    <x v="8"/>
    <x v="4"/>
    <x v="10"/>
    <s v="Consumer"/>
    <s v="Retail Store"/>
    <x v="0"/>
    <n v="5"/>
    <n v="31798.18"/>
    <n v="10"/>
    <n v="143091.79"/>
    <x v="3"/>
  </r>
  <r>
    <s v="ORD11088"/>
    <d v="2030-01-19T00:00:00"/>
    <x v="2"/>
    <x v="0"/>
    <x v="6"/>
    <x v="0"/>
    <x v="0"/>
    <s v="Home Office"/>
    <s v="Distributor"/>
    <x v="3"/>
    <n v="3"/>
    <n v="66668.06"/>
    <n v="5"/>
    <n v="190003.97"/>
    <x v="3"/>
  </r>
  <r>
    <s v="ORD10891"/>
    <d v="2030-01-20T00:00:00"/>
    <x v="1"/>
    <x v="0"/>
    <x v="8"/>
    <x v="2"/>
    <x v="16"/>
    <s v="Home Office"/>
    <s v="Online"/>
    <x v="4"/>
    <n v="3"/>
    <n v="5757.99"/>
    <n v="20"/>
    <n v="13819.17"/>
    <x v="3"/>
  </r>
  <r>
    <s v="ORD10445"/>
    <d v="2030-01-21T00:00:00"/>
    <x v="4"/>
    <x v="0"/>
    <x v="2"/>
    <x v="3"/>
    <x v="19"/>
    <s v="Corporate"/>
    <s v="Distributor"/>
    <x v="1"/>
    <n v="3"/>
    <n v="33435.67"/>
    <n v="10"/>
    <n v="90276.3"/>
    <x v="2"/>
  </r>
  <r>
    <s v="ORD11039"/>
    <d v="2030-01-22T00:00:00"/>
    <x v="3"/>
    <x v="0"/>
    <x v="0"/>
    <x v="4"/>
    <x v="10"/>
    <s v="Small Business"/>
    <s v="Retail Store"/>
    <x v="2"/>
    <n v="2"/>
    <n v="41966.13"/>
    <n v="5"/>
    <n v="79735.649999999994"/>
    <x v="3"/>
  </r>
  <r>
    <s v="ORD10819"/>
    <d v="2030-01-23T00:00:00"/>
    <x v="3"/>
    <x v="0"/>
    <x v="8"/>
    <x v="3"/>
    <x v="3"/>
    <s v="Small Business"/>
    <s v="Distributor"/>
    <x v="0"/>
    <n v="3"/>
    <n v="36052.93"/>
    <n v="5"/>
    <n v="102750.86"/>
    <x v="0"/>
  </r>
  <r>
    <s v="ORD10545"/>
    <d v="2030-01-24T00:00:00"/>
    <x v="0"/>
    <x v="0"/>
    <x v="2"/>
    <x v="4"/>
    <x v="10"/>
    <s v="Consumer"/>
    <s v="Retail Store"/>
    <x v="1"/>
    <n v="3"/>
    <n v="52026.83"/>
    <n v="10"/>
    <n v="140472.44"/>
    <x v="3"/>
  </r>
  <r>
    <s v="ORD11640"/>
    <d v="2030-01-25T00:00:00"/>
    <x v="0"/>
    <x v="0"/>
    <x v="3"/>
    <x v="4"/>
    <x v="5"/>
    <s v="Consumer"/>
    <s v="Retail Store"/>
    <x v="2"/>
    <n v="1"/>
    <n v="46882.74"/>
    <n v="15"/>
    <n v="39850.33"/>
    <x v="3"/>
  </r>
  <r>
    <s v="ORD10915"/>
    <d v="2030-01-26T00:00:00"/>
    <x v="1"/>
    <x v="0"/>
    <x v="7"/>
    <x v="3"/>
    <x v="3"/>
    <s v="Home Office"/>
    <s v="Retail Store"/>
    <x v="3"/>
    <n v="2"/>
    <n v="37430.699999999997"/>
    <n v="15"/>
    <n v="63632.19"/>
    <x v="3"/>
  </r>
  <r>
    <s v="ORD10850"/>
    <d v="2030-01-27T00:00:00"/>
    <x v="2"/>
    <x v="0"/>
    <x v="1"/>
    <x v="0"/>
    <x v="8"/>
    <s v="Consumer"/>
    <s v="Online"/>
    <x v="0"/>
    <n v="1"/>
    <n v="67741.179999999993"/>
    <n v="10"/>
    <n v="60967.06"/>
    <x v="0"/>
  </r>
  <r>
    <s v="ORD12243"/>
    <d v="2030-01-28T00:00:00"/>
    <x v="4"/>
    <x v="0"/>
    <x v="1"/>
    <x v="3"/>
    <x v="7"/>
    <s v="Small Business"/>
    <s v="Retail Store"/>
    <x v="1"/>
    <n v="4"/>
    <n v="30974.59"/>
    <n v="15"/>
    <n v="105313.59"/>
    <x v="0"/>
  </r>
  <r>
    <s v="ORD10184"/>
    <d v="2030-01-29T00:00:00"/>
    <x v="0"/>
    <x v="0"/>
    <x v="1"/>
    <x v="2"/>
    <x v="2"/>
    <s v="Corporate"/>
    <s v="Online"/>
    <x v="3"/>
    <n v="2"/>
    <n v="6719.75"/>
    <n v="5"/>
    <n v="12767.52"/>
    <x v="3"/>
  </r>
  <r>
    <s v="ORD12398"/>
    <d v="2030-01-30T00:00:00"/>
    <x v="0"/>
    <x v="0"/>
    <x v="1"/>
    <x v="2"/>
    <x v="17"/>
    <s v="Consumer"/>
    <s v="Distributor"/>
    <x v="1"/>
    <n v="1"/>
    <n v="5900.15"/>
    <n v="0"/>
    <n v="5900.15"/>
    <x v="2"/>
  </r>
  <r>
    <s v="ORD10335"/>
    <d v="2030-01-31T00:00:00"/>
    <x v="1"/>
    <x v="0"/>
    <x v="8"/>
    <x v="3"/>
    <x v="19"/>
    <s v="Corporate"/>
    <s v="Online"/>
    <x v="3"/>
    <n v="2"/>
    <n v="35914.65"/>
    <n v="10"/>
    <n v="64646.37"/>
    <x v="3"/>
  </r>
  <r>
    <s v="ORD11979"/>
    <d v="2030-02-01T00:00:00"/>
    <x v="2"/>
    <x v="1"/>
    <x v="3"/>
    <x v="4"/>
    <x v="9"/>
    <s v="Home Office"/>
    <s v="Distributor"/>
    <x v="1"/>
    <n v="5"/>
    <n v="44215.27"/>
    <n v="15"/>
    <n v="187914.9"/>
    <x v="2"/>
  </r>
  <r>
    <s v="ORD11537"/>
    <d v="2030-02-02T00:00:00"/>
    <x v="2"/>
    <x v="1"/>
    <x v="8"/>
    <x v="3"/>
    <x v="15"/>
    <s v="Home Office"/>
    <s v="Distributor"/>
    <x v="4"/>
    <n v="3"/>
    <n v="37629.980000000003"/>
    <n v="0"/>
    <n v="112889.95"/>
    <x v="3"/>
  </r>
  <r>
    <s v="ORD11764"/>
    <d v="2030-02-03T00:00:00"/>
    <x v="4"/>
    <x v="1"/>
    <x v="0"/>
    <x v="1"/>
    <x v="1"/>
    <s v="Small Business"/>
    <s v="Online"/>
    <x v="1"/>
    <n v="4"/>
    <n v="2168"/>
    <n v="5"/>
    <n v="8238.42"/>
    <x v="0"/>
  </r>
  <r>
    <s v="ORD11331"/>
    <d v="2030-02-04T00:00:00"/>
    <x v="0"/>
    <x v="1"/>
    <x v="5"/>
    <x v="1"/>
    <x v="1"/>
    <s v="Consumer"/>
    <s v="Retail Store"/>
    <x v="3"/>
    <n v="4"/>
    <n v="2586.75"/>
    <n v="0"/>
    <n v="10347.01"/>
    <x v="3"/>
  </r>
  <r>
    <s v="ORD11070"/>
    <d v="2030-02-05T00:00:00"/>
    <x v="1"/>
    <x v="1"/>
    <x v="7"/>
    <x v="1"/>
    <x v="13"/>
    <s v="Small Business"/>
    <s v="Distributor"/>
    <x v="0"/>
    <n v="3"/>
    <n v="1931.72"/>
    <n v="10"/>
    <n v="5215.6400000000003"/>
    <x v="3"/>
  </r>
  <r>
    <s v="ORD12191"/>
    <d v="2030-02-06T00:00:00"/>
    <x v="0"/>
    <x v="1"/>
    <x v="3"/>
    <x v="1"/>
    <x v="13"/>
    <s v="Corporate"/>
    <s v="Online"/>
    <x v="0"/>
    <n v="4"/>
    <n v="2047.22"/>
    <n v="15"/>
    <n v="6960.55"/>
    <x v="3"/>
  </r>
  <r>
    <s v="ORD12113"/>
    <d v="2030-02-07T00:00:00"/>
    <x v="4"/>
    <x v="1"/>
    <x v="5"/>
    <x v="2"/>
    <x v="11"/>
    <s v="Corporate"/>
    <s v="Distributor"/>
    <x v="3"/>
    <n v="1"/>
    <n v="6749.75"/>
    <n v="5"/>
    <n v="6412.26"/>
    <x v="3"/>
  </r>
  <r>
    <s v="ORD10813"/>
    <d v="2030-02-08T00:00:00"/>
    <x v="4"/>
    <x v="1"/>
    <x v="0"/>
    <x v="1"/>
    <x v="1"/>
    <s v="Corporate"/>
    <s v="Retail Store"/>
    <x v="2"/>
    <n v="4"/>
    <n v="2928.1"/>
    <n v="20"/>
    <n v="9369.92"/>
    <x v="1"/>
  </r>
  <r>
    <s v="ORD12451"/>
    <d v="2030-02-09T00:00:00"/>
    <x v="0"/>
    <x v="1"/>
    <x v="4"/>
    <x v="0"/>
    <x v="8"/>
    <s v="Corporate"/>
    <s v="Retail Store"/>
    <x v="4"/>
    <n v="1"/>
    <n v="69722.3"/>
    <n v="5"/>
    <n v="66236.19"/>
    <x v="3"/>
  </r>
  <r>
    <s v="ORD10032"/>
    <d v="2030-02-10T00:00:00"/>
    <x v="4"/>
    <x v="1"/>
    <x v="6"/>
    <x v="4"/>
    <x v="12"/>
    <s v="Corporate"/>
    <s v="Online"/>
    <x v="4"/>
    <n v="5"/>
    <n v="34877.18"/>
    <n v="0"/>
    <n v="174385.92000000001"/>
    <x v="1"/>
  </r>
  <r>
    <s v="ORD10799"/>
    <d v="2030-02-11T00:00:00"/>
    <x v="2"/>
    <x v="1"/>
    <x v="8"/>
    <x v="1"/>
    <x v="14"/>
    <s v="Small Business"/>
    <s v="Distributor"/>
    <x v="2"/>
    <n v="4"/>
    <n v="2696.39"/>
    <n v="10"/>
    <n v="9707.01"/>
    <x v="3"/>
  </r>
  <r>
    <s v="ORD11257"/>
    <d v="2030-02-12T00:00:00"/>
    <x v="4"/>
    <x v="1"/>
    <x v="3"/>
    <x v="0"/>
    <x v="8"/>
    <s v="Corporate"/>
    <s v="Online"/>
    <x v="3"/>
    <n v="5"/>
    <n v="71983.23"/>
    <n v="20"/>
    <n v="287932.92"/>
    <x v="1"/>
  </r>
  <r>
    <s v="ORD11281"/>
    <d v="2030-02-13T00:00:00"/>
    <x v="3"/>
    <x v="1"/>
    <x v="7"/>
    <x v="3"/>
    <x v="3"/>
    <s v="Home Office"/>
    <s v="Distributor"/>
    <x v="2"/>
    <n v="4"/>
    <n v="31569.84"/>
    <n v="20"/>
    <n v="101023.5"/>
    <x v="0"/>
  </r>
  <r>
    <s v="ORD10864"/>
    <d v="2030-02-14T00:00:00"/>
    <x v="4"/>
    <x v="1"/>
    <x v="2"/>
    <x v="1"/>
    <x v="14"/>
    <s v="Small Business"/>
    <s v="Online"/>
    <x v="2"/>
    <n v="1"/>
    <n v="3045.46"/>
    <n v="0"/>
    <n v="3045.46"/>
    <x v="3"/>
  </r>
  <r>
    <s v="ORD11909"/>
    <d v="2030-02-15T00:00:00"/>
    <x v="1"/>
    <x v="1"/>
    <x v="7"/>
    <x v="2"/>
    <x v="2"/>
    <s v="Corporate"/>
    <s v="Retail Store"/>
    <x v="3"/>
    <n v="3"/>
    <n v="7406.63"/>
    <n v="15"/>
    <n v="18886.91"/>
    <x v="3"/>
  </r>
  <r>
    <s v="ORD12318"/>
    <d v="2030-02-16T00:00:00"/>
    <x v="4"/>
    <x v="1"/>
    <x v="2"/>
    <x v="2"/>
    <x v="2"/>
    <s v="Consumer"/>
    <s v="Retail Store"/>
    <x v="0"/>
    <n v="3"/>
    <n v="7050.03"/>
    <n v="0"/>
    <n v="21150.1"/>
    <x v="3"/>
  </r>
  <r>
    <s v="ORD11156"/>
    <d v="2030-02-17T00:00:00"/>
    <x v="1"/>
    <x v="1"/>
    <x v="9"/>
    <x v="4"/>
    <x v="12"/>
    <s v="Consumer"/>
    <s v="Online"/>
    <x v="0"/>
    <n v="5"/>
    <n v="45861.32"/>
    <n v="5"/>
    <n v="217841.27"/>
    <x v="1"/>
  </r>
  <r>
    <s v="ORD11377"/>
    <d v="2030-02-18T00:00:00"/>
    <x v="4"/>
    <x v="1"/>
    <x v="6"/>
    <x v="0"/>
    <x v="6"/>
    <s v="Small Business"/>
    <s v="Online"/>
    <x v="0"/>
    <n v="1"/>
    <n v="50925.13"/>
    <n v="10"/>
    <n v="45832.62"/>
    <x v="0"/>
  </r>
  <r>
    <s v="ORD11552"/>
    <d v="2030-02-19T00:00:00"/>
    <x v="2"/>
    <x v="1"/>
    <x v="0"/>
    <x v="3"/>
    <x v="19"/>
    <s v="Corporate"/>
    <s v="Retail Store"/>
    <x v="2"/>
    <n v="1"/>
    <n v="33357.629999999997"/>
    <n v="5"/>
    <n v="31689.75"/>
    <x v="2"/>
  </r>
  <r>
    <s v="ORD11726"/>
    <d v="2030-02-20T00:00:00"/>
    <x v="2"/>
    <x v="1"/>
    <x v="5"/>
    <x v="1"/>
    <x v="13"/>
    <s v="Small Business"/>
    <s v="Online"/>
    <x v="0"/>
    <n v="5"/>
    <n v="2251.44"/>
    <n v="5"/>
    <n v="10694.36"/>
    <x v="3"/>
  </r>
  <r>
    <s v="ORD12207"/>
    <d v="2030-02-21T00:00:00"/>
    <x v="1"/>
    <x v="1"/>
    <x v="7"/>
    <x v="3"/>
    <x v="19"/>
    <s v="Small Business"/>
    <s v="Retail Store"/>
    <x v="0"/>
    <n v="4"/>
    <n v="38730.74"/>
    <n v="10"/>
    <n v="139430.67000000001"/>
    <x v="2"/>
  </r>
  <r>
    <s v="ORD10633"/>
    <d v="2030-02-22T00:00:00"/>
    <x v="2"/>
    <x v="1"/>
    <x v="4"/>
    <x v="4"/>
    <x v="12"/>
    <s v="Corporate"/>
    <s v="Online"/>
    <x v="3"/>
    <n v="2"/>
    <n v="50840.92"/>
    <n v="10"/>
    <n v="91513.66"/>
    <x v="2"/>
  </r>
  <r>
    <s v="ORD11730"/>
    <d v="2030-02-23T00:00:00"/>
    <x v="3"/>
    <x v="1"/>
    <x v="3"/>
    <x v="4"/>
    <x v="5"/>
    <s v="Small Business"/>
    <s v="Online"/>
    <x v="1"/>
    <n v="5"/>
    <n v="36065.51"/>
    <n v="10"/>
    <n v="162294.79999999999"/>
    <x v="3"/>
  </r>
  <r>
    <s v="ORD11702"/>
    <d v="2030-02-24T00:00:00"/>
    <x v="1"/>
    <x v="1"/>
    <x v="0"/>
    <x v="2"/>
    <x v="17"/>
    <s v="Corporate"/>
    <s v="Retail Store"/>
    <x v="1"/>
    <n v="1"/>
    <n v="6955.6"/>
    <n v="0"/>
    <n v="6955.6"/>
    <x v="3"/>
  </r>
  <r>
    <s v="ORD11341"/>
    <d v="2030-02-25T00:00:00"/>
    <x v="1"/>
    <x v="1"/>
    <x v="1"/>
    <x v="4"/>
    <x v="12"/>
    <s v="Consumer"/>
    <s v="Online"/>
    <x v="4"/>
    <n v="5"/>
    <n v="34829.910000000003"/>
    <n v="10"/>
    <n v="156734.59"/>
    <x v="3"/>
  </r>
  <r>
    <s v="ORD11514"/>
    <d v="2030-02-26T00:00:00"/>
    <x v="2"/>
    <x v="1"/>
    <x v="7"/>
    <x v="0"/>
    <x v="6"/>
    <s v="Home Office"/>
    <s v="Online"/>
    <x v="1"/>
    <n v="4"/>
    <n v="54920.2"/>
    <n v="20"/>
    <n v="175744.63"/>
    <x v="3"/>
  </r>
  <r>
    <s v="ORD11675"/>
    <d v="2030-02-27T00:00:00"/>
    <x v="2"/>
    <x v="1"/>
    <x v="3"/>
    <x v="4"/>
    <x v="10"/>
    <s v="Home Office"/>
    <s v="Distributor"/>
    <x v="0"/>
    <n v="4"/>
    <n v="34850.31"/>
    <n v="20"/>
    <n v="111521"/>
    <x v="3"/>
  </r>
  <r>
    <s v="ORD12009"/>
    <d v="2030-02-28T00:00:00"/>
    <x v="0"/>
    <x v="1"/>
    <x v="4"/>
    <x v="1"/>
    <x v="14"/>
    <s v="Corporate"/>
    <s v="Online"/>
    <x v="0"/>
    <n v="1"/>
    <n v="2397.6799999999998"/>
    <n v="20"/>
    <n v="1918.14"/>
    <x v="3"/>
  </r>
  <r>
    <s v="ORD10239"/>
    <d v="2030-03-01T00:00:00"/>
    <x v="1"/>
    <x v="2"/>
    <x v="3"/>
    <x v="1"/>
    <x v="4"/>
    <s v="Consumer"/>
    <s v="Retail Store"/>
    <x v="2"/>
    <n v="3"/>
    <n v="2323.2199999999998"/>
    <n v="0"/>
    <n v="6969.66"/>
    <x v="1"/>
  </r>
  <r>
    <s v="ORD10805"/>
    <d v="2030-03-02T00:00:00"/>
    <x v="3"/>
    <x v="2"/>
    <x v="2"/>
    <x v="4"/>
    <x v="12"/>
    <s v="Corporate"/>
    <s v="Online"/>
    <x v="1"/>
    <n v="1"/>
    <n v="51289.85"/>
    <n v="15"/>
    <n v="43596.37"/>
    <x v="1"/>
  </r>
  <r>
    <s v="ORD11237"/>
    <d v="2030-03-03T00:00:00"/>
    <x v="4"/>
    <x v="2"/>
    <x v="5"/>
    <x v="2"/>
    <x v="11"/>
    <s v="Corporate"/>
    <s v="Distributor"/>
    <x v="0"/>
    <n v="4"/>
    <n v="7735.34"/>
    <n v="10"/>
    <n v="27847.23"/>
    <x v="3"/>
  </r>
  <r>
    <s v="ORD12183"/>
    <d v="2030-03-04T00:00:00"/>
    <x v="0"/>
    <x v="2"/>
    <x v="8"/>
    <x v="0"/>
    <x v="8"/>
    <s v="Home Office"/>
    <s v="Retail Store"/>
    <x v="4"/>
    <n v="5"/>
    <n v="71076.78"/>
    <n v="10"/>
    <n v="319845.5"/>
    <x v="3"/>
  </r>
  <r>
    <s v="ORD10171"/>
    <d v="2030-03-05T00:00:00"/>
    <x v="0"/>
    <x v="2"/>
    <x v="5"/>
    <x v="0"/>
    <x v="0"/>
    <s v="Home Office"/>
    <s v="Distributor"/>
    <x v="0"/>
    <n v="4"/>
    <n v="64674.73"/>
    <n v="15"/>
    <n v="219894.09"/>
    <x v="1"/>
  </r>
  <r>
    <s v="ORD10978"/>
    <d v="2030-03-06T00:00:00"/>
    <x v="0"/>
    <x v="2"/>
    <x v="8"/>
    <x v="1"/>
    <x v="1"/>
    <s v="Corporate"/>
    <s v="Distributor"/>
    <x v="0"/>
    <n v="4"/>
    <n v="2166.0100000000002"/>
    <n v="0"/>
    <n v="8664.0499999999993"/>
    <x v="2"/>
  </r>
  <r>
    <s v="ORD11706"/>
    <d v="2030-03-07T00:00:00"/>
    <x v="3"/>
    <x v="2"/>
    <x v="5"/>
    <x v="2"/>
    <x v="16"/>
    <s v="Corporate"/>
    <s v="Online"/>
    <x v="3"/>
    <n v="4"/>
    <n v="5690.44"/>
    <n v="0"/>
    <n v="22761.78"/>
    <x v="3"/>
  </r>
  <r>
    <s v="ORD12219"/>
    <d v="2030-03-08T00:00:00"/>
    <x v="3"/>
    <x v="2"/>
    <x v="0"/>
    <x v="0"/>
    <x v="6"/>
    <s v="Corporate"/>
    <s v="Distributor"/>
    <x v="1"/>
    <n v="1"/>
    <n v="45602.29"/>
    <n v="10"/>
    <n v="41042.06"/>
    <x v="1"/>
  </r>
  <r>
    <s v="ORD11367"/>
    <d v="2030-03-09T00:00:00"/>
    <x v="3"/>
    <x v="2"/>
    <x v="8"/>
    <x v="3"/>
    <x v="15"/>
    <s v="Consumer"/>
    <s v="Online"/>
    <x v="3"/>
    <n v="2"/>
    <n v="38777.22"/>
    <n v="15"/>
    <n v="65921.27"/>
    <x v="0"/>
  </r>
  <r>
    <s v="ORD12446"/>
    <d v="2030-03-10T00:00:00"/>
    <x v="2"/>
    <x v="2"/>
    <x v="5"/>
    <x v="1"/>
    <x v="4"/>
    <s v="Corporate"/>
    <s v="Retail Store"/>
    <x v="3"/>
    <n v="2"/>
    <n v="2875.37"/>
    <n v="15"/>
    <n v="4888.13"/>
    <x v="3"/>
  </r>
  <r>
    <s v="ORD10378"/>
    <d v="2030-03-11T00:00:00"/>
    <x v="4"/>
    <x v="2"/>
    <x v="0"/>
    <x v="4"/>
    <x v="9"/>
    <s v="Corporate"/>
    <s v="Online"/>
    <x v="2"/>
    <n v="3"/>
    <n v="47692.92"/>
    <n v="15"/>
    <n v="121616.96000000001"/>
    <x v="3"/>
  </r>
  <r>
    <s v="ORD11130"/>
    <d v="2030-03-12T00:00:00"/>
    <x v="4"/>
    <x v="2"/>
    <x v="9"/>
    <x v="2"/>
    <x v="16"/>
    <s v="Home Office"/>
    <s v="Distributor"/>
    <x v="1"/>
    <n v="5"/>
    <n v="5626.06"/>
    <n v="10"/>
    <n v="25317.25"/>
    <x v="0"/>
  </r>
  <r>
    <s v="ORD11535"/>
    <d v="2030-03-13T00:00:00"/>
    <x v="0"/>
    <x v="2"/>
    <x v="4"/>
    <x v="0"/>
    <x v="8"/>
    <s v="Home Office"/>
    <s v="Online"/>
    <x v="3"/>
    <n v="3"/>
    <n v="48134.52"/>
    <n v="10"/>
    <n v="129963.21"/>
    <x v="0"/>
  </r>
  <r>
    <s v="ORD11795"/>
    <d v="2030-03-14T00:00:00"/>
    <x v="3"/>
    <x v="2"/>
    <x v="6"/>
    <x v="2"/>
    <x v="16"/>
    <s v="Corporate"/>
    <s v="Retail Store"/>
    <x v="1"/>
    <n v="5"/>
    <n v="8025.17"/>
    <n v="10"/>
    <n v="36113.279999999999"/>
    <x v="2"/>
  </r>
  <r>
    <s v="ORD10017"/>
    <d v="2030-03-15T00:00:00"/>
    <x v="3"/>
    <x v="2"/>
    <x v="9"/>
    <x v="1"/>
    <x v="14"/>
    <s v="Consumer"/>
    <s v="Distributor"/>
    <x v="3"/>
    <n v="2"/>
    <n v="2800.6"/>
    <n v="0"/>
    <n v="5601.2"/>
    <x v="2"/>
  </r>
  <r>
    <s v="ORD11519"/>
    <d v="2030-03-16T00:00:00"/>
    <x v="3"/>
    <x v="2"/>
    <x v="6"/>
    <x v="4"/>
    <x v="10"/>
    <s v="Consumer"/>
    <s v="Online"/>
    <x v="4"/>
    <n v="5"/>
    <n v="37216.89"/>
    <n v="5"/>
    <n v="176780.23"/>
    <x v="0"/>
  </r>
  <r>
    <s v="ORD10855"/>
    <d v="2030-03-17T00:00:00"/>
    <x v="0"/>
    <x v="2"/>
    <x v="9"/>
    <x v="2"/>
    <x v="2"/>
    <s v="Consumer"/>
    <s v="Retail Store"/>
    <x v="0"/>
    <n v="4"/>
    <n v="5197.22"/>
    <n v="0"/>
    <n v="20788.87"/>
    <x v="3"/>
  </r>
  <r>
    <s v="ORD12006"/>
    <d v="2030-03-18T00:00:00"/>
    <x v="3"/>
    <x v="2"/>
    <x v="6"/>
    <x v="4"/>
    <x v="9"/>
    <s v="Consumer"/>
    <s v="Retail Store"/>
    <x v="1"/>
    <n v="1"/>
    <n v="44841.38"/>
    <n v="10"/>
    <n v="40357.24"/>
    <x v="3"/>
  </r>
  <r>
    <s v="ORD11717"/>
    <d v="2030-03-19T00:00:00"/>
    <x v="4"/>
    <x v="2"/>
    <x v="0"/>
    <x v="4"/>
    <x v="12"/>
    <s v="Corporate"/>
    <s v="Online"/>
    <x v="1"/>
    <n v="1"/>
    <n v="36525.300000000003"/>
    <n v="0"/>
    <n v="36525.300000000003"/>
    <x v="3"/>
  </r>
  <r>
    <s v="ORD11386"/>
    <d v="2030-03-20T00:00:00"/>
    <x v="4"/>
    <x v="2"/>
    <x v="4"/>
    <x v="4"/>
    <x v="9"/>
    <s v="Corporate"/>
    <s v="Distributor"/>
    <x v="1"/>
    <n v="3"/>
    <n v="51717.1"/>
    <n v="5"/>
    <n v="147393.72"/>
    <x v="2"/>
  </r>
  <r>
    <s v="ORD10628"/>
    <d v="2030-03-21T00:00:00"/>
    <x v="4"/>
    <x v="2"/>
    <x v="2"/>
    <x v="0"/>
    <x v="8"/>
    <s v="Small Business"/>
    <s v="Retail Store"/>
    <x v="4"/>
    <n v="5"/>
    <n v="62766.49"/>
    <n v="0"/>
    <n v="313832.43"/>
    <x v="2"/>
  </r>
  <r>
    <s v="ORD10794"/>
    <d v="2030-03-22T00:00:00"/>
    <x v="1"/>
    <x v="2"/>
    <x v="6"/>
    <x v="4"/>
    <x v="12"/>
    <s v="Consumer"/>
    <s v="Online"/>
    <x v="2"/>
    <n v="5"/>
    <n v="50449.41"/>
    <n v="10"/>
    <n v="227022.34"/>
    <x v="1"/>
  </r>
  <r>
    <s v="ORD12003"/>
    <d v="2030-03-23T00:00:00"/>
    <x v="4"/>
    <x v="2"/>
    <x v="5"/>
    <x v="0"/>
    <x v="18"/>
    <s v="Home Office"/>
    <s v="Online"/>
    <x v="2"/>
    <n v="1"/>
    <n v="63422.18"/>
    <n v="10"/>
    <n v="57079.96"/>
    <x v="3"/>
  </r>
  <r>
    <s v="ORD10645"/>
    <d v="2030-03-24T00:00:00"/>
    <x v="2"/>
    <x v="2"/>
    <x v="3"/>
    <x v="3"/>
    <x v="3"/>
    <s v="Corporate"/>
    <s v="Online"/>
    <x v="3"/>
    <n v="3"/>
    <n v="26475.439999999999"/>
    <n v="5"/>
    <n v="75455"/>
    <x v="3"/>
  </r>
  <r>
    <s v="ORD10429"/>
    <d v="2030-03-25T00:00:00"/>
    <x v="0"/>
    <x v="2"/>
    <x v="9"/>
    <x v="4"/>
    <x v="12"/>
    <s v="Home Office"/>
    <s v="Distributor"/>
    <x v="3"/>
    <n v="5"/>
    <n v="50037.57"/>
    <n v="10"/>
    <n v="225169.05"/>
    <x v="1"/>
  </r>
  <r>
    <s v="ORD12237"/>
    <d v="2030-03-26T00:00:00"/>
    <x v="2"/>
    <x v="2"/>
    <x v="7"/>
    <x v="0"/>
    <x v="6"/>
    <s v="Corporate"/>
    <s v="Distributor"/>
    <x v="1"/>
    <n v="1"/>
    <n v="58719.199999999997"/>
    <n v="10"/>
    <n v="52847.28"/>
    <x v="1"/>
  </r>
  <r>
    <s v="ORD11224"/>
    <d v="2030-03-27T00:00:00"/>
    <x v="3"/>
    <x v="2"/>
    <x v="9"/>
    <x v="4"/>
    <x v="10"/>
    <s v="Consumer"/>
    <s v="Online"/>
    <x v="1"/>
    <n v="5"/>
    <n v="50290.38"/>
    <n v="15"/>
    <n v="213734.13"/>
    <x v="3"/>
  </r>
  <r>
    <s v="ORD11618"/>
    <d v="2030-03-28T00:00:00"/>
    <x v="1"/>
    <x v="2"/>
    <x v="7"/>
    <x v="4"/>
    <x v="5"/>
    <s v="Corporate"/>
    <s v="Retail Store"/>
    <x v="0"/>
    <n v="4"/>
    <n v="39482.9"/>
    <n v="10"/>
    <n v="142138.45000000001"/>
    <x v="1"/>
  </r>
  <r>
    <s v="ORD11703"/>
    <d v="2030-03-29T00:00:00"/>
    <x v="1"/>
    <x v="2"/>
    <x v="4"/>
    <x v="1"/>
    <x v="13"/>
    <s v="Home Office"/>
    <s v="Distributor"/>
    <x v="0"/>
    <n v="2"/>
    <n v="2561.21"/>
    <n v="10"/>
    <n v="4610.18"/>
    <x v="3"/>
  </r>
  <r>
    <s v="ORD10652"/>
    <d v="2030-03-30T00:00:00"/>
    <x v="2"/>
    <x v="2"/>
    <x v="1"/>
    <x v="0"/>
    <x v="8"/>
    <s v="Consumer"/>
    <s v="Online"/>
    <x v="3"/>
    <n v="3"/>
    <n v="60899.519999999997"/>
    <n v="10"/>
    <n v="164428.69"/>
    <x v="0"/>
  </r>
  <r>
    <s v="ORD11900"/>
    <d v="2030-03-31T00:00:00"/>
    <x v="2"/>
    <x v="2"/>
    <x v="1"/>
    <x v="3"/>
    <x v="7"/>
    <s v="Corporate"/>
    <s v="Retail Store"/>
    <x v="1"/>
    <n v="2"/>
    <n v="29912.95"/>
    <n v="0"/>
    <n v="59825.89"/>
    <x v="3"/>
  </r>
  <r>
    <s v="ORD12337"/>
    <d v="2030-04-01T00:00:00"/>
    <x v="4"/>
    <x v="3"/>
    <x v="1"/>
    <x v="0"/>
    <x v="0"/>
    <s v="Consumer"/>
    <s v="Retail Store"/>
    <x v="2"/>
    <n v="5"/>
    <n v="51493.27"/>
    <n v="0"/>
    <n v="257466.36"/>
    <x v="3"/>
  </r>
  <r>
    <s v="ORD10909"/>
    <d v="2030-04-02T00:00:00"/>
    <x v="1"/>
    <x v="3"/>
    <x v="5"/>
    <x v="4"/>
    <x v="12"/>
    <s v="Consumer"/>
    <s v="Distributor"/>
    <x v="3"/>
    <n v="1"/>
    <n v="40348.71"/>
    <n v="0"/>
    <n v="40348.71"/>
    <x v="3"/>
  </r>
  <r>
    <s v="ORD10160"/>
    <d v="2030-04-03T00:00:00"/>
    <x v="4"/>
    <x v="3"/>
    <x v="1"/>
    <x v="1"/>
    <x v="14"/>
    <s v="Corporate"/>
    <s v="Distributor"/>
    <x v="2"/>
    <n v="2"/>
    <n v="2944.18"/>
    <n v="5"/>
    <n v="5593.94"/>
    <x v="0"/>
  </r>
  <r>
    <s v="ORD10589"/>
    <d v="2030-04-04T00:00:00"/>
    <x v="0"/>
    <x v="3"/>
    <x v="1"/>
    <x v="0"/>
    <x v="18"/>
    <s v="Home Office"/>
    <s v="Online"/>
    <x v="0"/>
    <n v="3"/>
    <n v="66804.38"/>
    <n v="5"/>
    <n v="190392.47"/>
    <x v="1"/>
  </r>
  <r>
    <s v="ORD11807"/>
    <d v="2030-04-05T00:00:00"/>
    <x v="2"/>
    <x v="3"/>
    <x v="1"/>
    <x v="2"/>
    <x v="2"/>
    <s v="Home Office"/>
    <s v="Distributor"/>
    <x v="2"/>
    <n v="3"/>
    <n v="6312.38"/>
    <n v="10"/>
    <n v="17043.419999999998"/>
    <x v="3"/>
  </r>
  <r>
    <s v="ORD10578"/>
    <d v="2030-04-06T00:00:00"/>
    <x v="2"/>
    <x v="3"/>
    <x v="2"/>
    <x v="3"/>
    <x v="19"/>
    <s v="Corporate"/>
    <s v="Retail Store"/>
    <x v="1"/>
    <n v="1"/>
    <n v="33387.35"/>
    <n v="15"/>
    <n v="28379.25"/>
    <x v="1"/>
  </r>
  <r>
    <s v="ORD11441"/>
    <d v="2030-04-07T00:00:00"/>
    <x v="3"/>
    <x v="3"/>
    <x v="5"/>
    <x v="3"/>
    <x v="19"/>
    <s v="Consumer"/>
    <s v="Distributor"/>
    <x v="2"/>
    <n v="2"/>
    <n v="37979.53"/>
    <n v="15"/>
    <n v="64565.2"/>
    <x v="2"/>
  </r>
  <r>
    <s v="ORD10893"/>
    <d v="2030-04-08T00:00:00"/>
    <x v="4"/>
    <x v="3"/>
    <x v="3"/>
    <x v="0"/>
    <x v="0"/>
    <s v="Small Business"/>
    <s v="Distributor"/>
    <x v="3"/>
    <n v="4"/>
    <n v="58123.23"/>
    <n v="0"/>
    <n v="232492.91"/>
    <x v="2"/>
  </r>
  <r>
    <s v="ORD11693"/>
    <d v="2030-04-09T00:00:00"/>
    <x v="2"/>
    <x v="3"/>
    <x v="0"/>
    <x v="1"/>
    <x v="13"/>
    <s v="Corporate"/>
    <s v="Online"/>
    <x v="1"/>
    <n v="1"/>
    <n v="2735.01"/>
    <n v="10"/>
    <n v="2461.5100000000002"/>
    <x v="0"/>
  </r>
  <r>
    <s v="ORD12346"/>
    <d v="2030-04-10T00:00:00"/>
    <x v="3"/>
    <x v="3"/>
    <x v="0"/>
    <x v="0"/>
    <x v="8"/>
    <s v="Home Office"/>
    <s v="Distributor"/>
    <x v="3"/>
    <n v="4"/>
    <n v="66231.47"/>
    <n v="10"/>
    <n v="238433.3"/>
    <x v="1"/>
  </r>
  <r>
    <s v="ORD10351"/>
    <d v="2030-04-11T00:00:00"/>
    <x v="2"/>
    <x v="3"/>
    <x v="2"/>
    <x v="1"/>
    <x v="4"/>
    <s v="Corporate"/>
    <s v="Distributor"/>
    <x v="2"/>
    <n v="4"/>
    <n v="2116.4699999999998"/>
    <n v="10"/>
    <n v="7619.3"/>
    <x v="2"/>
  </r>
  <r>
    <s v="ORD11590"/>
    <d v="2030-04-12T00:00:00"/>
    <x v="3"/>
    <x v="3"/>
    <x v="0"/>
    <x v="4"/>
    <x v="12"/>
    <s v="Consumer"/>
    <s v="Retail Store"/>
    <x v="0"/>
    <n v="2"/>
    <n v="47361.71"/>
    <n v="0"/>
    <n v="94723.41"/>
    <x v="0"/>
  </r>
  <r>
    <s v="ORD11160"/>
    <d v="2030-04-13T00:00:00"/>
    <x v="1"/>
    <x v="3"/>
    <x v="6"/>
    <x v="3"/>
    <x v="3"/>
    <s v="Home Office"/>
    <s v="Retail Store"/>
    <x v="0"/>
    <n v="4"/>
    <n v="34325.769999999997"/>
    <n v="5"/>
    <n v="130437.93"/>
    <x v="3"/>
  </r>
  <r>
    <s v="ORD12415"/>
    <d v="2030-04-14T00:00:00"/>
    <x v="0"/>
    <x v="3"/>
    <x v="9"/>
    <x v="1"/>
    <x v="13"/>
    <s v="Consumer"/>
    <s v="Retail Store"/>
    <x v="3"/>
    <n v="2"/>
    <n v="1895.05"/>
    <n v="10"/>
    <n v="3411.08"/>
    <x v="1"/>
  </r>
  <r>
    <s v="ORD12348"/>
    <d v="2030-04-15T00:00:00"/>
    <x v="1"/>
    <x v="3"/>
    <x v="5"/>
    <x v="4"/>
    <x v="12"/>
    <s v="Small Business"/>
    <s v="Distributor"/>
    <x v="1"/>
    <n v="3"/>
    <n v="46812.75"/>
    <n v="15"/>
    <n v="119372.5"/>
    <x v="0"/>
  </r>
  <r>
    <s v="ORD10620"/>
    <d v="2030-04-16T00:00:00"/>
    <x v="3"/>
    <x v="3"/>
    <x v="4"/>
    <x v="2"/>
    <x v="16"/>
    <s v="Consumer"/>
    <s v="Retail Store"/>
    <x v="1"/>
    <n v="1"/>
    <n v="7033.12"/>
    <n v="5"/>
    <n v="6681.46"/>
    <x v="1"/>
  </r>
  <r>
    <s v="ORD11343"/>
    <d v="2030-04-17T00:00:00"/>
    <x v="0"/>
    <x v="3"/>
    <x v="4"/>
    <x v="1"/>
    <x v="14"/>
    <s v="Small Business"/>
    <s v="Online"/>
    <x v="3"/>
    <n v="3"/>
    <n v="2835.58"/>
    <n v="5"/>
    <n v="8081.4"/>
    <x v="3"/>
  </r>
  <r>
    <s v="ORD12160"/>
    <d v="2030-04-18T00:00:00"/>
    <x v="4"/>
    <x v="3"/>
    <x v="0"/>
    <x v="4"/>
    <x v="9"/>
    <s v="Home Office"/>
    <s v="Online"/>
    <x v="0"/>
    <n v="2"/>
    <n v="43897.64"/>
    <n v="5"/>
    <n v="83405.52"/>
    <x v="3"/>
  </r>
  <r>
    <s v="ORD11765"/>
    <d v="2030-04-19T00:00:00"/>
    <x v="3"/>
    <x v="3"/>
    <x v="7"/>
    <x v="2"/>
    <x v="17"/>
    <s v="Consumer"/>
    <s v="Online"/>
    <x v="2"/>
    <n v="5"/>
    <n v="6579.21"/>
    <n v="10"/>
    <n v="29606.46"/>
    <x v="3"/>
  </r>
  <r>
    <s v="ORD10886"/>
    <d v="2030-04-20T00:00:00"/>
    <x v="3"/>
    <x v="3"/>
    <x v="1"/>
    <x v="2"/>
    <x v="17"/>
    <s v="Corporate"/>
    <s v="Online"/>
    <x v="4"/>
    <n v="1"/>
    <n v="6272.21"/>
    <n v="20"/>
    <n v="5017.7700000000004"/>
    <x v="3"/>
  </r>
  <r>
    <s v="ORD10948"/>
    <d v="2030-04-21T00:00:00"/>
    <x v="1"/>
    <x v="3"/>
    <x v="0"/>
    <x v="0"/>
    <x v="8"/>
    <s v="Consumer"/>
    <s v="Retail Store"/>
    <x v="0"/>
    <n v="3"/>
    <n v="54580.19"/>
    <n v="15"/>
    <n v="139179.48000000001"/>
    <x v="1"/>
  </r>
  <r>
    <s v="ORD11977"/>
    <d v="2030-04-22T00:00:00"/>
    <x v="2"/>
    <x v="3"/>
    <x v="7"/>
    <x v="4"/>
    <x v="10"/>
    <s v="Home Office"/>
    <s v="Online"/>
    <x v="0"/>
    <n v="5"/>
    <n v="32211.82"/>
    <n v="20"/>
    <n v="128847.28"/>
    <x v="3"/>
  </r>
  <r>
    <s v="ORD11506"/>
    <d v="2030-04-23T00:00:00"/>
    <x v="4"/>
    <x v="3"/>
    <x v="3"/>
    <x v="0"/>
    <x v="8"/>
    <s v="Home Office"/>
    <s v="Online"/>
    <x v="0"/>
    <n v="1"/>
    <n v="65196.22"/>
    <n v="20"/>
    <n v="52156.97"/>
    <x v="2"/>
  </r>
  <r>
    <s v="ORD11437"/>
    <d v="2030-04-24T00:00:00"/>
    <x v="2"/>
    <x v="3"/>
    <x v="0"/>
    <x v="0"/>
    <x v="18"/>
    <s v="Consumer"/>
    <s v="Online"/>
    <x v="2"/>
    <n v="3"/>
    <n v="72254.039999999994"/>
    <n v="5"/>
    <n v="205924.03"/>
    <x v="1"/>
  </r>
  <r>
    <s v="ORD11339"/>
    <d v="2030-04-25T00:00:00"/>
    <x v="2"/>
    <x v="3"/>
    <x v="9"/>
    <x v="2"/>
    <x v="11"/>
    <s v="Small Business"/>
    <s v="Online"/>
    <x v="4"/>
    <n v="1"/>
    <n v="5106.55"/>
    <n v="5"/>
    <n v="4851.22"/>
    <x v="0"/>
  </r>
  <r>
    <s v="ORD10111"/>
    <d v="2030-04-26T00:00:00"/>
    <x v="4"/>
    <x v="3"/>
    <x v="7"/>
    <x v="0"/>
    <x v="8"/>
    <s v="Small Business"/>
    <s v="Online"/>
    <x v="4"/>
    <n v="2"/>
    <n v="58416.75"/>
    <n v="10"/>
    <n v="105150.16"/>
    <x v="3"/>
  </r>
  <r>
    <s v="ORD11373"/>
    <d v="2030-04-27T00:00:00"/>
    <x v="0"/>
    <x v="3"/>
    <x v="9"/>
    <x v="4"/>
    <x v="9"/>
    <s v="Corporate"/>
    <s v="Distributor"/>
    <x v="3"/>
    <n v="5"/>
    <n v="35521.43"/>
    <n v="10"/>
    <n v="159846.42000000001"/>
    <x v="3"/>
  </r>
  <r>
    <s v="ORD12334"/>
    <d v="2030-04-28T00:00:00"/>
    <x v="3"/>
    <x v="3"/>
    <x v="5"/>
    <x v="0"/>
    <x v="6"/>
    <s v="Small Business"/>
    <s v="Distributor"/>
    <x v="0"/>
    <n v="2"/>
    <n v="58606.09"/>
    <n v="10"/>
    <n v="105490.97"/>
    <x v="3"/>
  </r>
  <r>
    <s v="ORD12172"/>
    <d v="2030-04-29T00:00:00"/>
    <x v="2"/>
    <x v="3"/>
    <x v="6"/>
    <x v="1"/>
    <x v="13"/>
    <s v="Corporate"/>
    <s v="Retail Store"/>
    <x v="2"/>
    <n v="4"/>
    <n v="3079.33"/>
    <n v="20"/>
    <n v="9853.86"/>
    <x v="1"/>
  </r>
  <r>
    <s v="ORD12130"/>
    <d v="2030-04-30T00:00:00"/>
    <x v="4"/>
    <x v="3"/>
    <x v="9"/>
    <x v="3"/>
    <x v="3"/>
    <s v="Corporate"/>
    <s v="Online"/>
    <x v="4"/>
    <n v="5"/>
    <n v="36274.18"/>
    <n v="0"/>
    <n v="181370.92"/>
    <x v="3"/>
  </r>
  <r>
    <s v="ORD11448"/>
    <d v="2030-05-01T00:00:00"/>
    <x v="0"/>
    <x v="4"/>
    <x v="3"/>
    <x v="0"/>
    <x v="8"/>
    <s v="Home Office"/>
    <s v="Retail Store"/>
    <x v="1"/>
    <n v="5"/>
    <n v="69358.52"/>
    <n v="0"/>
    <n v="346792.59"/>
    <x v="0"/>
  </r>
  <r>
    <s v="ORD10840"/>
    <d v="2030-05-02T00:00:00"/>
    <x v="1"/>
    <x v="4"/>
    <x v="6"/>
    <x v="3"/>
    <x v="19"/>
    <s v="Consumer"/>
    <s v="Distributor"/>
    <x v="1"/>
    <n v="5"/>
    <n v="34347.22"/>
    <n v="5"/>
    <n v="163149.28"/>
    <x v="1"/>
  </r>
  <r>
    <s v="ORD11748"/>
    <d v="2030-05-03T00:00:00"/>
    <x v="1"/>
    <x v="4"/>
    <x v="8"/>
    <x v="3"/>
    <x v="15"/>
    <s v="Corporate"/>
    <s v="Retail Store"/>
    <x v="4"/>
    <n v="2"/>
    <n v="38064.800000000003"/>
    <n v="0"/>
    <n v="76129.600000000006"/>
    <x v="3"/>
  </r>
  <r>
    <s v="ORD12306"/>
    <d v="2030-05-04T00:00:00"/>
    <x v="1"/>
    <x v="4"/>
    <x v="0"/>
    <x v="4"/>
    <x v="9"/>
    <s v="Consumer"/>
    <s v="Online"/>
    <x v="4"/>
    <n v="2"/>
    <n v="49674.28"/>
    <n v="0"/>
    <n v="99348.55"/>
    <x v="1"/>
  </r>
  <r>
    <s v="ORD10154"/>
    <d v="2030-05-05T00:00:00"/>
    <x v="2"/>
    <x v="4"/>
    <x v="7"/>
    <x v="1"/>
    <x v="4"/>
    <s v="Consumer"/>
    <s v="Distributor"/>
    <x v="0"/>
    <n v="2"/>
    <n v="2105.09"/>
    <n v="0"/>
    <n v="4210.17"/>
    <x v="2"/>
  </r>
  <r>
    <s v="ORD10744"/>
    <d v="2030-05-06T00:00:00"/>
    <x v="0"/>
    <x v="4"/>
    <x v="8"/>
    <x v="0"/>
    <x v="8"/>
    <s v="Small Business"/>
    <s v="Online"/>
    <x v="1"/>
    <n v="4"/>
    <n v="46238.32"/>
    <n v="10"/>
    <n v="166457.95000000001"/>
    <x v="1"/>
  </r>
  <r>
    <s v="ORD10869"/>
    <d v="2030-05-07T00:00:00"/>
    <x v="0"/>
    <x v="4"/>
    <x v="7"/>
    <x v="0"/>
    <x v="18"/>
    <s v="Home Office"/>
    <s v="Retail Store"/>
    <x v="4"/>
    <n v="5"/>
    <n v="55098.45"/>
    <n v="20"/>
    <n v="220393.82"/>
    <x v="2"/>
  </r>
  <r>
    <s v="ORD10847"/>
    <d v="2030-05-08T00:00:00"/>
    <x v="1"/>
    <x v="4"/>
    <x v="8"/>
    <x v="0"/>
    <x v="0"/>
    <s v="Consumer"/>
    <s v="Retail Store"/>
    <x v="3"/>
    <n v="5"/>
    <n v="59584.11"/>
    <n v="10"/>
    <n v="268128.49"/>
    <x v="2"/>
  </r>
  <r>
    <s v="ORD12417"/>
    <d v="2030-05-09T00:00:00"/>
    <x v="4"/>
    <x v="4"/>
    <x v="9"/>
    <x v="4"/>
    <x v="10"/>
    <s v="Small Business"/>
    <s v="Online"/>
    <x v="3"/>
    <n v="2"/>
    <n v="32559.09"/>
    <n v="15"/>
    <n v="55350.45"/>
    <x v="3"/>
  </r>
  <r>
    <s v="ORD12302"/>
    <d v="2030-05-10T00:00:00"/>
    <x v="1"/>
    <x v="4"/>
    <x v="4"/>
    <x v="3"/>
    <x v="15"/>
    <s v="Corporate"/>
    <s v="Online"/>
    <x v="2"/>
    <n v="4"/>
    <n v="35726.879999999997"/>
    <n v="10"/>
    <n v="128616.78"/>
    <x v="3"/>
  </r>
  <r>
    <s v="ORD11288"/>
    <d v="2030-05-11T00:00:00"/>
    <x v="1"/>
    <x v="4"/>
    <x v="7"/>
    <x v="4"/>
    <x v="5"/>
    <s v="Small Business"/>
    <s v="Retail Store"/>
    <x v="2"/>
    <n v="1"/>
    <n v="44878.13"/>
    <n v="15"/>
    <n v="38146.410000000003"/>
    <x v="1"/>
  </r>
  <r>
    <s v="ORD12356"/>
    <d v="2030-05-12T00:00:00"/>
    <x v="0"/>
    <x v="4"/>
    <x v="0"/>
    <x v="3"/>
    <x v="19"/>
    <s v="Consumer"/>
    <s v="Retail Store"/>
    <x v="0"/>
    <n v="5"/>
    <n v="36520.480000000003"/>
    <n v="5"/>
    <n v="173472.27"/>
    <x v="0"/>
  </r>
  <r>
    <s v="ORD10384"/>
    <d v="2030-05-13T00:00:00"/>
    <x v="0"/>
    <x v="4"/>
    <x v="1"/>
    <x v="4"/>
    <x v="12"/>
    <s v="Small Business"/>
    <s v="Distributor"/>
    <x v="2"/>
    <n v="4"/>
    <n v="36209.11"/>
    <n v="0"/>
    <n v="144836.43"/>
    <x v="0"/>
  </r>
  <r>
    <s v="ORD11357"/>
    <d v="2030-05-14T00:00:00"/>
    <x v="2"/>
    <x v="4"/>
    <x v="2"/>
    <x v="2"/>
    <x v="16"/>
    <s v="Corporate"/>
    <s v="Distributor"/>
    <x v="0"/>
    <n v="1"/>
    <n v="7542.21"/>
    <n v="0"/>
    <n v="7542.21"/>
    <x v="3"/>
  </r>
  <r>
    <s v="ORD12023"/>
    <d v="2030-05-15T00:00:00"/>
    <x v="3"/>
    <x v="4"/>
    <x v="2"/>
    <x v="0"/>
    <x v="8"/>
    <s v="Corporate"/>
    <s v="Retail Store"/>
    <x v="1"/>
    <n v="1"/>
    <n v="60097.82"/>
    <n v="10"/>
    <n v="54088.03"/>
    <x v="3"/>
  </r>
  <r>
    <s v="ORD10683"/>
    <d v="2030-05-16T00:00:00"/>
    <x v="1"/>
    <x v="4"/>
    <x v="8"/>
    <x v="0"/>
    <x v="6"/>
    <s v="Home Office"/>
    <s v="Retail Store"/>
    <x v="0"/>
    <n v="1"/>
    <n v="61295.27"/>
    <n v="20"/>
    <n v="49036.21"/>
    <x v="2"/>
  </r>
  <r>
    <s v="ORD11546"/>
    <d v="2030-05-17T00:00:00"/>
    <x v="0"/>
    <x v="4"/>
    <x v="1"/>
    <x v="3"/>
    <x v="19"/>
    <s v="Corporate"/>
    <s v="Distributor"/>
    <x v="0"/>
    <n v="2"/>
    <n v="34583.21"/>
    <n v="5"/>
    <n v="65708.100000000006"/>
    <x v="0"/>
  </r>
  <r>
    <s v="ORD10503"/>
    <d v="2030-05-18T00:00:00"/>
    <x v="1"/>
    <x v="4"/>
    <x v="0"/>
    <x v="0"/>
    <x v="18"/>
    <s v="Small Business"/>
    <s v="Distributor"/>
    <x v="3"/>
    <n v="5"/>
    <n v="54329.21"/>
    <n v="20"/>
    <n v="217316.84"/>
    <x v="2"/>
  </r>
  <r>
    <s v="ORD10843"/>
    <d v="2030-05-19T00:00:00"/>
    <x v="2"/>
    <x v="4"/>
    <x v="3"/>
    <x v="4"/>
    <x v="12"/>
    <s v="Small Business"/>
    <s v="Online"/>
    <x v="4"/>
    <n v="4"/>
    <n v="47476.32"/>
    <n v="15"/>
    <n v="161419.5"/>
    <x v="0"/>
  </r>
  <r>
    <s v="ORD10166"/>
    <d v="2030-05-20T00:00:00"/>
    <x v="1"/>
    <x v="4"/>
    <x v="3"/>
    <x v="4"/>
    <x v="9"/>
    <s v="Small Business"/>
    <s v="Distributor"/>
    <x v="0"/>
    <n v="5"/>
    <n v="52499.99"/>
    <n v="15"/>
    <n v="223124.94"/>
    <x v="0"/>
  </r>
  <r>
    <s v="ORD10596"/>
    <d v="2030-05-21T00:00:00"/>
    <x v="4"/>
    <x v="4"/>
    <x v="6"/>
    <x v="3"/>
    <x v="3"/>
    <s v="Corporate"/>
    <s v="Online"/>
    <x v="2"/>
    <n v="2"/>
    <n v="37948.17"/>
    <n v="10"/>
    <n v="68306.710000000006"/>
    <x v="0"/>
  </r>
  <r>
    <s v="ORD10786"/>
    <d v="2030-05-22T00:00:00"/>
    <x v="0"/>
    <x v="4"/>
    <x v="7"/>
    <x v="1"/>
    <x v="14"/>
    <s v="Corporate"/>
    <s v="Online"/>
    <x v="4"/>
    <n v="5"/>
    <n v="2963.49"/>
    <n v="10"/>
    <n v="13335.7"/>
    <x v="3"/>
  </r>
  <r>
    <s v="ORD11523"/>
    <d v="2030-05-23T00:00:00"/>
    <x v="2"/>
    <x v="4"/>
    <x v="3"/>
    <x v="4"/>
    <x v="5"/>
    <s v="Small Business"/>
    <s v="Retail Store"/>
    <x v="3"/>
    <n v="2"/>
    <n v="40883.660000000003"/>
    <n v="10"/>
    <n v="73590.59"/>
    <x v="1"/>
  </r>
  <r>
    <s v="ORD12091"/>
    <d v="2030-05-24T00:00:00"/>
    <x v="2"/>
    <x v="4"/>
    <x v="0"/>
    <x v="0"/>
    <x v="18"/>
    <s v="Corporate"/>
    <s v="Retail Store"/>
    <x v="2"/>
    <n v="5"/>
    <n v="69171.66"/>
    <n v="10"/>
    <n v="311272.49"/>
    <x v="3"/>
  </r>
  <r>
    <s v="ORD12379"/>
    <d v="2030-05-25T00:00:00"/>
    <x v="4"/>
    <x v="4"/>
    <x v="9"/>
    <x v="0"/>
    <x v="8"/>
    <s v="Corporate"/>
    <s v="Retail Store"/>
    <x v="4"/>
    <n v="3"/>
    <n v="68603.48"/>
    <n v="0"/>
    <n v="205810.43"/>
    <x v="3"/>
  </r>
  <r>
    <s v="ORD11903"/>
    <d v="2030-05-26T00:00:00"/>
    <x v="3"/>
    <x v="4"/>
    <x v="3"/>
    <x v="4"/>
    <x v="10"/>
    <s v="Home Office"/>
    <s v="Online"/>
    <x v="2"/>
    <n v="3"/>
    <n v="48378.51"/>
    <n v="15"/>
    <n v="123365.2"/>
    <x v="1"/>
  </r>
  <r>
    <s v="ORD12106"/>
    <d v="2030-05-27T00:00:00"/>
    <x v="4"/>
    <x v="4"/>
    <x v="9"/>
    <x v="1"/>
    <x v="4"/>
    <s v="Small Business"/>
    <s v="Distributor"/>
    <x v="3"/>
    <n v="4"/>
    <n v="2967.93"/>
    <n v="5"/>
    <n v="11278.15"/>
    <x v="1"/>
  </r>
  <r>
    <s v="ORD10679"/>
    <d v="2030-05-28T00:00:00"/>
    <x v="1"/>
    <x v="4"/>
    <x v="9"/>
    <x v="3"/>
    <x v="3"/>
    <s v="Home Office"/>
    <s v="Online"/>
    <x v="3"/>
    <n v="3"/>
    <n v="39846.36"/>
    <n v="5"/>
    <n v="113562.13"/>
    <x v="0"/>
  </r>
  <r>
    <s v="ORD11402"/>
    <d v="2030-05-29T00:00:00"/>
    <x v="3"/>
    <x v="4"/>
    <x v="2"/>
    <x v="0"/>
    <x v="6"/>
    <s v="Corporate"/>
    <s v="Online"/>
    <x v="0"/>
    <n v="2"/>
    <n v="63849.47"/>
    <n v="20"/>
    <n v="102159.15"/>
    <x v="3"/>
  </r>
  <r>
    <s v="ORD11185"/>
    <d v="2030-05-30T00:00:00"/>
    <x v="2"/>
    <x v="4"/>
    <x v="2"/>
    <x v="4"/>
    <x v="9"/>
    <s v="Consumer"/>
    <s v="Retail Store"/>
    <x v="0"/>
    <n v="1"/>
    <n v="45647.14"/>
    <n v="0"/>
    <n v="45647.14"/>
    <x v="3"/>
  </r>
  <r>
    <s v="ORD11722"/>
    <d v="2030-05-31T00:00:00"/>
    <x v="4"/>
    <x v="4"/>
    <x v="2"/>
    <x v="4"/>
    <x v="12"/>
    <s v="Small Business"/>
    <s v="Online"/>
    <x v="3"/>
    <n v="4"/>
    <n v="32789.51"/>
    <n v="15"/>
    <n v="111484.34"/>
    <x v="3"/>
  </r>
  <r>
    <s v="ORD10406"/>
    <d v="2030-06-01T00:00:00"/>
    <x v="1"/>
    <x v="5"/>
    <x v="5"/>
    <x v="4"/>
    <x v="10"/>
    <s v="Home Office"/>
    <s v="Distributor"/>
    <x v="2"/>
    <n v="2"/>
    <n v="41017.31"/>
    <n v="0"/>
    <n v="82034.62"/>
    <x v="2"/>
  </r>
  <r>
    <s v="ORD10341"/>
    <d v="2030-06-02T00:00:00"/>
    <x v="0"/>
    <x v="5"/>
    <x v="4"/>
    <x v="4"/>
    <x v="5"/>
    <s v="Small Business"/>
    <s v="Distributor"/>
    <x v="4"/>
    <n v="2"/>
    <n v="35530.910000000003"/>
    <n v="20"/>
    <n v="56849.46"/>
    <x v="3"/>
  </r>
  <r>
    <s v="ORD10523"/>
    <d v="2030-06-03T00:00:00"/>
    <x v="4"/>
    <x v="5"/>
    <x v="9"/>
    <x v="2"/>
    <x v="2"/>
    <s v="Consumer"/>
    <s v="Retail Store"/>
    <x v="0"/>
    <n v="1"/>
    <n v="5691.75"/>
    <n v="15"/>
    <n v="4837.99"/>
    <x v="3"/>
  </r>
  <r>
    <s v="ORD11222"/>
    <d v="2030-06-04T00:00:00"/>
    <x v="3"/>
    <x v="5"/>
    <x v="8"/>
    <x v="2"/>
    <x v="17"/>
    <s v="Corporate"/>
    <s v="Retail Store"/>
    <x v="1"/>
    <n v="4"/>
    <n v="7849.82"/>
    <n v="10"/>
    <n v="28259.360000000001"/>
    <x v="3"/>
  </r>
  <r>
    <s v="ORD10136"/>
    <d v="2030-06-05T00:00:00"/>
    <x v="2"/>
    <x v="5"/>
    <x v="0"/>
    <x v="3"/>
    <x v="7"/>
    <s v="Home Office"/>
    <s v="Retail Store"/>
    <x v="1"/>
    <n v="3"/>
    <n v="32878.75"/>
    <n v="5"/>
    <n v="93704.43"/>
    <x v="1"/>
  </r>
  <r>
    <s v="ORD11564"/>
    <d v="2030-06-06T00:00:00"/>
    <x v="3"/>
    <x v="5"/>
    <x v="7"/>
    <x v="3"/>
    <x v="7"/>
    <s v="Consumer"/>
    <s v="Distributor"/>
    <x v="4"/>
    <n v="4"/>
    <n v="29701.040000000001"/>
    <n v="20"/>
    <n v="95043.32"/>
    <x v="3"/>
  </r>
  <r>
    <s v="ORD11589"/>
    <d v="2030-06-07T00:00:00"/>
    <x v="2"/>
    <x v="5"/>
    <x v="5"/>
    <x v="0"/>
    <x v="0"/>
    <s v="Small Business"/>
    <s v="Distributor"/>
    <x v="3"/>
    <n v="1"/>
    <n v="67118.27"/>
    <n v="0"/>
    <n v="67118.27"/>
    <x v="1"/>
  </r>
  <r>
    <s v="ORD10599"/>
    <d v="2030-06-08T00:00:00"/>
    <x v="4"/>
    <x v="5"/>
    <x v="9"/>
    <x v="4"/>
    <x v="5"/>
    <s v="Small Business"/>
    <s v="Distributor"/>
    <x v="2"/>
    <n v="2"/>
    <n v="47016.63"/>
    <n v="10"/>
    <n v="84629.93"/>
    <x v="1"/>
  </r>
  <r>
    <s v="ORD12155"/>
    <d v="2030-06-09T00:00:00"/>
    <x v="0"/>
    <x v="5"/>
    <x v="9"/>
    <x v="3"/>
    <x v="7"/>
    <s v="Consumer"/>
    <s v="Retail Store"/>
    <x v="1"/>
    <n v="4"/>
    <n v="30468.47"/>
    <n v="0"/>
    <n v="121873.88"/>
    <x v="1"/>
  </r>
  <r>
    <s v="ORD12475"/>
    <d v="2030-06-10T00:00:00"/>
    <x v="1"/>
    <x v="5"/>
    <x v="9"/>
    <x v="0"/>
    <x v="8"/>
    <s v="Consumer"/>
    <s v="Distributor"/>
    <x v="4"/>
    <n v="4"/>
    <n v="56015.48"/>
    <n v="10"/>
    <n v="201655.74"/>
    <x v="1"/>
  </r>
  <r>
    <s v="ORD10546"/>
    <d v="2030-06-11T00:00:00"/>
    <x v="4"/>
    <x v="5"/>
    <x v="5"/>
    <x v="1"/>
    <x v="13"/>
    <s v="Corporate"/>
    <s v="Distributor"/>
    <x v="0"/>
    <n v="5"/>
    <n v="2075.69"/>
    <n v="20"/>
    <n v="8302.75"/>
    <x v="3"/>
  </r>
  <r>
    <s v="ORD10152"/>
    <d v="2030-06-12T00:00:00"/>
    <x v="4"/>
    <x v="5"/>
    <x v="1"/>
    <x v="4"/>
    <x v="12"/>
    <s v="Consumer"/>
    <s v="Distributor"/>
    <x v="0"/>
    <n v="3"/>
    <n v="47975.63"/>
    <n v="5"/>
    <n v="136730.56"/>
    <x v="2"/>
  </r>
  <r>
    <s v="ORD10739"/>
    <d v="2030-06-13T00:00:00"/>
    <x v="4"/>
    <x v="5"/>
    <x v="1"/>
    <x v="2"/>
    <x v="11"/>
    <s v="Small Business"/>
    <s v="Online"/>
    <x v="2"/>
    <n v="3"/>
    <n v="7083.85"/>
    <n v="5"/>
    <n v="20188.97"/>
    <x v="0"/>
  </r>
  <r>
    <s v="ORD10888"/>
    <d v="2030-06-14T00:00:00"/>
    <x v="2"/>
    <x v="5"/>
    <x v="0"/>
    <x v="2"/>
    <x v="17"/>
    <s v="Home Office"/>
    <s v="Distributor"/>
    <x v="1"/>
    <n v="4"/>
    <n v="6771.94"/>
    <n v="15"/>
    <n v="23024.6"/>
    <x v="3"/>
  </r>
  <r>
    <s v="ORD10752"/>
    <d v="2030-06-15T00:00:00"/>
    <x v="3"/>
    <x v="5"/>
    <x v="3"/>
    <x v="3"/>
    <x v="19"/>
    <s v="Consumer"/>
    <s v="Distributor"/>
    <x v="4"/>
    <n v="4"/>
    <n v="30210.81"/>
    <n v="15"/>
    <n v="102716.74"/>
    <x v="3"/>
  </r>
  <r>
    <s v="ORD10114"/>
    <d v="2030-06-16T00:00:00"/>
    <x v="2"/>
    <x v="5"/>
    <x v="4"/>
    <x v="1"/>
    <x v="14"/>
    <s v="Small Business"/>
    <s v="Online"/>
    <x v="4"/>
    <n v="1"/>
    <n v="2250.46"/>
    <n v="10"/>
    <n v="2025.41"/>
    <x v="1"/>
  </r>
  <r>
    <s v="ORD12437"/>
    <d v="2030-06-17T00:00:00"/>
    <x v="0"/>
    <x v="5"/>
    <x v="8"/>
    <x v="4"/>
    <x v="12"/>
    <s v="Home Office"/>
    <s v="Online"/>
    <x v="2"/>
    <n v="4"/>
    <n v="39696.199999999997"/>
    <n v="10"/>
    <n v="142906.31"/>
    <x v="3"/>
  </r>
  <r>
    <s v="ORD11542"/>
    <d v="2030-06-18T00:00:00"/>
    <x v="2"/>
    <x v="5"/>
    <x v="1"/>
    <x v="0"/>
    <x v="6"/>
    <s v="Small Business"/>
    <s v="Online"/>
    <x v="3"/>
    <n v="1"/>
    <n v="56533.06"/>
    <n v="15"/>
    <n v="48053.1"/>
    <x v="3"/>
  </r>
  <r>
    <s v="ORD10232"/>
    <d v="2030-06-19T00:00:00"/>
    <x v="3"/>
    <x v="5"/>
    <x v="0"/>
    <x v="1"/>
    <x v="14"/>
    <s v="Home Office"/>
    <s v="Retail Store"/>
    <x v="1"/>
    <n v="1"/>
    <n v="2669.98"/>
    <n v="0"/>
    <n v="2669.98"/>
    <x v="3"/>
  </r>
  <r>
    <s v="ORD11415"/>
    <d v="2030-06-20T00:00:00"/>
    <x v="3"/>
    <x v="5"/>
    <x v="8"/>
    <x v="3"/>
    <x v="19"/>
    <s v="Home Office"/>
    <s v="Online"/>
    <x v="0"/>
    <n v="3"/>
    <n v="35242.400000000001"/>
    <n v="5"/>
    <n v="100440.84"/>
    <x v="0"/>
  </r>
  <r>
    <s v="ORD11125"/>
    <d v="2030-06-21T00:00:00"/>
    <x v="3"/>
    <x v="5"/>
    <x v="1"/>
    <x v="2"/>
    <x v="16"/>
    <s v="Home Office"/>
    <s v="Distributor"/>
    <x v="2"/>
    <n v="1"/>
    <n v="4905.7700000000004"/>
    <n v="15"/>
    <n v="4169.91"/>
    <x v="0"/>
  </r>
  <r>
    <s v="ORD12054"/>
    <d v="2030-06-22T00:00:00"/>
    <x v="1"/>
    <x v="5"/>
    <x v="2"/>
    <x v="0"/>
    <x v="0"/>
    <s v="Home Office"/>
    <s v="Online"/>
    <x v="0"/>
    <n v="3"/>
    <n v="51348.3"/>
    <n v="10"/>
    <n v="138640.41"/>
    <x v="2"/>
  </r>
  <r>
    <s v="ORD12279"/>
    <d v="2030-06-23T00:00:00"/>
    <x v="3"/>
    <x v="5"/>
    <x v="7"/>
    <x v="2"/>
    <x v="16"/>
    <s v="Home Office"/>
    <s v="Online"/>
    <x v="0"/>
    <n v="4"/>
    <n v="7663.92"/>
    <n v="15"/>
    <n v="26057.34"/>
    <x v="1"/>
  </r>
  <r>
    <s v="ORD10410"/>
    <d v="2030-06-24T00:00:00"/>
    <x v="1"/>
    <x v="5"/>
    <x v="0"/>
    <x v="3"/>
    <x v="3"/>
    <s v="Home Office"/>
    <s v="Online"/>
    <x v="3"/>
    <n v="4"/>
    <n v="35435.18"/>
    <n v="10"/>
    <n v="127566.64"/>
    <x v="3"/>
  </r>
  <r>
    <s v="ORD10253"/>
    <d v="2030-06-25T00:00:00"/>
    <x v="0"/>
    <x v="5"/>
    <x v="5"/>
    <x v="1"/>
    <x v="14"/>
    <s v="Home Office"/>
    <s v="Online"/>
    <x v="1"/>
    <n v="5"/>
    <n v="3037.85"/>
    <n v="5"/>
    <n v="14429.77"/>
    <x v="3"/>
  </r>
  <r>
    <s v="ORD10857"/>
    <d v="2030-06-26T00:00:00"/>
    <x v="4"/>
    <x v="5"/>
    <x v="2"/>
    <x v="2"/>
    <x v="17"/>
    <s v="Small Business"/>
    <s v="Retail Store"/>
    <x v="2"/>
    <n v="3"/>
    <n v="7164.1"/>
    <n v="20"/>
    <n v="17193.830000000002"/>
    <x v="0"/>
  </r>
  <r>
    <s v="ORD12053"/>
    <d v="2030-06-27T00:00:00"/>
    <x v="0"/>
    <x v="5"/>
    <x v="6"/>
    <x v="2"/>
    <x v="11"/>
    <s v="Consumer"/>
    <s v="Retail Store"/>
    <x v="4"/>
    <n v="2"/>
    <n v="5688.13"/>
    <n v="0"/>
    <n v="11376.26"/>
    <x v="1"/>
  </r>
  <r>
    <s v="ORD11595"/>
    <d v="2030-06-28T00:00:00"/>
    <x v="0"/>
    <x v="5"/>
    <x v="0"/>
    <x v="3"/>
    <x v="19"/>
    <s v="Home Office"/>
    <s v="Retail Store"/>
    <x v="4"/>
    <n v="5"/>
    <n v="24552.15"/>
    <n v="20"/>
    <n v="98208.58"/>
    <x v="3"/>
  </r>
  <r>
    <s v="ORD12178"/>
    <d v="2030-06-29T00:00:00"/>
    <x v="3"/>
    <x v="5"/>
    <x v="3"/>
    <x v="0"/>
    <x v="8"/>
    <s v="Small Business"/>
    <s v="Retail Store"/>
    <x v="0"/>
    <n v="2"/>
    <n v="61703.360000000001"/>
    <n v="0"/>
    <n v="123406.73"/>
    <x v="3"/>
  </r>
  <r>
    <s v="ORD12231"/>
    <d v="2030-06-30T00:00:00"/>
    <x v="3"/>
    <x v="5"/>
    <x v="5"/>
    <x v="3"/>
    <x v="19"/>
    <s v="Corporate"/>
    <s v="Distributor"/>
    <x v="4"/>
    <n v="2"/>
    <n v="29843.81"/>
    <n v="0"/>
    <n v="59687.61"/>
    <x v="1"/>
  </r>
  <r>
    <s v="ORD10899"/>
    <d v="2030-07-01T00:00:00"/>
    <x v="3"/>
    <x v="6"/>
    <x v="5"/>
    <x v="4"/>
    <x v="5"/>
    <s v="Home Office"/>
    <s v="Online"/>
    <x v="2"/>
    <n v="2"/>
    <n v="38873.769999999997"/>
    <n v="5"/>
    <n v="73860.17"/>
    <x v="0"/>
  </r>
  <r>
    <s v="ORD12303"/>
    <d v="2030-07-02T00:00:00"/>
    <x v="0"/>
    <x v="6"/>
    <x v="7"/>
    <x v="1"/>
    <x v="13"/>
    <s v="Corporate"/>
    <s v="Online"/>
    <x v="4"/>
    <n v="5"/>
    <n v="3100.22"/>
    <n v="5"/>
    <n v="14726.05"/>
    <x v="0"/>
  </r>
  <r>
    <s v="ORD11246"/>
    <d v="2030-07-03T00:00:00"/>
    <x v="3"/>
    <x v="6"/>
    <x v="2"/>
    <x v="3"/>
    <x v="19"/>
    <s v="Small Business"/>
    <s v="Distributor"/>
    <x v="4"/>
    <n v="3"/>
    <n v="31785.7"/>
    <n v="10"/>
    <n v="85821.38"/>
    <x v="1"/>
  </r>
  <r>
    <s v="ORD11254"/>
    <d v="2030-07-04T00:00:00"/>
    <x v="1"/>
    <x v="6"/>
    <x v="2"/>
    <x v="0"/>
    <x v="6"/>
    <s v="Home Office"/>
    <s v="Online"/>
    <x v="0"/>
    <n v="4"/>
    <n v="56177.53"/>
    <n v="10"/>
    <n v="202239.11"/>
    <x v="0"/>
  </r>
  <r>
    <s v="ORD10055"/>
    <d v="2030-07-05T00:00:00"/>
    <x v="3"/>
    <x v="6"/>
    <x v="9"/>
    <x v="2"/>
    <x v="11"/>
    <s v="Consumer"/>
    <s v="Online"/>
    <x v="2"/>
    <n v="3"/>
    <n v="8075.83"/>
    <n v="10"/>
    <n v="21804.74"/>
    <x v="3"/>
  </r>
  <r>
    <s v="ORD10808"/>
    <d v="2030-07-06T00:00:00"/>
    <x v="0"/>
    <x v="6"/>
    <x v="8"/>
    <x v="3"/>
    <x v="19"/>
    <s v="Small Business"/>
    <s v="Distributor"/>
    <x v="2"/>
    <n v="1"/>
    <n v="30485.23"/>
    <n v="0"/>
    <n v="30485.23"/>
    <x v="1"/>
  </r>
  <r>
    <s v="ORD12242"/>
    <d v="2030-07-07T00:00:00"/>
    <x v="4"/>
    <x v="6"/>
    <x v="7"/>
    <x v="1"/>
    <x v="1"/>
    <s v="Corporate"/>
    <s v="Online"/>
    <x v="3"/>
    <n v="3"/>
    <n v="2409.0300000000002"/>
    <n v="15"/>
    <n v="6143.03"/>
    <x v="3"/>
  </r>
  <r>
    <s v="ORD12239"/>
    <d v="2030-07-08T00:00:00"/>
    <x v="0"/>
    <x v="6"/>
    <x v="1"/>
    <x v="2"/>
    <x v="16"/>
    <s v="Consumer"/>
    <s v="Online"/>
    <x v="2"/>
    <n v="3"/>
    <n v="5274.06"/>
    <n v="0"/>
    <n v="15822.19"/>
    <x v="3"/>
  </r>
  <r>
    <s v="ORD10650"/>
    <d v="2030-07-09T00:00:00"/>
    <x v="4"/>
    <x v="6"/>
    <x v="4"/>
    <x v="1"/>
    <x v="13"/>
    <s v="Small Business"/>
    <s v="Distributor"/>
    <x v="4"/>
    <n v="2"/>
    <n v="2887.91"/>
    <n v="0"/>
    <n v="5775.83"/>
    <x v="3"/>
  </r>
  <r>
    <s v="ORD12045"/>
    <d v="2030-07-10T00:00:00"/>
    <x v="1"/>
    <x v="6"/>
    <x v="0"/>
    <x v="3"/>
    <x v="15"/>
    <s v="Small Business"/>
    <s v="Distributor"/>
    <x v="3"/>
    <n v="4"/>
    <n v="31202.25"/>
    <n v="15"/>
    <n v="106087.64"/>
    <x v="3"/>
  </r>
  <r>
    <s v="ORD10084"/>
    <d v="2030-07-11T00:00:00"/>
    <x v="3"/>
    <x v="6"/>
    <x v="9"/>
    <x v="0"/>
    <x v="18"/>
    <s v="Consumer"/>
    <s v="Distributor"/>
    <x v="2"/>
    <n v="3"/>
    <n v="67204.17"/>
    <n v="0"/>
    <n v="201612.51"/>
    <x v="1"/>
  </r>
  <r>
    <s v="ORD10140"/>
    <d v="2030-07-12T00:00:00"/>
    <x v="0"/>
    <x v="6"/>
    <x v="3"/>
    <x v="2"/>
    <x v="11"/>
    <s v="Home Office"/>
    <s v="Distributor"/>
    <x v="0"/>
    <n v="4"/>
    <n v="8026.52"/>
    <n v="10"/>
    <n v="28895.49"/>
    <x v="1"/>
  </r>
  <r>
    <s v="ORD11268"/>
    <d v="2030-07-13T00:00:00"/>
    <x v="0"/>
    <x v="6"/>
    <x v="8"/>
    <x v="1"/>
    <x v="13"/>
    <s v="Corporate"/>
    <s v="Distributor"/>
    <x v="1"/>
    <n v="2"/>
    <n v="2042.49"/>
    <n v="0"/>
    <n v="4084.97"/>
    <x v="1"/>
  </r>
  <r>
    <s v="ORD10148"/>
    <d v="2030-07-14T00:00:00"/>
    <x v="0"/>
    <x v="6"/>
    <x v="1"/>
    <x v="3"/>
    <x v="19"/>
    <s v="Consumer"/>
    <s v="Online"/>
    <x v="0"/>
    <n v="5"/>
    <n v="28118.27"/>
    <n v="20"/>
    <n v="112473.07"/>
    <x v="1"/>
  </r>
  <r>
    <s v="ORD10685"/>
    <d v="2030-07-15T00:00:00"/>
    <x v="1"/>
    <x v="6"/>
    <x v="9"/>
    <x v="0"/>
    <x v="8"/>
    <s v="Home Office"/>
    <s v="Online"/>
    <x v="1"/>
    <n v="2"/>
    <n v="45789.14"/>
    <n v="10"/>
    <n v="82420.460000000006"/>
    <x v="3"/>
  </r>
  <r>
    <s v="ORD11128"/>
    <d v="2030-07-16T00:00:00"/>
    <x v="4"/>
    <x v="6"/>
    <x v="6"/>
    <x v="4"/>
    <x v="10"/>
    <s v="Consumer"/>
    <s v="Distributor"/>
    <x v="0"/>
    <n v="1"/>
    <n v="31818.2"/>
    <n v="0"/>
    <n v="31818.2"/>
    <x v="3"/>
  </r>
  <r>
    <s v="ORD12422"/>
    <d v="2030-07-17T00:00:00"/>
    <x v="2"/>
    <x v="6"/>
    <x v="9"/>
    <x v="1"/>
    <x v="4"/>
    <s v="Consumer"/>
    <s v="Distributor"/>
    <x v="1"/>
    <n v="3"/>
    <n v="2649.34"/>
    <n v="0"/>
    <n v="7948.03"/>
    <x v="0"/>
  </r>
  <r>
    <s v="ORD10984"/>
    <d v="2030-07-18T00:00:00"/>
    <x v="3"/>
    <x v="6"/>
    <x v="2"/>
    <x v="4"/>
    <x v="9"/>
    <s v="Home Office"/>
    <s v="Distributor"/>
    <x v="3"/>
    <n v="3"/>
    <n v="34043.07"/>
    <n v="0"/>
    <n v="102129.21"/>
    <x v="3"/>
  </r>
  <r>
    <s v="ORD12327"/>
    <d v="2030-07-19T00:00:00"/>
    <x v="2"/>
    <x v="6"/>
    <x v="2"/>
    <x v="3"/>
    <x v="7"/>
    <s v="Small Business"/>
    <s v="Online"/>
    <x v="0"/>
    <n v="5"/>
    <n v="25090.7"/>
    <n v="10"/>
    <n v="112908.16"/>
    <x v="1"/>
  </r>
  <r>
    <s v="ORD11396"/>
    <d v="2030-07-20T00:00:00"/>
    <x v="2"/>
    <x v="6"/>
    <x v="5"/>
    <x v="4"/>
    <x v="12"/>
    <s v="Corporate"/>
    <s v="Distributor"/>
    <x v="0"/>
    <n v="4"/>
    <n v="34783.949999999997"/>
    <n v="10"/>
    <n v="125222.22"/>
    <x v="2"/>
  </r>
  <r>
    <s v="ORD11436"/>
    <d v="2030-07-21T00:00:00"/>
    <x v="3"/>
    <x v="6"/>
    <x v="8"/>
    <x v="2"/>
    <x v="11"/>
    <s v="Small Business"/>
    <s v="Retail Store"/>
    <x v="2"/>
    <n v="2"/>
    <n v="7398.43"/>
    <n v="0"/>
    <n v="14796.85"/>
    <x v="0"/>
  </r>
  <r>
    <s v="ORD11491"/>
    <d v="2030-07-22T00:00:00"/>
    <x v="2"/>
    <x v="6"/>
    <x v="4"/>
    <x v="2"/>
    <x v="11"/>
    <s v="Small Business"/>
    <s v="Distributor"/>
    <x v="2"/>
    <n v="1"/>
    <n v="5140.2700000000004"/>
    <n v="5"/>
    <n v="4883.25"/>
    <x v="1"/>
  </r>
  <r>
    <s v="ORD12444"/>
    <d v="2030-07-23T00:00:00"/>
    <x v="3"/>
    <x v="6"/>
    <x v="1"/>
    <x v="0"/>
    <x v="8"/>
    <s v="Consumer"/>
    <s v="Online"/>
    <x v="1"/>
    <n v="2"/>
    <n v="67852.66"/>
    <n v="10"/>
    <n v="122134.79"/>
    <x v="1"/>
  </r>
  <r>
    <s v="ORD10958"/>
    <d v="2030-07-24T00:00:00"/>
    <x v="0"/>
    <x v="6"/>
    <x v="8"/>
    <x v="1"/>
    <x v="4"/>
    <s v="Consumer"/>
    <s v="Distributor"/>
    <x v="2"/>
    <n v="3"/>
    <n v="2513.5300000000002"/>
    <n v="10"/>
    <n v="6786.54"/>
    <x v="3"/>
  </r>
  <r>
    <s v="ORD11940"/>
    <d v="2030-07-25T00:00:00"/>
    <x v="3"/>
    <x v="6"/>
    <x v="0"/>
    <x v="4"/>
    <x v="10"/>
    <s v="Home Office"/>
    <s v="Distributor"/>
    <x v="2"/>
    <n v="3"/>
    <n v="43303.98"/>
    <n v="0"/>
    <n v="129911.94"/>
    <x v="3"/>
  </r>
  <r>
    <s v="ORD11466"/>
    <d v="2030-07-26T00:00:00"/>
    <x v="2"/>
    <x v="6"/>
    <x v="3"/>
    <x v="2"/>
    <x v="11"/>
    <s v="Consumer"/>
    <s v="Online"/>
    <x v="4"/>
    <n v="3"/>
    <n v="7264.52"/>
    <n v="5"/>
    <n v="20703.89"/>
    <x v="2"/>
  </r>
  <r>
    <s v="ORD12099"/>
    <d v="2030-07-27T00:00:00"/>
    <x v="1"/>
    <x v="6"/>
    <x v="7"/>
    <x v="2"/>
    <x v="16"/>
    <s v="Small Business"/>
    <s v="Retail Store"/>
    <x v="2"/>
    <n v="4"/>
    <n v="6767.92"/>
    <n v="0"/>
    <n v="27071.7"/>
    <x v="0"/>
  </r>
  <r>
    <s v="ORD12341"/>
    <d v="2030-07-28T00:00:00"/>
    <x v="1"/>
    <x v="6"/>
    <x v="2"/>
    <x v="2"/>
    <x v="16"/>
    <s v="Home Office"/>
    <s v="Online"/>
    <x v="2"/>
    <n v="2"/>
    <n v="6053.2"/>
    <n v="0"/>
    <n v="12106.41"/>
    <x v="2"/>
  </r>
  <r>
    <s v="ORD11134"/>
    <d v="2030-07-29T00:00:00"/>
    <x v="0"/>
    <x v="6"/>
    <x v="6"/>
    <x v="1"/>
    <x v="4"/>
    <s v="Home Office"/>
    <s v="Distributor"/>
    <x v="2"/>
    <n v="1"/>
    <n v="2243.54"/>
    <n v="15"/>
    <n v="1907.01"/>
    <x v="0"/>
  </r>
  <r>
    <s v="ORD10513"/>
    <d v="2030-07-30T00:00:00"/>
    <x v="1"/>
    <x v="6"/>
    <x v="1"/>
    <x v="4"/>
    <x v="12"/>
    <s v="Small Business"/>
    <s v="Online"/>
    <x v="4"/>
    <n v="3"/>
    <n v="40617.72"/>
    <n v="15"/>
    <n v="103575.18"/>
    <x v="0"/>
  </r>
  <r>
    <s v="ORD11205"/>
    <d v="2030-07-31T00:00:00"/>
    <x v="0"/>
    <x v="6"/>
    <x v="6"/>
    <x v="2"/>
    <x v="2"/>
    <s v="Corporate"/>
    <s v="Online"/>
    <x v="2"/>
    <n v="5"/>
    <n v="5368.57"/>
    <n v="15"/>
    <n v="22816.43"/>
    <x v="0"/>
  </r>
  <r>
    <s v="ORD11743"/>
    <d v="2030-08-01T00:00:00"/>
    <x v="0"/>
    <x v="7"/>
    <x v="4"/>
    <x v="3"/>
    <x v="3"/>
    <s v="Consumer"/>
    <s v="Retail Store"/>
    <x v="1"/>
    <n v="3"/>
    <n v="27041.34"/>
    <n v="10"/>
    <n v="73011.61"/>
    <x v="3"/>
  </r>
  <r>
    <s v="ORD11259"/>
    <d v="2030-08-02T00:00:00"/>
    <x v="1"/>
    <x v="7"/>
    <x v="6"/>
    <x v="3"/>
    <x v="3"/>
    <s v="Small Business"/>
    <s v="Distributor"/>
    <x v="1"/>
    <n v="3"/>
    <n v="35115.4"/>
    <n v="15"/>
    <n v="89544.28"/>
    <x v="3"/>
  </r>
  <r>
    <s v="ORD11648"/>
    <d v="2030-08-03T00:00:00"/>
    <x v="3"/>
    <x v="7"/>
    <x v="0"/>
    <x v="2"/>
    <x v="2"/>
    <s v="Home Office"/>
    <s v="Online"/>
    <x v="2"/>
    <n v="3"/>
    <n v="6268.83"/>
    <n v="15"/>
    <n v="15985.51"/>
    <x v="0"/>
  </r>
  <r>
    <s v="ORD10203"/>
    <d v="2030-08-04T00:00:00"/>
    <x v="0"/>
    <x v="7"/>
    <x v="1"/>
    <x v="3"/>
    <x v="7"/>
    <s v="Small Business"/>
    <s v="Retail Store"/>
    <x v="4"/>
    <n v="2"/>
    <n v="25952.14"/>
    <n v="5"/>
    <n v="49309.08"/>
    <x v="1"/>
  </r>
  <r>
    <s v="ORD12402"/>
    <d v="2030-08-05T00:00:00"/>
    <x v="2"/>
    <x v="7"/>
    <x v="1"/>
    <x v="3"/>
    <x v="15"/>
    <s v="Home Office"/>
    <s v="Online"/>
    <x v="2"/>
    <n v="5"/>
    <n v="38191.440000000002"/>
    <n v="20"/>
    <n v="152765.76000000001"/>
    <x v="1"/>
  </r>
  <r>
    <s v="ORD11306"/>
    <d v="2030-08-06T00:00:00"/>
    <x v="1"/>
    <x v="7"/>
    <x v="2"/>
    <x v="3"/>
    <x v="19"/>
    <s v="Corporate"/>
    <s v="Distributor"/>
    <x v="3"/>
    <n v="4"/>
    <n v="31060.560000000001"/>
    <n v="20"/>
    <n v="99393.8"/>
    <x v="2"/>
  </r>
  <r>
    <s v="ORD10302"/>
    <d v="2030-08-07T00:00:00"/>
    <x v="1"/>
    <x v="7"/>
    <x v="2"/>
    <x v="3"/>
    <x v="3"/>
    <s v="Corporate"/>
    <s v="Distributor"/>
    <x v="1"/>
    <n v="2"/>
    <n v="24433.75"/>
    <n v="5"/>
    <n v="46424.12"/>
    <x v="3"/>
  </r>
  <r>
    <s v="ORD10276"/>
    <d v="2030-08-08T00:00:00"/>
    <x v="0"/>
    <x v="7"/>
    <x v="4"/>
    <x v="3"/>
    <x v="7"/>
    <s v="Home Office"/>
    <s v="Online"/>
    <x v="2"/>
    <n v="3"/>
    <n v="39033.82"/>
    <n v="5"/>
    <n v="111246.38"/>
    <x v="2"/>
  </r>
  <r>
    <s v="ORD11773"/>
    <d v="2030-08-09T00:00:00"/>
    <x v="3"/>
    <x v="7"/>
    <x v="0"/>
    <x v="3"/>
    <x v="3"/>
    <s v="Corporate"/>
    <s v="Online"/>
    <x v="4"/>
    <n v="1"/>
    <n v="30912.53"/>
    <n v="0"/>
    <n v="30912.53"/>
    <x v="3"/>
  </r>
  <r>
    <s v="ORD10225"/>
    <d v="2030-08-10T00:00:00"/>
    <x v="3"/>
    <x v="7"/>
    <x v="4"/>
    <x v="4"/>
    <x v="5"/>
    <s v="Consumer"/>
    <s v="Retail Store"/>
    <x v="0"/>
    <n v="5"/>
    <n v="40563.53"/>
    <n v="5"/>
    <n v="192676.78"/>
    <x v="2"/>
  </r>
  <r>
    <s v="ORD12143"/>
    <d v="2030-08-11T00:00:00"/>
    <x v="3"/>
    <x v="7"/>
    <x v="6"/>
    <x v="1"/>
    <x v="14"/>
    <s v="Consumer"/>
    <s v="Online"/>
    <x v="0"/>
    <n v="4"/>
    <n v="2197.81"/>
    <n v="0"/>
    <n v="8791.24"/>
    <x v="2"/>
  </r>
  <r>
    <s v="ORD10636"/>
    <d v="2030-08-12T00:00:00"/>
    <x v="3"/>
    <x v="7"/>
    <x v="5"/>
    <x v="1"/>
    <x v="1"/>
    <s v="Small Business"/>
    <s v="Retail Store"/>
    <x v="0"/>
    <n v="3"/>
    <n v="2365.91"/>
    <n v="10"/>
    <n v="6387.95"/>
    <x v="3"/>
  </r>
  <r>
    <s v="ORD10003"/>
    <d v="2030-08-13T00:00:00"/>
    <x v="0"/>
    <x v="7"/>
    <x v="2"/>
    <x v="1"/>
    <x v="4"/>
    <s v="Small Business"/>
    <s v="Distributor"/>
    <x v="1"/>
    <n v="5"/>
    <n v="2328.6"/>
    <n v="10"/>
    <n v="10478.709999999999"/>
    <x v="0"/>
  </r>
  <r>
    <s v="ORD11568"/>
    <d v="2030-08-14T00:00:00"/>
    <x v="1"/>
    <x v="7"/>
    <x v="9"/>
    <x v="1"/>
    <x v="14"/>
    <s v="Consumer"/>
    <s v="Online"/>
    <x v="3"/>
    <n v="5"/>
    <n v="2486.58"/>
    <n v="10"/>
    <n v="11189.62"/>
    <x v="2"/>
  </r>
  <r>
    <s v="ORD12480"/>
    <d v="2030-08-15T00:00:00"/>
    <x v="3"/>
    <x v="7"/>
    <x v="2"/>
    <x v="0"/>
    <x v="18"/>
    <s v="Consumer"/>
    <s v="Distributor"/>
    <x v="0"/>
    <n v="3"/>
    <n v="43581.43"/>
    <n v="10"/>
    <n v="117669.85"/>
    <x v="3"/>
  </r>
  <r>
    <s v="ORD11960"/>
    <d v="2030-08-16T00:00:00"/>
    <x v="3"/>
    <x v="7"/>
    <x v="1"/>
    <x v="0"/>
    <x v="6"/>
    <s v="Consumer"/>
    <s v="Distributor"/>
    <x v="0"/>
    <n v="5"/>
    <n v="59054.91"/>
    <n v="15"/>
    <n v="250983.35"/>
    <x v="0"/>
  </r>
  <r>
    <s v="ORD11279"/>
    <d v="2030-08-17T00:00:00"/>
    <x v="2"/>
    <x v="7"/>
    <x v="4"/>
    <x v="2"/>
    <x v="11"/>
    <s v="Small Business"/>
    <s v="Online"/>
    <x v="0"/>
    <n v="5"/>
    <n v="6775.65"/>
    <n v="5"/>
    <n v="32184.35"/>
    <x v="2"/>
  </r>
  <r>
    <s v="ORD11037"/>
    <d v="2030-08-18T00:00:00"/>
    <x v="4"/>
    <x v="7"/>
    <x v="9"/>
    <x v="0"/>
    <x v="8"/>
    <s v="Consumer"/>
    <s v="Retail Store"/>
    <x v="3"/>
    <n v="4"/>
    <n v="66243.520000000004"/>
    <n v="5"/>
    <n v="251725.37"/>
    <x v="3"/>
  </r>
  <r>
    <s v="ORD10081"/>
    <d v="2030-08-19T00:00:00"/>
    <x v="2"/>
    <x v="7"/>
    <x v="2"/>
    <x v="0"/>
    <x v="8"/>
    <s v="Corporate"/>
    <s v="Online"/>
    <x v="0"/>
    <n v="2"/>
    <n v="54637.38"/>
    <n v="5"/>
    <n v="103811.02"/>
    <x v="0"/>
  </r>
  <r>
    <s v="ORD10772"/>
    <d v="2030-08-20T00:00:00"/>
    <x v="1"/>
    <x v="7"/>
    <x v="0"/>
    <x v="3"/>
    <x v="7"/>
    <s v="Home Office"/>
    <s v="Online"/>
    <x v="2"/>
    <n v="3"/>
    <n v="33412.21"/>
    <n v="10"/>
    <n v="90212.96"/>
    <x v="3"/>
  </r>
  <r>
    <s v="ORD11216"/>
    <d v="2030-08-21T00:00:00"/>
    <x v="3"/>
    <x v="7"/>
    <x v="9"/>
    <x v="4"/>
    <x v="9"/>
    <s v="Corporate"/>
    <s v="Retail Store"/>
    <x v="0"/>
    <n v="1"/>
    <n v="51380.36"/>
    <n v="0"/>
    <n v="51380.36"/>
    <x v="3"/>
  </r>
  <r>
    <s v="ORD10494"/>
    <d v="2030-08-22T00:00:00"/>
    <x v="3"/>
    <x v="7"/>
    <x v="8"/>
    <x v="0"/>
    <x v="0"/>
    <s v="Consumer"/>
    <s v="Online"/>
    <x v="4"/>
    <n v="3"/>
    <n v="48754.38"/>
    <n v="0"/>
    <n v="146263.13"/>
    <x v="1"/>
  </r>
  <r>
    <s v="ORD10922"/>
    <d v="2030-08-23T00:00:00"/>
    <x v="3"/>
    <x v="7"/>
    <x v="4"/>
    <x v="1"/>
    <x v="1"/>
    <s v="Corporate"/>
    <s v="Retail Store"/>
    <x v="4"/>
    <n v="2"/>
    <n v="2944.78"/>
    <n v="10"/>
    <n v="5300.61"/>
    <x v="3"/>
  </r>
  <r>
    <s v="ORD12494"/>
    <d v="2030-08-24T00:00:00"/>
    <x v="3"/>
    <x v="7"/>
    <x v="8"/>
    <x v="2"/>
    <x v="16"/>
    <s v="Corporate"/>
    <s v="Retail Store"/>
    <x v="0"/>
    <n v="1"/>
    <n v="6467.59"/>
    <n v="0"/>
    <n v="6467.59"/>
    <x v="2"/>
  </r>
  <r>
    <s v="ORD10964"/>
    <d v="2030-08-25T00:00:00"/>
    <x v="4"/>
    <x v="7"/>
    <x v="9"/>
    <x v="2"/>
    <x v="17"/>
    <s v="Consumer"/>
    <s v="Distributor"/>
    <x v="4"/>
    <n v="1"/>
    <n v="6405.94"/>
    <n v="5"/>
    <n v="6085.64"/>
    <x v="3"/>
  </r>
  <r>
    <s v="ORD11023"/>
    <d v="2030-08-26T00:00:00"/>
    <x v="2"/>
    <x v="7"/>
    <x v="7"/>
    <x v="4"/>
    <x v="9"/>
    <s v="Consumer"/>
    <s v="Online"/>
    <x v="4"/>
    <n v="1"/>
    <n v="34660.68"/>
    <n v="0"/>
    <n v="34660.68"/>
    <x v="1"/>
  </r>
  <r>
    <s v="ORD11103"/>
    <d v="2030-08-27T00:00:00"/>
    <x v="0"/>
    <x v="7"/>
    <x v="4"/>
    <x v="0"/>
    <x v="6"/>
    <s v="Home Office"/>
    <s v="Distributor"/>
    <x v="4"/>
    <n v="5"/>
    <n v="55727.46"/>
    <n v="0"/>
    <n v="278637.28000000003"/>
    <x v="3"/>
  </r>
  <r>
    <s v="ORD12081"/>
    <d v="2030-08-28T00:00:00"/>
    <x v="0"/>
    <x v="7"/>
    <x v="0"/>
    <x v="4"/>
    <x v="9"/>
    <s v="Home Office"/>
    <s v="Online"/>
    <x v="0"/>
    <n v="1"/>
    <n v="44101.279999999999"/>
    <n v="10"/>
    <n v="39691.15"/>
    <x v="3"/>
  </r>
  <r>
    <s v="ORD12093"/>
    <d v="2030-08-29T00:00:00"/>
    <x v="1"/>
    <x v="7"/>
    <x v="5"/>
    <x v="4"/>
    <x v="5"/>
    <s v="Home Office"/>
    <s v="Distributor"/>
    <x v="4"/>
    <n v="5"/>
    <n v="32511.31"/>
    <n v="0"/>
    <n v="162556.54"/>
    <x v="1"/>
  </r>
  <r>
    <s v="ORD12021"/>
    <d v="2030-08-30T00:00:00"/>
    <x v="4"/>
    <x v="7"/>
    <x v="9"/>
    <x v="3"/>
    <x v="15"/>
    <s v="Consumer"/>
    <s v="Distributor"/>
    <x v="3"/>
    <n v="1"/>
    <n v="37062.35"/>
    <n v="0"/>
    <n v="37062.35"/>
    <x v="3"/>
  </r>
  <r>
    <s v="ORD10473"/>
    <d v="2030-08-31T00:00:00"/>
    <x v="1"/>
    <x v="7"/>
    <x v="5"/>
    <x v="1"/>
    <x v="13"/>
    <s v="Consumer"/>
    <s v="Retail Store"/>
    <x v="2"/>
    <n v="2"/>
    <n v="2816.61"/>
    <n v="20"/>
    <n v="4506.58"/>
    <x v="2"/>
  </r>
  <r>
    <s v="ORD12102"/>
    <d v="2030-09-01T00:00:00"/>
    <x v="2"/>
    <x v="8"/>
    <x v="2"/>
    <x v="3"/>
    <x v="19"/>
    <s v="Consumer"/>
    <s v="Distributor"/>
    <x v="3"/>
    <n v="5"/>
    <n v="36877.599999999999"/>
    <n v="5"/>
    <n v="175168.58"/>
    <x v="2"/>
  </r>
  <r>
    <s v="ORD10210"/>
    <d v="2030-09-02T00:00:00"/>
    <x v="1"/>
    <x v="8"/>
    <x v="4"/>
    <x v="2"/>
    <x v="11"/>
    <s v="Home Office"/>
    <s v="Online"/>
    <x v="0"/>
    <n v="4"/>
    <n v="5361.78"/>
    <n v="0"/>
    <n v="21447.11"/>
    <x v="3"/>
  </r>
  <r>
    <s v="ORD10396"/>
    <d v="2030-09-03T00:00:00"/>
    <x v="2"/>
    <x v="8"/>
    <x v="5"/>
    <x v="0"/>
    <x v="6"/>
    <s v="Corporate"/>
    <s v="Distributor"/>
    <x v="0"/>
    <n v="2"/>
    <n v="55900.69"/>
    <n v="5"/>
    <n v="106211.31"/>
    <x v="3"/>
  </r>
  <r>
    <s v="ORD12249"/>
    <d v="2030-09-04T00:00:00"/>
    <x v="3"/>
    <x v="8"/>
    <x v="7"/>
    <x v="2"/>
    <x v="2"/>
    <s v="Corporate"/>
    <s v="Distributor"/>
    <x v="1"/>
    <n v="4"/>
    <n v="4912.47"/>
    <n v="0"/>
    <n v="19649.900000000001"/>
    <x v="2"/>
  </r>
  <r>
    <s v="ORD10616"/>
    <d v="2030-09-05T00:00:00"/>
    <x v="4"/>
    <x v="8"/>
    <x v="4"/>
    <x v="3"/>
    <x v="19"/>
    <s v="Small Business"/>
    <s v="Retail Store"/>
    <x v="0"/>
    <n v="1"/>
    <n v="28705.54"/>
    <n v="5"/>
    <n v="27270.27"/>
    <x v="0"/>
  </r>
  <r>
    <s v="ORD10142"/>
    <d v="2030-09-06T00:00:00"/>
    <x v="0"/>
    <x v="8"/>
    <x v="0"/>
    <x v="1"/>
    <x v="4"/>
    <s v="Consumer"/>
    <s v="Online"/>
    <x v="3"/>
    <n v="3"/>
    <n v="2797.13"/>
    <n v="0"/>
    <n v="8391.3799999999992"/>
    <x v="0"/>
  </r>
  <r>
    <s v="ORD10753"/>
    <d v="2030-09-07T00:00:00"/>
    <x v="2"/>
    <x v="8"/>
    <x v="6"/>
    <x v="4"/>
    <x v="9"/>
    <s v="Small Business"/>
    <s v="Retail Store"/>
    <x v="3"/>
    <n v="5"/>
    <n v="46159.01"/>
    <n v="10"/>
    <n v="207715.53"/>
    <x v="2"/>
  </r>
  <r>
    <s v="ORD11976"/>
    <d v="2030-09-08T00:00:00"/>
    <x v="1"/>
    <x v="8"/>
    <x v="9"/>
    <x v="3"/>
    <x v="19"/>
    <s v="Consumer"/>
    <s v="Distributor"/>
    <x v="0"/>
    <n v="1"/>
    <n v="39927.39"/>
    <n v="5"/>
    <n v="37931.03"/>
    <x v="2"/>
  </r>
  <r>
    <s v="ORD10293"/>
    <d v="2030-09-09T00:00:00"/>
    <x v="0"/>
    <x v="8"/>
    <x v="1"/>
    <x v="1"/>
    <x v="4"/>
    <s v="Home Office"/>
    <s v="Retail Store"/>
    <x v="1"/>
    <n v="4"/>
    <n v="2430.5700000000002"/>
    <n v="10"/>
    <n v="8750.0400000000009"/>
    <x v="1"/>
  </r>
  <r>
    <s v="ORD12234"/>
    <d v="2030-09-10T00:00:00"/>
    <x v="1"/>
    <x v="8"/>
    <x v="2"/>
    <x v="4"/>
    <x v="12"/>
    <s v="Corporate"/>
    <s v="Online"/>
    <x v="4"/>
    <n v="2"/>
    <n v="33530.839999999997"/>
    <n v="15"/>
    <n v="57002.43"/>
    <x v="1"/>
  </r>
  <r>
    <s v="ORD11937"/>
    <d v="2030-09-11T00:00:00"/>
    <x v="1"/>
    <x v="8"/>
    <x v="1"/>
    <x v="4"/>
    <x v="9"/>
    <s v="Consumer"/>
    <s v="Retail Store"/>
    <x v="1"/>
    <n v="1"/>
    <n v="33711.01"/>
    <n v="0"/>
    <n v="33711.01"/>
    <x v="1"/>
  </r>
  <r>
    <s v="ORD12463"/>
    <d v="2030-09-12T00:00:00"/>
    <x v="1"/>
    <x v="8"/>
    <x v="7"/>
    <x v="4"/>
    <x v="5"/>
    <s v="Home Office"/>
    <s v="Online"/>
    <x v="3"/>
    <n v="4"/>
    <n v="43976.3"/>
    <n v="5"/>
    <n v="167109.95000000001"/>
    <x v="3"/>
  </r>
  <r>
    <s v="ORD10385"/>
    <d v="2030-09-13T00:00:00"/>
    <x v="4"/>
    <x v="8"/>
    <x v="7"/>
    <x v="3"/>
    <x v="7"/>
    <s v="Home Office"/>
    <s v="Online"/>
    <x v="4"/>
    <n v="1"/>
    <n v="35683.360000000001"/>
    <n v="15"/>
    <n v="30330.86"/>
    <x v="0"/>
  </r>
  <r>
    <s v="ORD10023"/>
    <d v="2030-09-14T00:00:00"/>
    <x v="1"/>
    <x v="8"/>
    <x v="7"/>
    <x v="0"/>
    <x v="0"/>
    <s v="Small Business"/>
    <s v="Retail Store"/>
    <x v="1"/>
    <n v="3"/>
    <n v="53213.11"/>
    <n v="0"/>
    <n v="159639.34"/>
    <x v="2"/>
  </r>
  <r>
    <s v="ORD11874"/>
    <d v="2030-09-15T00:00:00"/>
    <x v="1"/>
    <x v="8"/>
    <x v="1"/>
    <x v="2"/>
    <x v="16"/>
    <s v="Corporate"/>
    <s v="Retail Store"/>
    <x v="4"/>
    <n v="1"/>
    <n v="4893.47"/>
    <n v="20"/>
    <n v="3914.78"/>
    <x v="2"/>
  </r>
  <r>
    <s v="ORD10088"/>
    <d v="2030-09-16T00:00:00"/>
    <x v="0"/>
    <x v="8"/>
    <x v="9"/>
    <x v="0"/>
    <x v="18"/>
    <s v="Consumer"/>
    <s v="Distributor"/>
    <x v="2"/>
    <n v="4"/>
    <n v="51239.25"/>
    <n v="20"/>
    <n v="163965.6"/>
    <x v="3"/>
  </r>
  <r>
    <s v="ORD11086"/>
    <d v="2030-09-17T00:00:00"/>
    <x v="2"/>
    <x v="8"/>
    <x v="3"/>
    <x v="3"/>
    <x v="7"/>
    <s v="Consumer"/>
    <s v="Distributor"/>
    <x v="2"/>
    <n v="4"/>
    <n v="33588.199999999997"/>
    <n v="5"/>
    <n v="127635.16"/>
    <x v="3"/>
  </r>
  <r>
    <s v="ORD11654"/>
    <d v="2030-09-18T00:00:00"/>
    <x v="4"/>
    <x v="8"/>
    <x v="3"/>
    <x v="0"/>
    <x v="0"/>
    <s v="Corporate"/>
    <s v="Retail Store"/>
    <x v="2"/>
    <n v="5"/>
    <n v="43676.14"/>
    <n v="0"/>
    <n v="218380.72"/>
    <x v="3"/>
  </r>
  <r>
    <s v="ORD11291"/>
    <d v="2030-09-19T00:00:00"/>
    <x v="0"/>
    <x v="8"/>
    <x v="1"/>
    <x v="4"/>
    <x v="5"/>
    <s v="Consumer"/>
    <s v="Distributor"/>
    <x v="3"/>
    <n v="2"/>
    <n v="50156.11"/>
    <n v="15"/>
    <n v="85265.38"/>
    <x v="3"/>
  </r>
  <r>
    <s v="ORD10492"/>
    <d v="2030-09-20T00:00:00"/>
    <x v="3"/>
    <x v="8"/>
    <x v="4"/>
    <x v="4"/>
    <x v="9"/>
    <s v="Small Business"/>
    <s v="Distributor"/>
    <x v="2"/>
    <n v="4"/>
    <n v="41548.239999999998"/>
    <n v="5"/>
    <n v="157883.32999999999"/>
    <x v="0"/>
  </r>
  <r>
    <s v="ORD11768"/>
    <d v="2030-09-21T00:00:00"/>
    <x v="0"/>
    <x v="8"/>
    <x v="5"/>
    <x v="3"/>
    <x v="7"/>
    <s v="Home Office"/>
    <s v="Distributor"/>
    <x v="0"/>
    <n v="1"/>
    <n v="27839.09"/>
    <n v="0"/>
    <n v="27839.09"/>
    <x v="1"/>
  </r>
  <r>
    <s v="ORD10216"/>
    <d v="2030-09-22T00:00:00"/>
    <x v="3"/>
    <x v="8"/>
    <x v="4"/>
    <x v="3"/>
    <x v="7"/>
    <s v="Home Office"/>
    <s v="Distributor"/>
    <x v="4"/>
    <n v="1"/>
    <n v="30569.18"/>
    <n v="0"/>
    <n v="30569.18"/>
    <x v="2"/>
  </r>
  <r>
    <s v="ORD12492"/>
    <d v="2030-09-23T00:00:00"/>
    <x v="3"/>
    <x v="8"/>
    <x v="6"/>
    <x v="2"/>
    <x v="11"/>
    <s v="Corporate"/>
    <s v="Online"/>
    <x v="1"/>
    <n v="2"/>
    <n v="8016.74"/>
    <n v="5"/>
    <n v="15231.8"/>
    <x v="3"/>
  </r>
  <r>
    <s v="ORD11684"/>
    <d v="2030-09-24T00:00:00"/>
    <x v="2"/>
    <x v="8"/>
    <x v="6"/>
    <x v="0"/>
    <x v="8"/>
    <s v="Consumer"/>
    <s v="Distributor"/>
    <x v="2"/>
    <n v="5"/>
    <n v="54961.72"/>
    <n v="5"/>
    <n v="261068.18"/>
    <x v="3"/>
  </r>
  <r>
    <s v="ORD10684"/>
    <d v="2030-09-25T00:00:00"/>
    <x v="0"/>
    <x v="8"/>
    <x v="1"/>
    <x v="2"/>
    <x v="2"/>
    <s v="Consumer"/>
    <s v="Online"/>
    <x v="2"/>
    <n v="5"/>
    <n v="5413.57"/>
    <n v="5"/>
    <n v="25714.48"/>
    <x v="3"/>
  </r>
  <r>
    <s v="ORD12224"/>
    <d v="2030-09-26T00:00:00"/>
    <x v="2"/>
    <x v="8"/>
    <x v="7"/>
    <x v="4"/>
    <x v="9"/>
    <s v="Consumer"/>
    <s v="Online"/>
    <x v="4"/>
    <n v="1"/>
    <n v="40849.129999999997"/>
    <n v="5"/>
    <n v="38806.67"/>
    <x v="3"/>
  </r>
  <r>
    <s v="ORD11368"/>
    <d v="2030-09-27T00:00:00"/>
    <x v="3"/>
    <x v="8"/>
    <x v="2"/>
    <x v="3"/>
    <x v="3"/>
    <s v="Small Business"/>
    <s v="Retail Store"/>
    <x v="4"/>
    <n v="2"/>
    <n v="38172.519999999997"/>
    <n v="15"/>
    <n v="64893.279999999999"/>
    <x v="1"/>
  </r>
  <r>
    <s v="ORD10360"/>
    <d v="2030-09-28T00:00:00"/>
    <x v="0"/>
    <x v="8"/>
    <x v="1"/>
    <x v="1"/>
    <x v="4"/>
    <s v="Home Office"/>
    <s v="Online"/>
    <x v="2"/>
    <n v="1"/>
    <n v="2997.96"/>
    <n v="5"/>
    <n v="2848.06"/>
    <x v="3"/>
  </r>
  <r>
    <s v="ORD10905"/>
    <d v="2030-09-29T00:00:00"/>
    <x v="3"/>
    <x v="8"/>
    <x v="8"/>
    <x v="2"/>
    <x v="11"/>
    <s v="Small Business"/>
    <s v="Online"/>
    <x v="2"/>
    <n v="5"/>
    <n v="5896.09"/>
    <n v="5"/>
    <n v="28006.41"/>
    <x v="1"/>
  </r>
  <r>
    <s v="ORD10480"/>
    <d v="2030-09-30T00:00:00"/>
    <x v="4"/>
    <x v="8"/>
    <x v="3"/>
    <x v="0"/>
    <x v="0"/>
    <s v="Corporate"/>
    <s v="Online"/>
    <x v="2"/>
    <n v="3"/>
    <n v="45433.440000000002"/>
    <n v="15"/>
    <n v="115855.28"/>
    <x v="2"/>
  </r>
  <r>
    <s v="ORD12264"/>
    <d v="2030-10-01T00:00:00"/>
    <x v="1"/>
    <x v="9"/>
    <x v="0"/>
    <x v="0"/>
    <x v="8"/>
    <s v="Small Business"/>
    <s v="Retail Store"/>
    <x v="4"/>
    <n v="2"/>
    <n v="46585.46"/>
    <n v="15"/>
    <n v="79195.289999999994"/>
    <x v="3"/>
  </r>
  <r>
    <s v="ORD10077"/>
    <d v="2030-10-02T00:00:00"/>
    <x v="4"/>
    <x v="9"/>
    <x v="8"/>
    <x v="2"/>
    <x v="16"/>
    <s v="Corporate"/>
    <s v="Online"/>
    <x v="1"/>
    <n v="3"/>
    <n v="6231.73"/>
    <n v="5"/>
    <n v="17760.43"/>
    <x v="2"/>
  </r>
  <r>
    <s v="ORD12170"/>
    <d v="2030-10-03T00:00:00"/>
    <x v="2"/>
    <x v="9"/>
    <x v="5"/>
    <x v="1"/>
    <x v="14"/>
    <s v="Small Business"/>
    <s v="Retail Store"/>
    <x v="4"/>
    <n v="1"/>
    <n v="3071.31"/>
    <n v="5"/>
    <n v="2917.75"/>
    <x v="3"/>
  </r>
  <r>
    <s v="ORD12124"/>
    <d v="2030-10-04T00:00:00"/>
    <x v="2"/>
    <x v="9"/>
    <x v="2"/>
    <x v="1"/>
    <x v="1"/>
    <s v="Consumer"/>
    <s v="Online"/>
    <x v="0"/>
    <n v="3"/>
    <n v="2553.33"/>
    <n v="20"/>
    <n v="6128"/>
    <x v="3"/>
  </r>
  <r>
    <s v="ORD11852"/>
    <d v="2030-10-05T00:00:00"/>
    <x v="1"/>
    <x v="9"/>
    <x v="3"/>
    <x v="4"/>
    <x v="12"/>
    <s v="Consumer"/>
    <s v="Retail Store"/>
    <x v="2"/>
    <n v="5"/>
    <n v="43567.93"/>
    <n v="20"/>
    <n v="174271.73"/>
    <x v="3"/>
  </r>
  <r>
    <s v="ORD10690"/>
    <d v="2030-10-06T00:00:00"/>
    <x v="1"/>
    <x v="9"/>
    <x v="3"/>
    <x v="3"/>
    <x v="3"/>
    <s v="Corporate"/>
    <s v="Distributor"/>
    <x v="4"/>
    <n v="5"/>
    <n v="39204.44"/>
    <n v="15"/>
    <n v="166618.85"/>
    <x v="3"/>
  </r>
  <r>
    <s v="ORD10342"/>
    <d v="2030-10-07T00:00:00"/>
    <x v="3"/>
    <x v="9"/>
    <x v="1"/>
    <x v="2"/>
    <x v="16"/>
    <s v="Corporate"/>
    <s v="Retail Store"/>
    <x v="1"/>
    <n v="4"/>
    <n v="5202.6099999999997"/>
    <n v="20"/>
    <n v="16648.34"/>
    <x v="3"/>
  </r>
  <r>
    <s v="ORD11002"/>
    <d v="2030-10-08T00:00:00"/>
    <x v="1"/>
    <x v="9"/>
    <x v="6"/>
    <x v="0"/>
    <x v="6"/>
    <s v="Small Business"/>
    <s v="Online"/>
    <x v="3"/>
    <n v="2"/>
    <n v="55427.73"/>
    <n v="5"/>
    <n v="105312.68"/>
    <x v="3"/>
  </r>
  <r>
    <s v="ORD10417"/>
    <d v="2030-10-09T00:00:00"/>
    <x v="0"/>
    <x v="9"/>
    <x v="4"/>
    <x v="3"/>
    <x v="15"/>
    <s v="Home Office"/>
    <s v="Retail Store"/>
    <x v="3"/>
    <n v="1"/>
    <n v="28110.11"/>
    <n v="0"/>
    <n v="28110.11"/>
    <x v="3"/>
  </r>
  <r>
    <s v="ORD12169"/>
    <d v="2030-10-10T00:00:00"/>
    <x v="1"/>
    <x v="9"/>
    <x v="4"/>
    <x v="1"/>
    <x v="4"/>
    <s v="Consumer"/>
    <s v="Retail Store"/>
    <x v="2"/>
    <n v="4"/>
    <n v="2635.34"/>
    <n v="20"/>
    <n v="8433.09"/>
    <x v="3"/>
  </r>
  <r>
    <s v="ORD10288"/>
    <d v="2030-10-11T00:00:00"/>
    <x v="3"/>
    <x v="9"/>
    <x v="0"/>
    <x v="2"/>
    <x v="16"/>
    <s v="Home Office"/>
    <s v="Online"/>
    <x v="4"/>
    <n v="3"/>
    <n v="5696"/>
    <n v="0"/>
    <n v="17088.009999999998"/>
    <x v="3"/>
  </r>
  <r>
    <s v="ORD10804"/>
    <d v="2030-10-12T00:00:00"/>
    <x v="4"/>
    <x v="9"/>
    <x v="3"/>
    <x v="4"/>
    <x v="10"/>
    <s v="Consumer"/>
    <s v="Online"/>
    <x v="3"/>
    <n v="4"/>
    <n v="49853.43"/>
    <n v="0"/>
    <n v="199413.71"/>
    <x v="1"/>
  </r>
  <r>
    <s v="ORD12043"/>
    <d v="2030-10-13T00:00:00"/>
    <x v="4"/>
    <x v="9"/>
    <x v="5"/>
    <x v="3"/>
    <x v="15"/>
    <s v="Corporate"/>
    <s v="Retail Store"/>
    <x v="2"/>
    <n v="1"/>
    <n v="39766.379999999997"/>
    <n v="10"/>
    <n v="35789.74"/>
    <x v="3"/>
  </r>
  <r>
    <s v="ORD10570"/>
    <d v="2030-10-14T00:00:00"/>
    <x v="4"/>
    <x v="9"/>
    <x v="2"/>
    <x v="2"/>
    <x v="17"/>
    <s v="Home Office"/>
    <s v="Distributor"/>
    <x v="4"/>
    <n v="5"/>
    <n v="6664.44"/>
    <n v="5"/>
    <n v="31656.07"/>
    <x v="3"/>
  </r>
  <r>
    <s v="ORD10770"/>
    <d v="2030-10-15T00:00:00"/>
    <x v="4"/>
    <x v="9"/>
    <x v="6"/>
    <x v="2"/>
    <x v="2"/>
    <s v="Small Business"/>
    <s v="Online"/>
    <x v="3"/>
    <n v="3"/>
    <n v="7886.22"/>
    <n v="0"/>
    <n v="23658.65"/>
    <x v="3"/>
  </r>
  <r>
    <s v="ORD10823"/>
    <d v="2030-10-16T00:00:00"/>
    <x v="0"/>
    <x v="9"/>
    <x v="1"/>
    <x v="3"/>
    <x v="7"/>
    <s v="Consumer"/>
    <s v="Distributor"/>
    <x v="0"/>
    <n v="5"/>
    <n v="35642.99"/>
    <n v="20"/>
    <n v="142571.94"/>
    <x v="2"/>
  </r>
  <r>
    <s v="ORD11639"/>
    <d v="2030-10-17T00:00:00"/>
    <x v="1"/>
    <x v="9"/>
    <x v="7"/>
    <x v="2"/>
    <x v="17"/>
    <s v="Corporate"/>
    <s v="Online"/>
    <x v="2"/>
    <n v="5"/>
    <n v="5507.43"/>
    <n v="0"/>
    <n v="27537.15"/>
    <x v="0"/>
  </r>
  <r>
    <s v="ORD11263"/>
    <d v="2030-10-18T00:00:00"/>
    <x v="1"/>
    <x v="9"/>
    <x v="4"/>
    <x v="0"/>
    <x v="18"/>
    <s v="Consumer"/>
    <s v="Retail Store"/>
    <x v="3"/>
    <n v="5"/>
    <n v="58801.74"/>
    <n v="10"/>
    <n v="264607.82"/>
    <x v="3"/>
  </r>
  <r>
    <s v="ORD11964"/>
    <d v="2030-10-19T00:00:00"/>
    <x v="3"/>
    <x v="9"/>
    <x v="2"/>
    <x v="3"/>
    <x v="7"/>
    <s v="Corporate"/>
    <s v="Retail Store"/>
    <x v="2"/>
    <n v="5"/>
    <n v="25806.84"/>
    <n v="15"/>
    <n v="109679.05"/>
    <x v="3"/>
  </r>
  <r>
    <s v="ORD10815"/>
    <d v="2030-10-20T00:00:00"/>
    <x v="2"/>
    <x v="9"/>
    <x v="8"/>
    <x v="4"/>
    <x v="12"/>
    <s v="Corporate"/>
    <s v="Retail Store"/>
    <x v="2"/>
    <n v="5"/>
    <n v="34296.22"/>
    <n v="20"/>
    <n v="137184.87"/>
    <x v="1"/>
  </r>
  <r>
    <s v="ORD10031"/>
    <d v="2030-10-21T00:00:00"/>
    <x v="1"/>
    <x v="9"/>
    <x v="6"/>
    <x v="2"/>
    <x v="2"/>
    <s v="Corporate"/>
    <s v="Online"/>
    <x v="4"/>
    <n v="1"/>
    <n v="5764.3"/>
    <n v="5"/>
    <n v="5476.09"/>
    <x v="1"/>
  </r>
  <r>
    <s v="ORD11678"/>
    <d v="2030-10-22T00:00:00"/>
    <x v="4"/>
    <x v="9"/>
    <x v="9"/>
    <x v="4"/>
    <x v="10"/>
    <s v="Home Office"/>
    <s v="Online"/>
    <x v="2"/>
    <n v="1"/>
    <n v="35681.46"/>
    <n v="10"/>
    <n v="32113.31"/>
    <x v="3"/>
  </r>
  <r>
    <s v="ORD11567"/>
    <d v="2030-10-23T00:00:00"/>
    <x v="0"/>
    <x v="9"/>
    <x v="6"/>
    <x v="2"/>
    <x v="17"/>
    <s v="Small Business"/>
    <s v="Retail Store"/>
    <x v="0"/>
    <n v="1"/>
    <n v="5657.81"/>
    <n v="5"/>
    <n v="5374.92"/>
    <x v="3"/>
  </r>
  <r>
    <s v="ORD12012"/>
    <d v="2030-10-24T00:00:00"/>
    <x v="2"/>
    <x v="9"/>
    <x v="1"/>
    <x v="1"/>
    <x v="1"/>
    <s v="Small Business"/>
    <s v="Distributor"/>
    <x v="1"/>
    <n v="5"/>
    <n v="2795.43"/>
    <n v="0"/>
    <n v="13977.15"/>
    <x v="2"/>
  </r>
  <r>
    <s v="ORD10187"/>
    <d v="2030-10-25T00:00:00"/>
    <x v="4"/>
    <x v="9"/>
    <x v="7"/>
    <x v="0"/>
    <x v="0"/>
    <s v="Consumer"/>
    <s v="Retail Store"/>
    <x v="3"/>
    <n v="3"/>
    <n v="54277.86"/>
    <n v="0"/>
    <n v="162833.59"/>
    <x v="3"/>
  </r>
  <r>
    <s v="ORD11606"/>
    <d v="2030-10-26T00:00:00"/>
    <x v="4"/>
    <x v="9"/>
    <x v="1"/>
    <x v="2"/>
    <x v="2"/>
    <s v="Home Office"/>
    <s v="Retail Store"/>
    <x v="0"/>
    <n v="4"/>
    <n v="5109.1499999999996"/>
    <n v="5"/>
    <n v="19414.759999999998"/>
    <x v="1"/>
  </r>
  <r>
    <s v="ORD10033"/>
    <d v="2030-10-27T00:00:00"/>
    <x v="3"/>
    <x v="9"/>
    <x v="5"/>
    <x v="3"/>
    <x v="7"/>
    <s v="Small Business"/>
    <s v="Distributor"/>
    <x v="2"/>
    <n v="2"/>
    <n v="35502.68"/>
    <n v="0"/>
    <n v="71005.37"/>
    <x v="0"/>
  </r>
  <r>
    <s v="ORD10510"/>
    <d v="2030-10-28T00:00:00"/>
    <x v="4"/>
    <x v="9"/>
    <x v="3"/>
    <x v="2"/>
    <x v="2"/>
    <s v="Small Business"/>
    <s v="Retail Store"/>
    <x v="3"/>
    <n v="4"/>
    <n v="5506.46"/>
    <n v="0"/>
    <n v="22025.83"/>
    <x v="1"/>
  </r>
  <r>
    <s v="ORD11810"/>
    <d v="2030-10-29T00:00:00"/>
    <x v="4"/>
    <x v="9"/>
    <x v="4"/>
    <x v="0"/>
    <x v="18"/>
    <s v="Consumer"/>
    <s v="Retail Store"/>
    <x v="0"/>
    <n v="5"/>
    <n v="49786.67"/>
    <n v="0"/>
    <n v="248933.33"/>
    <x v="0"/>
  </r>
  <r>
    <s v="ORD12467"/>
    <d v="2030-10-30T00:00:00"/>
    <x v="4"/>
    <x v="9"/>
    <x v="3"/>
    <x v="4"/>
    <x v="5"/>
    <s v="Consumer"/>
    <s v="Retail Store"/>
    <x v="0"/>
    <n v="3"/>
    <n v="41151.120000000003"/>
    <n v="15"/>
    <n v="104935.36"/>
    <x v="3"/>
  </r>
  <r>
    <s v="ORD10346"/>
    <d v="2030-10-31T00:00:00"/>
    <x v="2"/>
    <x v="9"/>
    <x v="9"/>
    <x v="1"/>
    <x v="4"/>
    <s v="Corporate"/>
    <s v="Retail Store"/>
    <x v="1"/>
    <n v="3"/>
    <n v="1976.2"/>
    <n v="5"/>
    <n v="5632.16"/>
    <x v="3"/>
  </r>
  <r>
    <s v="ORD11779"/>
    <d v="2030-11-01T00:00:00"/>
    <x v="3"/>
    <x v="10"/>
    <x v="6"/>
    <x v="4"/>
    <x v="5"/>
    <s v="Consumer"/>
    <s v="Retail Store"/>
    <x v="4"/>
    <n v="4"/>
    <n v="31912.53"/>
    <n v="10"/>
    <n v="114885.1"/>
    <x v="3"/>
  </r>
  <r>
    <s v="ORD11827"/>
    <d v="2030-11-02T00:00:00"/>
    <x v="3"/>
    <x v="10"/>
    <x v="8"/>
    <x v="1"/>
    <x v="1"/>
    <s v="Small Business"/>
    <s v="Retail Store"/>
    <x v="2"/>
    <n v="1"/>
    <n v="2330.37"/>
    <n v="10"/>
    <n v="2097.34"/>
    <x v="0"/>
  </r>
  <r>
    <s v="ORD10151"/>
    <d v="2030-11-03T00:00:00"/>
    <x v="3"/>
    <x v="10"/>
    <x v="9"/>
    <x v="2"/>
    <x v="2"/>
    <s v="Corporate"/>
    <s v="Online"/>
    <x v="0"/>
    <n v="3"/>
    <n v="7167.34"/>
    <n v="10"/>
    <n v="19351.82"/>
    <x v="3"/>
  </r>
  <r>
    <s v="ORD11238"/>
    <d v="2030-11-04T00:00:00"/>
    <x v="3"/>
    <x v="10"/>
    <x v="3"/>
    <x v="0"/>
    <x v="18"/>
    <s v="Small Business"/>
    <s v="Online"/>
    <x v="1"/>
    <n v="1"/>
    <n v="64527.59"/>
    <n v="5"/>
    <n v="61301.2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F3F277-F7BB-4F7C-8626-B913C9ED784C}" name="PivotTable9"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15">
    <pivotField showAll="0"/>
    <pivotField numFmtId="14" showAll="0"/>
    <pivotField showAll="0">
      <items count="6">
        <item x="4"/>
        <item x="2"/>
        <item x="1"/>
        <item x="3"/>
        <item x="0"/>
        <item t="default"/>
      </items>
    </pivotField>
    <pivotField showAll="0">
      <items count="13">
        <item x="0"/>
        <item x="1"/>
        <item x="2"/>
        <item x="3"/>
        <item x="4"/>
        <item x="5"/>
        <item x="6"/>
        <item x="7"/>
        <item x="8"/>
        <item x="9"/>
        <item x="10"/>
        <item x="11"/>
        <item t="default"/>
      </items>
    </pivotField>
    <pivotField showAll="0">
      <items count="11">
        <item x="6"/>
        <item x="9"/>
        <item x="8"/>
        <item x="2"/>
        <item x="3"/>
        <item x="1"/>
        <item x="0"/>
        <item x="5"/>
        <item x="7"/>
        <item x="4"/>
        <item t="default"/>
      </items>
    </pivotField>
    <pivotField showAll="0">
      <items count="6">
        <item x="1"/>
        <item x="2"/>
        <item x="0"/>
        <item x="4"/>
        <item x="3"/>
        <item t="default"/>
      </items>
    </pivotField>
    <pivotField axis="axisRow" showAll="0" measureFilter="1">
      <items count="21">
        <item x="0"/>
        <item x="2"/>
        <item x="8"/>
        <item x="7"/>
        <item x="18"/>
        <item x="15"/>
        <item x="11"/>
        <item x="6"/>
        <item x="12"/>
        <item x="1"/>
        <item x="3"/>
        <item x="19"/>
        <item x="14"/>
        <item x="9"/>
        <item x="16"/>
        <item x="5"/>
        <item x="17"/>
        <item x="10"/>
        <item x="4"/>
        <item x="13"/>
        <item t="default"/>
      </items>
    </pivotField>
    <pivotField showAll="0"/>
    <pivotField showAll="0"/>
    <pivotField showAll="0"/>
    <pivotField dataField="1" showAll="0"/>
    <pivotField showAll="0"/>
    <pivotField showAll="0"/>
    <pivotField showAll="0"/>
    <pivotField showAll="0"/>
  </pivotFields>
  <rowFields count="1">
    <field x="6"/>
  </rowFields>
  <rowItems count="7">
    <i>
      <x v="4"/>
    </i>
    <i>
      <x v="7"/>
    </i>
    <i>
      <x v="8"/>
    </i>
    <i>
      <x v="16"/>
    </i>
    <i>
      <x v="17"/>
    </i>
    <i>
      <x v="19"/>
    </i>
    <i t="grand">
      <x/>
    </i>
  </rowItems>
  <colItems count="1">
    <i/>
  </colItems>
  <dataFields count="1">
    <dataField name="Sum of Quantity" fld="10" baseField="6" baseItem="2"/>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C6D29-E603-446B-AAF1-467C09088DC4}" name="PivotTable10"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5">
    <pivotField showAll="0"/>
    <pivotField numFmtId="14" showAll="0"/>
    <pivotField showAll="0">
      <items count="6">
        <item x="4"/>
        <item x="2"/>
        <item x="1"/>
        <item x="3"/>
        <item x="0"/>
        <item t="default"/>
      </items>
    </pivotField>
    <pivotField showAll="0">
      <items count="13">
        <item x="0"/>
        <item x="1"/>
        <item x="2"/>
        <item x="3"/>
        <item x="4"/>
        <item x="5"/>
        <item x="6"/>
        <item x="7"/>
        <item x="8"/>
        <item x="9"/>
        <item x="10"/>
        <item x="11"/>
        <item t="default"/>
      </items>
    </pivotField>
    <pivotField showAll="0">
      <items count="11">
        <item x="6"/>
        <item x="9"/>
        <item x="8"/>
        <item x="2"/>
        <item x="3"/>
        <item x="1"/>
        <item x="0"/>
        <item x="5"/>
        <item x="7"/>
        <item x="4"/>
        <item t="default"/>
      </items>
    </pivotField>
    <pivotField showAll="0"/>
    <pivotField showAll="0"/>
    <pivotField showAll="0"/>
    <pivotField showAll="0"/>
    <pivotField dataField="1" showAll="0">
      <items count="6">
        <item x="0"/>
        <item x="1"/>
        <item x="3"/>
        <item x="2"/>
        <item x="4"/>
        <item t="default"/>
      </items>
    </pivotField>
    <pivotField showAll="0"/>
    <pivotField showAll="0"/>
    <pivotField showAll="0"/>
    <pivotField showAll="0"/>
    <pivotField axis="axisRow" showAll="0">
      <items count="5">
        <item x="0"/>
        <item x="3"/>
        <item x="1"/>
        <item x="2"/>
        <item t="default"/>
      </items>
    </pivotField>
  </pivotFields>
  <rowFields count="1">
    <field x="14"/>
  </rowFields>
  <rowItems count="5">
    <i>
      <x/>
    </i>
    <i>
      <x v="1"/>
    </i>
    <i>
      <x v="2"/>
    </i>
    <i>
      <x v="3"/>
    </i>
    <i t="grand">
      <x/>
    </i>
  </rowItems>
  <colItems count="1">
    <i/>
  </colItems>
  <dataFields count="1">
    <dataField name="Count of Payment_Method" fld="9" subtotal="count" baseField="0" baseItem="0"/>
  </dataFields>
  <chartFormats count="6">
    <chartFormat chart="0" format="2"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4" count="1" selected="0">
            <x v="0"/>
          </reference>
        </references>
      </pivotArea>
    </chartFormat>
    <chartFormat chart="7" format="10">
      <pivotArea type="data" outline="0" fieldPosition="0">
        <references count="2">
          <reference field="4294967294" count="1" selected="0">
            <x v="0"/>
          </reference>
          <reference field="14" count="1" selected="0">
            <x v="1"/>
          </reference>
        </references>
      </pivotArea>
    </chartFormat>
    <chartFormat chart="7" format="11">
      <pivotArea type="data" outline="0" fieldPosition="0">
        <references count="2">
          <reference field="4294967294" count="1" selected="0">
            <x v="0"/>
          </reference>
          <reference field="14" count="1" selected="0">
            <x v="2"/>
          </reference>
        </references>
      </pivotArea>
    </chartFormat>
    <chartFormat chart="7" format="12">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9512AC-979B-4EE6-BBD3-51EC629EBA91}" name="PivotTable7" cacheId="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13" firstHeaderRow="1" firstDataRow="1" firstDataCol="1"/>
  <pivotFields count="15">
    <pivotField showAll="0" defaultSubtotal="0"/>
    <pivotField numFmtId="14" showAll="0" defaultSubtotal="0"/>
    <pivotField showAll="0" defaultSubtotal="0">
      <items count="5">
        <item x="4"/>
        <item x="2"/>
        <item x="1"/>
        <item x="3"/>
        <item x="0"/>
      </items>
    </pivotField>
    <pivotField showAll="0" defaultSubtotal="0">
      <items count="12">
        <item x="0"/>
        <item x="1"/>
        <item x="2"/>
        <item x="3"/>
        <item x="4"/>
        <item x="5"/>
        <item x="6"/>
        <item x="7"/>
        <item x="8"/>
        <item x="9"/>
        <item x="10"/>
        <item x="11"/>
      </items>
    </pivotField>
    <pivotField axis="axisRow" showAll="0" defaultSubtotal="0">
      <items count="10">
        <item x="6"/>
        <item x="9"/>
        <item x="8"/>
        <item x="2"/>
        <item x="3"/>
        <item x="1"/>
        <item x="0"/>
        <item x="5"/>
        <item x="7"/>
        <item x="4"/>
      </items>
    </pivotField>
    <pivotField showAll="0" defaultSubtotal="0">
      <items count="5">
        <item x="1"/>
        <item x="2"/>
        <item x="0"/>
        <item x="4"/>
        <item x="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s>
  <rowFields count="1">
    <field x="4"/>
  </rowFields>
  <rowItems count="10">
    <i>
      <x/>
    </i>
    <i>
      <x v="1"/>
    </i>
    <i>
      <x v="2"/>
    </i>
    <i>
      <x v="3"/>
    </i>
    <i>
      <x v="4"/>
    </i>
    <i>
      <x v="5"/>
    </i>
    <i>
      <x v="6"/>
    </i>
    <i>
      <x v="7"/>
    </i>
    <i>
      <x v="8"/>
    </i>
    <i>
      <x v="9"/>
    </i>
  </rowItems>
  <colItems count="1">
    <i/>
  </colItems>
  <dataFields count="1">
    <dataField name="Max of Sales" fld="13" subtotal="max" baseField="4"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8A1D82-D035-494A-815D-2B8B0E993675}" name="PivotTable2" cacheId="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3:B8" firstHeaderRow="1" firstDataRow="1" firstDataCol="1"/>
  <pivotFields count="15">
    <pivotField showAll="0" defaultSubtotal="0"/>
    <pivotField numFmtId="14" showAll="0" defaultSubtotal="0"/>
    <pivotField showAll="0" defaultSubtotal="0">
      <items count="5">
        <item x="4"/>
        <item x="2"/>
        <item x="1"/>
        <item x="3"/>
        <item x="0"/>
      </items>
    </pivotField>
    <pivotField subtotalTop="0" showAll="0" defaultSubtotal="0">
      <items count="12">
        <item x="0"/>
        <item x="1"/>
        <item x="2"/>
        <item x="3"/>
        <item x="4"/>
        <item x="5"/>
        <item x="6"/>
        <item x="7"/>
        <item x="8"/>
        <item x="9"/>
        <item x="10"/>
        <item x="11"/>
      </items>
    </pivotField>
    <pivotField showAll="0" defaultSubtotal="0">
      <items count="10">
        <item x="6"/>
        <item x="9"/>
        <item x="8"/>
        <item x="2"/>
        <item x="3"/>
        <item x="1"/>
        <item x="0"/>
        <item x="5"/>
        <item x="7"/>
        <item x="4"/>
      </items>
    </pivotField>
    <pivotField axis="axisRow" showAll="0" defaultSubtotal="0">
      <items count="5">
        <item x="1"/>
        <item x="2"/>
        <item x="0"/>
        <item x="4"/>
        <item x="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s>
  <rowFields count="1">
    <field x="5"/>
  </rowFields>
  <rowItems count="5">
    <i>
      <x/>
    </i>
    <i>
      <x v="1"/>
    </i>
    <i>
      <x v="2"/>
    </i>
    <i>
      <x v="3"/>
    </i>
    <i>
      <x v="4"/>
    </i>
  </rowItems>
  <colItems count="1">
    <i/>
  </colItems>
  <dataFields count="1">
    <dataField name="Category: Total Sales" fld="13" subtotal="max" baseField="4"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36" format="8" series="1">
      <pivotArea type="data" outline="0" fieldPosition="0">
        <references count="1">
          <reference field="4294967294" count="1" selected="0">
            <x v="0"/>
          </reference>
        </references>
      </pivotArea>
    </chartFormat>
    <chartFormat chart="36" format="9">
      <pivotArea type="data" outline="0" fieldPosition="0">
        <references count="2">
          <reference field="4294967294" count="1" selected="0">
            <x v="0"/>
          </reference>
          <reference field="5" count="1" selected="0">
            <x v="0"/>
          </reference>
        </references>
      </pivotArea>
    </chartFormat>
    <chartFormat chart="36" format="10">
      <pivotArea type="data" outline="0" fieldPosition="0">
        <references count="2">
          <reference field="4294967294" count="1" selected="0">
            <x v="0"/>
          </reference>
          <reference field="5" count="1" selected="0">
            <x v="1"/>
          </reference>
        </references>
      </pivotArea>
    </chartFormat>
    <chartFormat chart="36" format="11">
      <pivotArea type="data" outline="0" fieldPosition="0">
        <references count="2">
          <reference field="4294967294" count="1" selected="0">
            <x v="0"/>
          </reference>
          <reference field="5" count="1" selected="0">
            <x v="2"/>
          </reference>
        </references>
      </pivotArea>
    </chartFormat>
    <chartFormat chart="36" format="12">
      <pivotArea type="data" outline="0" fieldPosition="0">
        <references count="2">
          <reference field="4294967294" count="1" selected="0">
            <x v="0"/>
          </reference>
          <reference field="5" count="1" selected="0">
            <x v="3"/>
          </reference>
        </references>
      </pivotArea>
    </chartFormat>
    <chartFormat chart="36" format="1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F3D625-93A0-45E6-882C-E951153866D4}" name="PivotTable3" cacheId="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8" firstHeaderRow="1" firstDataRow="1" firstDataCol="1"/>
  <pivotFields count="15">
    <pivotField showAll="0" defaultSubtotal="0"/>
    <pivotField numFmtId="14" showAll="0" defaultSubtotal="0"/>
    <pivotField axis="axisRow" showAll="0" defaultSubtotal="0">
      <items count="5">
        <item x="4"/>
        <item x="2"/>
        <item x="1"/>
        <item x="3"/>
        <item x="0"/>
      </items>
    </pivotField>
    <pivotField subtotalTop="0" showAll="0" defaultSubtotal="0">
      <items count="12">
        <item x="0"/>
        <item x="1"/>
        <item x="2"/>
        <item x="3"/>
        <item x="4"/>
        <item x="5"/>
        <item x="6"/>
        <item x="7"/>
        <item x="8"/>
        <item x="9"/>
        <item x="10"/>
        <item x="11"/>
      </items>
    </pivotField>
    <pivotField showAll="0" defaultSubtotal="0">
      <items count="10">
        <item x="6"/>
        <item x="9"/>
        <item x="8"/>
        <item x="2"/>
        <item x="3"/>
        <item x="1"/>
        <item x="0"/>
        <item x="5"/>
        <item x="7"/>
        <item x="4"/>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s>
  <rowFields count="1">
    <field x="2"/>
  </rowFields>
  <rowItems count="5">
    <i>
      <x/>
    </i>
    <i>
      <x v="1"/>
    </i>
    <i>
      <x v="2"/>
    </i>
    <i>
      <x v="3"/>
    </i>
    <i>
      <x v="4"/>
    </i>
  </rowItems>
  <colItems count="1">
    <i/>
  </colItems>
  <dataFields count="1">
    <dataField name="Max of Sales" fld="13" subtotal="max" baseField="2"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BFB27C-B271-4F91-806C-B66B4E7E0C40}" name="PivotTable4" cacheId="4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location ref="A3:B13" firstHeaderRow="1" firstDataRow="1" firstDataCol="1"/>
  <pivotFields count="15">
    <pivotField compact="0" outline="0" showAll="0" defaultSubtotal="0"/>
    <pivotField compact="0" numFmtId="14" outline="0" showAll="0" defaultSubtotal="0"/>
    <pivotField compact="0" outline="0" showAll="0" defaultSubtotal="0">
      <items count="5">
        <item x="4"/>
        <item x="2"/>
        <item x="1"/>
        <item x="3"/>
        <item x="0"/>
      </items>
    </pivotField>
    <pivotField compact="0" outline="0" showAll="0" defaultSubtotal="0">
      <items count="12">
        <item sd="0" x="0"/>
        <item sd="0" x="1"/>
        <item sd="0" x="2"/>
        <item x="3"/>
        <item x="4"/>
        <item x="5"/>
        <item x="6"/>
        <item x="7"/>
        <item x="8"/>
        <item x="9"/>
        <item x="10"/>
        <item x="11"/>
      </items>
    </pivotField>
    <pivotField axis="axisRow" compact="0" outline="0" showAll="0" defaultSubtotal="0">
      <items count="10">
        <item x="6"/>
        <item x="9"/>
        <item x="8"/>
        <item x="2"/>
        <item x="3"/>
        <item x="1"/>
        <item x="0"/>
        <item x="5"/>
        <item x="7"/>
        <item x="4"/>
      </items>
    </pivotField>
    <pivotField compact="0" outline="0" showAll="0" defaultSubtotal="0"/>
    <pivotField compact="0" outline="0" showAll="0" defaultSubtotal="0">
      <items count="20">
        <item x="0"/>
        <item x="2"/>
        <item x="8"/>
        <item x="7"/>
        <item x="18"/>
        <item x="15"/>
        <item x="11"/>
        <item x="6"/>
        <item x="12"/>
        <item x="1"/>
        <item x="3"/>
        <item x="19"/>
        <item x="14"/>
        <item x="9"/>
        <item x="16"/>
        <item x="5"/>
        <item x="17"/>
        <item x="10"/>
        <item x="4"/>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s>
  <rowFields count="1">
    <field x="4"/>
  </rowFields>
  <rowItems count="10">
    <i>
      <x/>
    </i>
    <i>
      <x v="1"/>
    </i>
    <i>
      <x v="2"/>
    </i>
    <i>
      <x v="3"/>
    </i>
    <i>
      <x v="4"/>
    </i>
    <i>
      <x v="5"/>
    </i>
    <i>
      <x v="6"/>
    </i>
    <i>
      <x v="7"/>
    </i>
    <i>
      <x v="8"/>
    </i>
    <i>
      <x v="9"/>
    </i>
  </rowItems>
  <colItems count="1">
    <i/>
  </colItems>
  <dataFields count="1">
    <dataField name="Average of Sales" fld="13" subtotal="average" baseField="4" baseItem="3"/>
  </dataFields>
  <chartFormats count="16">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4" count="1" selected="0">
            <x v="1"/>
          </reference>
        </references>
      </pivotArea>
    </chartFormat>
    <chartFormat chart="12" format="2">
      <pivotArea type="data" outline="0" fieldPosition="0">
        <references count="2">
          <reference field="4294967294" count="1" selected="0">
            <x v="0"/>
          </reference>
          <reference field="4" count="1" selected="0">
            <x v="0"/>
          </reference>
        </references>
      </pivotArea>
    </chartFormat>
    <chartFormat chart="12" format="3">
      <pivotArea type="data" outline="0" fieldPosition="0">
        <references count="2">
          <reference field="4294967294" count="1" selected="0">
            <x v="0"/>
          </reference>
          <reference field="4" count="1" selected="0">
            <x v="9"/>
          </reference>
        </references>
      </pivotArea>
    </chartFormat>
    <chartFormat chart="12" format="4">
      <pivotArea type="data" outline="0" fieldPosition="0">
        <references count="2">
          <reference field="4294967294" count="1" selected="0">
            <x v="0"/>
          </reference>
          <reference field="4" count="1" selected="0">
            <x v="8"/>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4" count="1" selected="0">
            <x v="0"/>
          </reference>
        </references>
      </pivotArea>
    </chartFormat>
    <chartFormat chart="19" format="18">
      <pivotArea type="data" outline="0" fieldPosition="0">
        <references count="2">
          <reference field="4294967294" count="1" selected="0">
            <x v="0"/>
          </reference>
          <reference field="4" count="1" selected="0">
            <x v="1"/>
          </reference>
        </references>
      </pivotArea>
    </chartFormat>
    <chartFormat chart="19" format="19">
      <pivotArea type="data" outline="0" fieldPosition="0">
        <references count="2">
          <reference field="4294967294" count="1" selected="0">
            <x v="0"/>
          </reference>
          <reference field="4" count="1" selected="0">
            <x v="2"/>
          </reference>
        </references>
      </pivotArea>
    </chartFormat>
    <chartFormat chart="19" format="20">
      <pivotArea type="data" outline="0" fieldPosition="0">
        <references count="2">
          <reference field="4294967294" count="1" selected="0">
            <x v="0"/>
          </reference>
          <reference field="4" count="1" selected="0">
            <x v="3"/>
          </reference>
        </references>
      </pivotArea>
    </chartFormat>
    <chartFormat chart="19" format="21">
      <pivotArea type="data" outline="0" fieldPosition="0">
        <references count="2">
          <reference field="4294967294" count="1" selected="0">
            <x v="0"/>
          </reference>
          <reference field="4" count="1" selected="0">
            <x v="4"/>
          </reference>
        </references>
      </pivotArea>
    </chartFormat>
    <chartFormat chart="19" format="22">
      <pivotArea type="data" outline="0" fieldPosition="0">
        <references count="2">
          <reference field="4294967294" count="1" selected="0">
            <x v="0"/>
          </reference>
          <reference field="4" count="1" selected="0">
            <x v="5"/>
          </reference>
        </references>
      </pivotArea>
    </chartFormat>
    <chartFormat chart="19" format="23">
      <pivotArea type="data" outline="0" fieldPosition="0">
        <references count="2">
          <reference field="4294967294" count="1" selected="0">
            <x v="0"/>
          </reference>
          <reference field="4" count="1" selected="0">
            <x v="6"/>
          </reference>
        </references>
      </pivotArea>
    </chartFormat>
    <chartFormat chart="19" format="24">
      <pivotArea type="data" outline="0" fieldPosition="0">
        <references count="2">
          <reference field="4294967294" count="1" selected="0">
            <x v="0"/>
          </reference>
          <reference field="4" count="1" selected="0">
            <x v="7"/>
          </reference>
        </references>
      </pivotArea>
    </chartFormat>
    <chartFormat chart="19" format="25">
      <pivotArea type="data" outline="0" fieldPosition="0">
        <references count="2">
          <reference field="4294967294" count="1" selected="0">
            <x v="0"/>
          </reference>
          <reference field="4" count="1" selected="0">
            <x v="8"/>
          </reference>
        </references>
      </pivotArea>
    </chartFormat>
    <chartFormat chart="19" format="26">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3F952047-B736-42F8-B21D-1A4153A002B5}" sourceName="MONTHS">
  <pivotTables>
    <pivotTable tabId="15" name="PivotTable10"/>
    <pivotTable tabId="5" name="PivotTable2"/>
    <pivotTable tabId="9" name="PivotTable4"/>
    <pivotTable tabId="14" name="PivotTable9"/>
    <pivotTable tabId="8" name="PivotTable3"/>
    <pivotTable tabId="12" name="PivotTable7"/>
  </pivotTables>
  <data>
    <tabular pivotCacheId="75723662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694DC0-A5A9-40CE-B800-26245CC5FAA2}" sourceName="Region">
  <pivotTables>
    <pivotTable tabId="5" name="PivotTable2"/>
    <pivotTable tabId="9" name="PivotTable4"/>
    <pivotTable tabId="15" name="PivotTable10"/>
    <pivotTable tabId="14" name="PivotTable9"/>
    <pivotTable tabId="8" name="PivotTable3"/>
    <pivotTable tabId="12" name="PivotTable7"/>
  </pivotTables>
  <data>
    <tabular pivotCacheId="757236624">
      <items count="5">
        <i x="4" s="1"/>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AF2C720-FC10-4D86-8D57-883A1226D929}" sourceName="City">
  <pivotTables>
    <pivotTable tabId="5" name="PivotTable2"/>
    <pivotTable tabId="9" name="PivotTable4"/>
    <pivotTable tabId="15" name="PivotTable10"/>
    <pivotTable tabId="14" name="PivotTable9"/>
    <pivotTable tabId="8" name="PivotTable3"/>
    <pivotTable tabId="12" name="PivotTable7"/>
  </pivotTables>
  <data>
    <tabular pivotCacheId="757236624">
      <items count="10">
        <i x="6" s="1"/>
        <i x="9" s="1"/>
        <i x="8" s="1"/>
        <i x="2" s="1"/>
        <i x="3" s="1"/>
        <i x="1" s="1"/>
        <i x="0" s="1"/>
        <i x="5" s="1"/>
        <i x="7"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A0139E51-ABB8-4215-8B5F-27E2555CC813}" cache="Slicer_MONTHS" caption="MONTHS" rowHeight="234950"/>
  <slicer name="Region" xr10:uid="{F1DCF8DB-CD91-4931-B23F-DA78E71D7951}" cache="Slicer_Region" caption="Region" rowHeight="234950"/>
  <slicer name="City" xr10:uid="{CF1E3F55-D163-4413-9E3F-995AF4BF8854}"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0C363-47EE-4651-A1C0-58FB1E98555A}">
  <dimension ref="L1:N3"/>
  <sheetViews>
    <sheetView showGridLines="0" tabSelected="1" workbookViewId="0">
      <selection activeCell="S2" sqref="S2"/>
    </sheetView>
  </sheetViews>
  <sheetFormatPr defaultRowHeight="14.4" x14ac:dyDescent="0.3"/>
  <cols>
    <col min="1" max="16384" width="8.88671875" style="7"/>
  </cols>
  <sheetData>
    <row r="1" spans="12:14" s="8" customFormat="1" x14ac:dyDescent="0.3"/>
    <row r="2" spans="12:14" s="8" customFormat="1" ht="23.4" x14ac:dyDescent="0.45">
      <c r="L2" s="10" t="s">
        <v>2578</v>
      </c>
      <c r="N2" s="9"/>
    </row>
    <row r="3" spans="12:14" s="8"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E5561-721F-4F94-88B9-DFE02EBA4206}">
  <dimension ref="A3:B10"/>
  <sheetViews>
    <sheetView workbookViewId="0">
      <selection activeCell="M20" sqref="M20"/>
    </sheetView>
  </sheetViews>
  <sheetFormatPr defaultRowHeight="14.4" x14ac:dyDescent="0.3"/>
  <cols>
    <col min="1" max="1" width="15.77734375" bestFit="1" customWidth="1"/>
    <col min="2" max="2" width="14.88671875" bestFit="1" customWidth="1"/>
  </cols>
  <sheetData>
    <row r="3" spans="1:2" x14ac:dyDescent="0.3">
      <c r="A3" s="4" t="s">
        <v>2570</v>
      </c>
      <c r="B3" t="s">
        <v>2576</v>
      </c>
    </row>
    <row r="4" spans="1:2" x14ac:dyDescent="0.3">
      <c r="A4" s="5" t="s">
        <v>123</v>
      </c>
      <c r="B4" s="3">
        <v>416</v>
      </c>
    </row>
    <row r="5" spans="1:2" x14ac:dyDescent="0.3">
      <c r="A5" s="5" t="s">
        <v>63</v>
      </c>
      <c r="B5" s="3">
        <v>415</v>
      </c>
    </row>
    <row r="6" spans="1:2" x14ac:dyDescent="0.3">
      <c r="A6" s="5" t="s">
        <v>78</v>
      </c>
      <c r="B6" s="3">
        <v>449</v>
      </c>
    </row>
    <row r="7" spans="1:2" x14ac:dyDescent="0.3">
      <c r="A7" s="5" t="s">
        <v>118</v>
      </c>
      <c r="B7" s="3">
        <v>421</v>
      </c>
    </row>
    <row r="8" spans="1:2" x14ac:dyDescent="0.3">
      <c r="A8" s="5" t="s">
        <v>73</v>
      </c>
      <c r="B8" s="3">
        <v>394</v>
      </c>
    </row>
    <row r="9" spans="1:2" x14ac:dyDescent="0.3">
      <c r="A9" s="5" t="s">
        <v>81</v>
      </c>
      <c r="B9" s="3">
        <v>424</v>
      </c>
    </row>
    <row r="10" spans="1:2" x14ac:dyDescent="0.3">
      <c r="A10" s="5" t="s">
        <v>2571</v>
      </c>
      <c r="B10" s="3">
        <v>2519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C85F8-EFC3-4EBB-8B6A-7AA69CFFDA8A}">
  <dimension ref="A3:B8"/>
  <sheetViews>
    <sheetView workbookViewId="0">
      <selection activeCell="B5" sqref="B5"/>
    </sheetView>
  </sheetViews>
  <sheetFormatPr defaultRowHeight="14.4" x14ac:dyDescent="0.3"/>
  <cols>
    <col min="1" max="1" width="12.5546875" bestFit="1" customWidth="1"/>
    <col min="2" max="2" width="24.44140625" bestFit="1" customWidth="1"/>
    <col min="3" max="3" width="14.88671875" bestFit="1" customWidth="1"/>
  </cols>
  <sheetData>
    <row r="3" spans="1:2" x14ac:dyDescent="0.3">
      <c r="A3" s="4" t="s">
        <v>2570</v>
      </c>
      <c r="B3" t="s">
        <v>2577</v>
      </c>
    </row>
    <row r="4" spans="1:2" x14ac:dyDescent="0.3">
      <c r="A4" s="5" t="s">
        <v>22</v>
      </c>
      <c r="B4" s="3">
        <v>432</v>
      </c>
    </row>
    <row r="5" spans="1:2" x14ac:dyDescent="0.3">
      <c r="A5" s="5" t="s">
        <v>47</v>
      </c>
      <c r="B5" s="3">
        <v>1247</v>
      </c>
    </row>
    <row r="6" spans="1:2" x14ac:dyDescent="0.3">
      <c r="A6" s="5" t="s">
        <v>29</v>
      </c>
      <c r="B6" s="3">
        <v>394</v>
      </c>
    </row>
    <row r="7" spans="1:2" x14ac:dyDescent="0.3">
      <c r="A7" s="5" t="s">
        <v>36</v>
      </c>
      <c r="B7" s="3">
        <v>427</v>
      </c>
    </row>
    <row r="8" spans="1:2" x14ac:dyDescent="0.3">
      <c r="A8" s="5" t="s">
        <v>2571</v>
      </c>
      <c r="B8" s="3">
        <v>2500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01"/>
  <sheetViews>
    <sheetView workbookViewId="0">
      <selection activeCell="A2" sqref="A2:O2501"/>
    </sheetView>
  </sheetViews>
  <sheetFormatPr defaultRowHeight="14.4" x14ac:dyDescent="0.3"/>
  <cols>
    <col min="2" max="2" width="10.33203125" bestFit="1" customWidth="1"/>
    <col min="8" max="8" width="17.77734375" bestFit="1" customWidth="1"/>
    <col min="9" max="9" width="13.21875" bestFit="1" customWidth="1"/>
    <col min="10" max="10" width="16.44140625" bestFit="1" customWidth="1"/>
    <col min="11" max="11" width="8.33203125" bestFit="1" customWidth="1"/>
    <col min="12" max="12" width="9.6640625" bestFit="1" customWidth="1"/>
    <col min="13" max="13" width="10.77734375" bestFit="1" customWidth="1"/>
    <col min="15" max="15" width="12" bestFit="1" customWidth="1"/>
  </cols>
  <sheetData>
    <row r="1" spans="1:15" x14ac:dyDescent="0.3">
      <c r="A1" s="1" t="s">
        <v>0</v>
      </c>
      <c r="B1" s="1" t="s">
        <v>1</v>
      </c>
      <c r="C1" s="1" t="s">
        <v>2</v>
      </c>
      <c r="D1" s="6" t="s">
        <v>2574</v>
      </c>
      <c r="E1" s="1" t="s">
        <v>3</v>
      </c>
      <c r="F1" s="1" t="s">
        <v>4</v>
      </c>
      <c r="G1" s="1" t="s">
        <v>5</v>
      </c>
      <c r="H1" s="1" t="s">
        <v>6</v>
      </c>
      <c r="I1" s="1" t="s">
        <v>7</v>
      </c>
      <c r="J1" s="1" t="s">
        <v>8</v>
      </c>
      <c r="K1" s="1" t="s">
        <v>9</v>
      </c>
      <c r="L1" s="1" t="s">
        <v>10</v>
      </c>
      <c r="M1" s="1" t="s">
        <v>11</v>
      </c>
      <c r="N1" s="1" t="s">
        <v>12</v>
      </c>
      <c r="O1" s="1" t="s">
        <v>13</v>
      </c>
    </row>
    <row r="2" spans="1:15" x14ac:dyDescent="0.3">
      <c r="A2" t="s">
        <v>14</v>
      </c>
      <c r="B2" s="2">
        <v>45292</v>
      </c>
      <c r="C2" t="s">
        <v>15</v>
      </c>
      <c r="D2" t="str">
        <f>TEXT(B2,"mmmm")</f>
        <v>January</v>
      </c>
      <c r="E2" t="s">
        <v>16</v>
      </c>
      <c r="F2" t="s">
        <v>17</v>
      </c>
      <c r="G2" t="s">
        <v>18</v>
      </c>
      <c r="H2" t="s">
        <v>19</v>
      </c>
      <c r="I2" t="s">
        <v>20</v>
      </c>
      <c r="J2" t="s">
        <v>21</v>
      </c>
      <c r="K2">
        <v>2</v>
      </c>
      <c r="L2">
        <v>71377.58</v>
      </c>
      <c r="M2">
        <v>10</v>
      </c>
      <c r="N2">
        <v>128479.65</v>
      </c>
      <c r="O2" t="s">
        <v>22</v>
      </c>
    </row>
    <row r="3" spans="1:15" x14ac:dyDescent="0.3">
      <c r="A3" t="s">
        <v>23</v>
      </c>
      <c r="B3" s="2">
        <v>45293</v>
      </c>
      <c r="C3" t="s">
        <v>15</v>
      </c>
      <c r="D3" t="str">
        <f t="shared" ref="D3:D66" si="0">TEXT(B3,"mmmm")</f>
        <v>January</v>
      </c>
      <c r="E3" t="s">
        <v>24</v>
      </c>
      <c r="F3" t="s">
        <v>25</v>
      </c>
      <c r="G3" t="s">
        <v>26</v>
      </c>
      <c r="H3" t="s">
        <v>27</v>
      </c>
      <c r="I3" t="s">
        <v>20</v>
      </c>
      <c r="J3" t="s">
        <v>28</v>
      </c>
      <c r="K3">
        <v>3</v>
      </c>
      <c r="L3">
        <v>2856.54</v>
      </c>
      <c r="M3">
        <v>5</v>
      </c>
      <c r="N3">
        <v>8141.13</v>
      </c>
      <c r="O3" t="s">
        <v>29</v>
      </c>
    </row>
    <row r="4" spans="1:15" x14ac:dyDescent="0.3">
      <c r="A4" t="s">
        <v>30</v>
      </c>
      <c r="B4" s="2">
        <v>45294</v>
      </c>
      <c r="C4" t="s">
        <v>31</v>
      </c>
      <c r="D4" t="str">
        <f t="shared" si="0"/>
        <v>January</v>
      </c>
      <c r="E4" t="s">
        <v>32</v>
      </c>
      <c r="F4" t="s">
        <v>17</v>
      </c>
      <c r="G4" t="s">
        <v>18</v>
      </c>
      <c r="H4" t="s">
        <v>33</v>
      </c>
      <c r="I4" t="s">
        <v>34</v>
      </c>
      <c r="J4" t="s">
        <v>35</v>
      </c>
      <c r="K4">
        <v>3</v>
      </c>
      <c r="L4">
        <v>53587.45</v>
      </c>
      <c r="M4">
        <v>0</v>
      </c>
      <c r="N4">
        <v>160762.35</v>
      </c>
      <c r="O4" t="s">
        <v>36</v>
      </c>
    </row>
    <row r="5" spans="1:15" x14ac:dyDescent="0.3">
      <c r="A5" t="s">
        <v>37</v>
      </c>
      <c r="B5" s="2">
        <v>45295</v>
      </c>
      <c r="C5" t="s">
        <v>38</v>
      </c>
      <c r="D5" t="str">
        <f t="shared" si="0"/>
        <v>January</v>
      </c>
      <c r="E5" t="s">
        <v>39</v>
      </c>
      <c r="F5" t="s">
        <v>40</v>
      </c>
      <c r="G5" t="s">
        <v>41</v>
      </c>
      <c r="H5" t="s">
        <v>33</v>
      </c>
      <c r="I5" t="s">
        <v>42</v>
      </c>
      <c r="J5" t="s">
        <v>43</v>
      </c>
      <c r="K5">
        <v>3</v>
      </c>
      <c r="L5">
        <v>5532.72</v>
      </c>
      <c r="M5">
        <v>0</v>
      </c>
      <c r="N5">
        <v>16598.169999999998</v>
      </c>
      <c r="O5" t="s">
        <v>22</v>
      </c>
    </row>
    <row r="6" spans="1:15" x14ac:dyDescent="0.3">
      <c r="A6" t="s">
        <v>44</v>
      </c>
      <c r="B6" s="2">
        <v>45296</v>
      </c>
      <c r="C6" t="s">
        <v>38</v>
      </c>
      <c r="D6" t="str">
        <f t="shared" si="0"/>
        <v>January</v>
      </c>
      <c r="E6" t="s">
        <v>39</v>
      </c>
      <c r="F6" t="s">
        <v>17</v>
      </c>
      <c r="G6" t="s">
        <v>18</v>
      </c>
      <c r="H6" t="s">
        <v>45</v>
      </c>
      <c r="I6" t="s">
        <v>34</v>
      </c>
      <c r="J6" t="s">
        <v>46</v>
      </c>
      <c r="K6">
        <v>2</v>
      </c>
      <c r="L6">
        <v>57651.57</v>
      </c>
      <c r="M6">
        <v>0</v>
      </c>
      <c r="N6">
        <v>115303.14</v>
      </c>
      <c r="O6" t="s">
        <v>47</v>
      </c>
    </row>
    <row r="7" spans="1:15" x14ac:dyDescent="0.3">
      <c r="A7" t="s">
        <v>48</v>
      </c>
      <c r="B7" s="2">
        <v>45297</v>
      </c>
      <c r="C7" t="s">
        <v>49</v>
      </c>
      <c r="D7" t="str">
        <f t="shared" si="0"/>
        <v>January</v>
      </c>
      <c r="E7" t="s">
        <v>50</v>
      </c>
      <c r="F7" t="s">
        <v>17</v>
      </c>
      <c r="G7" t="s">
        <v>18</v>
      </c>
      <c r="H7" t="s">
        <v>33</v>
      </c>
      <c r="I7" t="s">
        <v>20</v>
      </c>
      <c r="J7" t="s">
        <v>46</v>
      </c>
      <c r="K7">
        <v>3</v>
      </c>
      <c r="L7">
        <v>45475.21</v>
      </c>
      <c r="M7">
        <v>0</v>
      </c>
      <c r="N7">
        <v>136425.63</v>
      </c>
      <c r="O7" t="s">
        <v>29</v>
      </c>
    </row>
    <row r="8" spans="1:15" x14ac:dyDescent="0.3">
      <c r="A8" t="s">
        <v>51</v>
      </c>
      <c r="B8" s="2">
        <v>45298</v>
      </c>
      <c r="C8" t="s">
        <v>15</v>
      </c>
      <c r="D8" t="str">
        <f t="shared" si="0"/>
        <v>January</v>
      </c>
      <c r="E8" t="s">
        <v>52</v>
      </c>
      <c r="F8" t="s">
        <v>53</v>
      </c>
      <c r="G8" t="s">
        <v>54</v>
      </c>
      <c r="H8" t="s">
        <v>33</v>
      </c>
      <c r="I8" t="s">
        <v>20</v>
      </c>
      <c r="J8" t="s">
        <v>43</v>
      </c>
      <c r="K8">
        <v>1</v>
      </c>
      <c r="L8">
        <v>33825.230000000003</v>
      </c>
      <c r="M8">
        <v>20</v>
      </c>
      <c r="N8">
        <v>27060.18</v>
      </c>
      <c r="O8" t="s">
        <v>47</v>
      </c>
    </row>
    <row r="9" spans="1:15" x14ac:dyDescent="0.3">
      <c r="A9" t="s">
        <v>55</v>
      </c>
      <c r="B9" s="2">
        <v>45299</v>
      </c>
      <c r="C9" t="s">
        <v>31</v>
      </c>
      <c r="D9" t="str">
        <f t="shared" si="0"/>
        <v>January</v>
      </c>
      <c r="E9" t="s">
        <v>39</v>
      </c>
      <c r="F9" t="s">
        <v>25</v>
      </c>
      <c r="G9" t="s">
        <v>56</v>
      </c>
      <c r="H9" t="s">
        <v>33</v>
      </c>
      <c r="I9" t="s">
        <v>42</v>
      </c>
      <c r="J9" t="s">
        <v>28</v>
      </c>
      <c r="K9">
        <v>1</v>
      </c>
      <c r="L9">
        <v>2401.6999999999998</v>
      </c>
      <c r="M9">
        <v>5</v>
      </c>
      <c r="N9">
        <v>2281.61</v>
      </c>
      <c r="O9" t="s">
        <v>36</v>
      </c>
    </row>
    <row r="10" spans="1:15" x14ac:dyDescent="0.3">
      <c r="A10" t="s">
        <v>57</v>
      </c>
      <c r="B10" s="2">
        <v>45300</v>
      </c>
      <c r="C10" t="s">
        <v>58</v>
      </c>
      <c r="D10" t="str">
        <f t="shared" si="0"/>
        <v>January</v>
      </c>
      <c r="E10" t="s">
        <v>16</v>
      </c>
      <c r="F10" t="s">
        <v>53</v>
      </c>
      <c r="G10" t="s">
        <v>54</v>
      </c>
      <c r="H10" t="s">
        <v>27</v>
      </c>
      <c r="I10" t="s">
        <v>42</v>
      </c>
      <c r="J10" t="s">
        <v>35</v>
      </c>
      <c r="K10">
        <v>5</v>
      </c>
      <c r="L10">
        <v>26968.720000000001</v>
      </c>
      <c r="M10">
        <v>0</v>
      </c>
      <c r="N10">
        <v>134843.59</v>
      </c>
      <c r="O10" t="s">
        <v>22</v>
      </c>
    </row>
    <row r="11" spans="1:15" x14ac:dyDescent="0.3">
      <c r="A11" t="s">
        <v>59</v>
      </c>
      <c r="B11" s="2">
        <v>45301</v>
      </c>
      <c r="C11" t="s">
        <v>58</v>
      </c>
      <c r="D11" t="str">
        <f t="shared" si="0"/>
        <v>January</v>
      </c>
      <c r="E11" t="s">
        <v>50</v>
      </c>
      <c r="F11" t="s">
        <v>60</v>
      </c>
      <c r="G11" t="s">
        <v>61</v>
      </c>
      <c r="H11" t="s">
        <v>19</v>
      </c>
      <c r="I11" t="s">
        <v>34</v>
      </c>
      <c r="J11" t="s">
        <v>21</v>
      </c>
      <c r="K11">
        <v>2</v>
      </c>
      <c r="L11">
        <v>37269.94</v>
      </c>
      <c r="M11">
        <v>0</v>
      </c>
      <c r="N11">
        <v>74539.88</v>
      </c>
      <c r="O11" t="s">
        <v>47</v>
      </c>
    </row>
    <row r="12" spans="1:15" x14ac:dyDescent="0.3">
      <c r="A12" t="s">
        <v>62</v>
      </c>
      <c r="B12" s="2">
        <v>45302</v>
      </c>
      <c r="C12" t="s">
        <v>49</v>
      </c>
      <c r="D12" t="str">
        <f t="shared" si="0"/>
        <v>January</v>
      </c>
      <c r="E12" t="s">
        <v>24</v>
      </c>
      <c r="F12" t="s">
        <v>17</v>
      </c>
      <c r="G12" t="s">
        <v>63</v>
      </c>
      <c r="H12" t="s">
        <v>19</v>
      </c>
      <c r="I12" t="s">
        <v>42</v>
      </c>
      <c r="J12" t="s">
        <v>28</v>
      </c>
      <c r="K12">
        <v>2</v>
      </c>
      <c r="L12">
        <v>58627.33</v>
      </c>
      <c r="M12">
        <v>5</v>
      </c>
      <c r="N12">
        <v>111391.93</v>
      </c>
      <c r="O12" t="s">
        <v>47</v>
      </c>
    </row>
    <row r="13" spans="1:15" x14ac:dyDescent="0.3">
      <c r="A13" t="s">
        <v>64</v>
      </c>
      <c r="B13" s="2">
        <v>45303</v>
      </c>
      <c r="C13" t="s">
        <v>49</v>
      </c>
      <c r="D13" t="str">
        <f t="shared" si="0"/>
        <v>January</v>
      </c>
      <c r="E13" t="s">
        <v>50</v>
      </c>
      <c r="F13" t="s">
        <v>53</v>
      </c>
      <c r="G13" t="s">
        <v>65</v>
      </c>
      <c r="H13" t="s">
        <v>33</v>
      </c>
      <c r="I13" t="s">
        <v>20</v>
      </c>
      <c r="J13" t="s">
        <v>46</v>
      </c>
      <c r="K13">
        <v>5</v>
      </c>
      <c r="L13">
        <v>36918.550000000003</v>
      </c>
      <c r="M13">
        <v>15</v>
      </c>
      <c r="N13">
        <v>156903.82999999999</v>
      </c>
      <c r="O13" t="s">
        <v>29</v>
      </c>
    </row>
    <row r="14" spans="1:15" x14ac:dyDescent="0.3">
      <c r="A14" t="s">
        <v>66</v>
      </c>
      <c r="B14" s="2">
        <v>45304</v>
      </c>
      <c r="C14" t="s">
        <v>31</v>
      </c>
      <c r="D14" t="str">
        <f t="shared" si="0"/>
        <v>January</v>
      </c>
      <c r="E14" t="s">
        <v>39</v>
      </c>
      <c r="F14" t="s">
        <v>17</v>
      </c>
      <c r="G14" t="s">
        <v>67</v>
      </c>
      <c r="H14" t="s">
        <v>19</v>
      </c>
      <c r="I14" t="s">
        <v>34</v>
      </c>
      <c r="J14" t="s">
        <v>43</v>
      </c>
      <c r="K14">
        <v>5</v>
      </c>
      <c r="L14">
        <v>63536.79</v>
      </c>
      <c r="M14">
        <v>5</v>
      </c>
      <c r="N14">
        <v>301799.77</v>
      </c>
      <c r="O14" t="s">
        <v>29</v>
      </c>
    </row>
    <row r="15" spans="1:15" x14ac:dyDescent="0.3">
      <c r="A15" t="s">
        <v>68</v>
      </c>
      <c r="B15" s="2">
        <v>45305</v>
      </c>
      <c r="C15" t="s">
        <v>58</v>
      </c>
      <c r="D15" t="str">
        <f t="shared" si="0"/>
        <v>January</v>
      </c>
      <c r="E15" t="s">
        <v>69</v>
      </c>
      <c r="F15" t="s">
        <v>60</v>
      </c>
      <c r="G15" t="s">
        <v>70</v>
      </c>
      <c r="H15" t="s">
        <v>27</v>
      </c>
      <c r="I15" t="s">
        <v>42</v>
      </c>
      <c r="J15" t="s">
        <v>21</v>
      </c>
      <c r="K15">
        <v>4</v>
      </c>
      <c r="L15">
        <v>48435.76</v>
      </c>
      <c r="M15">
        <v>0</v>
      </c>
      <c r="N15">
        <v>193743.04</v>
      </c>
      <c r="O15" t="s">
        <v>47</v>
      </c>
    </row>
    <row r="16" spans="1:15" x14ac:dyDescent="0.3">
      <c r="A16" t="s">
        <v>71</v>
      </c>
      <c r="B16" s="2">
        <v>45306</v>
      </c>
      <c r="C16" t="s">
        <v>58</v>
      </c>
      <c r="D16" t="str">
        <f t="shared" si="0"/>
        <v>January</v>
      </c>
      <c r="E16" t="s">
        <v>72</v>
      </c>
      <c r="F16" t="s">
        <v>60</v>
      </c>
      <c r="G16" t="s">
        <v>73</v>
      </c>
      <c r="H16" t="s">
        <v>19</v>
      </c>
      <c r="I16" t="s">
        <v>20</v>
      </c>
      <c r="J16" t="s">
        <v>28</v>
      </c>
      <c r="K16">
        <v>3</v>
      </c>
      <c r="L16">
        <v>49188.32</v>
      </c>
      <c r="M16">
        <v>5</v>
      </c>
      <c r="N16">
        <v>140186.70000000001</v>
      </c>
      <c r="O16" t="s">
        <v>47</v>
      </c>
    </row>
    <row r="17" spans="1:15" x14ac:dyDescent="0.3">
      <c r="A17" t="s">
        <v>74</v>
      </c>
      <c r="B17" s="2">
        <v>45307</v>
      </c>
      <c r="C17" t="s">
        <v>31</v>
      </c>
      <c r="D17" t="str">
        <f t="shared" si="0"/>
        <v>January</v>
      </c>
      <c r="E17" t="s">
        <v>69</v>
      </c>
      <c r="F17" t="s">
        <v>40</v>
      </c>
      <c r="G17" t="s">
        <v>75</v>
      </c>
      <c r="H17" t="s">
        <v>45</v>
      </c>
      <c r="I17" t="s">
        <v>20</v>
      </c>
      <c r="J17" t="s">
        <v>43</v>
      </c>
      <c r="K17">
        <v>3</v>
      </c>
      <c r="L17">
        <v>7940.45</v>
      </c>
      <c r="M17">
        <v>10</v>
      </c>
      <c r="N17">
        <v>21439.22</v>
      </c>
      <c r="O17" t="s">
        <v>22</v>
      </c>
    </row>
    <row r="18" spans="1:15" x14ac:dyDescent="0.3">
      <c r="A18" t="s">
        <v>76</v>
      </c>
      <c r="B18" s="2">
        <v>45308</v>
      </c>
      <c r="C18" t="s">
        <v>31</v>
      </c>
      <c r="D18" t="str">
        <f t="shared" si="0"/>
        <v>January</v>
      </c>
      <c r="E18" t="s">
        <v>77</v>
      </c>
      <c r="F18" t="s">
        <v>60</v>
      </c>
      <c r="G18" t="s">
        <v>78</v>
      </c>
      <c r="H18" t="s">
        <v>33</v>
      </c>
      <c r="I18" t="s">
        <v>42</v>
      </c>
      <c r="J18" t="s">
        <v>46</v>
      </c>
      <c r="K18">
        <v>1</v>
      </c>
      <c r="L18">
        <v>37904.300000000003</v>
      </c>
      <c r="M18">
        <v>15</v>
      </c>
      <c r="N18">
        <v>32218.66</v>
      </c>
      <c r="O18" t="s">
        <v>47</v>
      </c>
    </row>
    <row r="19" spans="1:15" x14ac:dyDescent="0.3">
      <c r="A19" t="s">
        <v>79</v>
      </c>
      <c r="B19" s="2">
        <v>45309</v>
      </c>
      <c r="C19" t="s">
        <v>31</v>
      </c>
      <c r="D19" t="str">
        <f t="shared" si="0"/>
        <v>January</v>
      </c>
      <c r="E19" t="s">
        <v>77</v>
      </c>
      <c r="F19" t="s">
        <v>60</v>
      </c>
      <c r="G19" t="s">
        <v>78</v>
      </c>
      <c r="H19" t="s">
        <v>33</v>
      </c>
      <c r="I19" t="s">
        <v>34</v>
      </c>
      <c r="J19" t="s">
        <v>35</v>
      </c>
      <c r="K19">
        <v>2</v>
      </c>
      <c r="L19">
        <v>40930.69</v>
      </c>
      <c r="M19">
        <v>0</v>
      </c>
      <c r="N19">
        <v>81861.38</v>
      </c>
      <c r="O19" t="s">
        <v>47</v>
      </c>
    </row>
    <row r="20" spans="1:15" x14ac:dyDescent="0.3">
      <c r="A20" t="s">
        <v>80</v>
      </c>
      <c r="B20" s="2">
        <v>45310</v>
      </c>
      <c r="C20" t="s">
        <v>31</v>
      </c>
      <c r="D20" t="str">
        <f t="shared" si="0"/>
        <v>January</v>
      </c>
      <c r="E20" t="s">
        <v>24</v>
      </c>
      <c r="F20" t="s">
        <v>25</v>
      </c>
      <c r="G20" t="s">
        <v>81</v>
      </c>
      <c r="H20" t="s">
        <v>33</v>
      </c>
      <c r="I20" t="s">
        <v>20</v>
      </c>
      <c r="J20" t="s">
        <v>21</v>
      </c>
      <c r="K20">
        <v>5</v>
      </c>
      <c r="L20">
        <v>2511.09</v>
      </c>
      <c r="M20">
        <v>10</v>
      </c>
      <c r="N20">
        <v>11299.91</v>
      </c>
      <c r="O20" t="s">
        <v>47</v>
      </c>
    </row>
    <row r="21" spans="1:15" x14ac:dyDescent="0.3">
      <c r="A21" t="s">
        <v>82</v>
      </c>
      <c r="B21" s="2">
        <v>45311</v>
      </c>
      <c r="C21" t="s">
        <v>49</v>
      </c>
      <c r="D21" t="str">
        <f t="shared" si="0"/>
        <v>January</v>
      </c>
      <c r="E21" t="s">
        <v>52</v>
      </c>
      <c r="F21" t="s">
        <v>40</v>
      </c>
      <c r="G21" t="s">
        <v>41</v>
      </c>
      <c r="H21" t="s">
        <v>19</v>
      </c>
      <c r="I21" t="s">
        <v>34</v>
      </c>
      <c r="J21" t="s">
        <v>21</v>
      </c>
      <c r="K21">
        <v>3</v>
      </c>
      <c r="L21">
        <v>5878.58</v>
      </c>
      <c r="M21">
        <v>20</v>
      </c>
      <c r="N21">
        <v>14108.6</v>
      </c>
      <c r="O21" t="s">
        <v>29</v>
      </c>
    </row>
    <row r="22" spans="1:15" x14ac:dyDescent="0.3">
      <c r="A22" t="s">
        <v>83</v>
      </c>
      <c r="B22" s="2">
        <v>45312</v>
      </c>
      <c r="C22" t="s">
        <v>15</v>
      </c>
      <c r="D22" t="str">
        <f t="shared" si="0"/>
        <v>January</v>
      </c>
      <c r="E22" t="s">
        <v>72</v>
      </c>
      <c r="F22" t="s">
        <v>40</v>
      </c>
      <c r="G22" t="s">
        <v>75</v>
      </c>
      <c r="H22" t="s">
        <v>19</v>
      </c>
      <c r="I22" t="s">
        <v>20</v>
      </c>
      <c r="J22" t="s">
        <v>46</v>
      </c>
      <c r="K22">
        <v>5</v>
      </c>
      <c r="L22">
        <v>7225.36</v>
      </c>
      <c r="M22">
        <v>0</v>
      </c>
      <c r="N22">
        <v>36126.82</v>
      </c>
      <c r="O22" t="s">
        <v>47</v>
      </c>
    </row>
    <row r="23" spans="1:15" x14ac:dyDescent="0.3">
      <c r="A23" t="s">
        <v>84</v>
      </c>
      <c r="B23" s="2">
        <v>45313</v>
      </c>
      <c r="C23" t="s">
        <v>31</v>
      </c>
      <c r="D23" t="str">
        <f t="shared" si="0"/>
        <v>January</v>
      </c>
      <c r="E23" t="s">
        <v>32</v>
      </c>
      <c r="F23" t="s">
        <v>40</v>
      </c>
      <c r="G23" t="s">
        <v>41</v>
      </c>
      <c r="H23" t="s">
        <v>45</v>
      </c>
      <c r="I23" t="s">
        <v>20</v>
      </c>
      <c r="J23" t="s">
        <v>46</v>
      </c>
      <c r="K23">
        <v>3</v>
      </c>
      <c r="L23">
        <v>6621.21</v>
      </c>
      <c r="M23">
        <v>0</v>
      </c>
      <c r="N23">
        <v>19863.62</v>
      </c>
      <c r="O23" t="s">
        <v>47</v>
      </c>
    </row>
    <row r="24" spans="1:15" x14ac:dyDescent="0.3">
      <c r="A24" t="s">
        <v>85</v>
      </c>
      <c r="B24" s="2">
        <v>45314</v>
      </c>
      <c r="C24" t="s">
        <v>15</v>
      </c>
      <c r="D24" t="str">
        <f t="shared" si="0"/>
        <v>January</v>
      </c>
      <c r="E24" t="s">
        <v>77</v>
      </c>
      <c r="F24" t="s">
        <v>60</v>
      </c>
      <c r="G24" t="s">
        <v>61</v>
      </c>
      <c r="H24" t="s">
        <v>33</v>
      </c>
      <c r="I24" t="s">
        <v>42</v>
      </c>
      <c r="J24" t="s">
        <v>21</v>
      </c>
      <c r="K24">
        <v>5</v>
      </c>
      <c r="L24">
        <v>40143.93</v>
      </c>
      <c r="M24">
        <v>5</v>
      </c>
      <c r="N24">
        <v>190683.67</v>
      </c>
      <c r="O24" t="s">
        <v>29</v>
      </c>
    </row>
    <row r="25" spans="1:15" x14ac:dyDescent="0.3">
      <c r="A25" t="s">
        <v>86</v>
      </c>
      <c r="B25" s="2">
        <v>45315</v>
      </c>
      <c r="C25" t="s">
        <v>58</v>
      </c>
      <c r="D25" t="str">
        <f t="shared" si="0"/>
        <v>January</v>
      </c>
      <c r="E25" t="s">
        <v>16</v>
      </c>
      <c r="F25" t="s">
        <v>17</v>
      </c>
      <c r="G25" t="s">
        <v>67</v>
      </c>
      <c r="H25" t="s">
        <v>19</v>
      </c>
      <c r="I25" t="s">
        <v>42</v>
      </c>
      <c r="J25" t="s">
        <v>28</v>
      </c>
      <c r="K25">
        <v>2</v>
      </c>
      <c r="L25">
        <v>57127.34</v>
      </c>
      <c r="M25">
        <v>0</v>
      </c>
      <c r="N25">
        <v>114254.69</v>
      </c>
      <c r="O25" t="s">
        <v>29</v>
      </c>
    </row>
    <row r="26" spans="1:15" x14ac:dyDescent="0.3">
      <c r="A26" t="s">
        <v>87</v>
      </c>
      <c r="B26" s="2">
        <v>45316</v>
      </c>
      <c r="C26" t="s">
        <v>49</v>
      </c>
      <c r="D26" t="str">
        <f t="shared" si="0"/>
        <v>January</v>
      </c>
      <c r="E26" t="s">
        <v>39</v>
      </c>
      <c r="F26" t="s">
        <v>17</v>
      </c>
      <c r="G26" t="s">
        <v>18</v>
      </c>
      <c r="H26" t="s">
        <v>27</v>
      </c>
      <c r="I26" t="s">
        <v>20</v>
      </c>
      <c r="J26" t="s">
        <v>21</v>
      </c>
      <c r="K26">
        <v>4</v>
      </c>
      <c r="L26">
        <v>54229.93</v>
      </c>
      <c r="M26">
        <v>5</v>
      </c>
      <c r="N26">
        <v>206073.73</v>
      </c>
      <c r="O26" t="s">
        <v>36</v>
      </c>
    </row>
    <row r="27" spans="1:15" x14ac:dyDescent="0.3">
      <c r="A27" t="s">
        <v>88</v>
      </c>
      <c r="B27" s="2">
        <v>45317</v>
      </c>
      <c r="C27" t="s">
        <v>49</v>
      </c>
      <c r="D27" t="str">
        <f t="shared" si="0"/>
        <v>January</v>
      </c>
      <c r="E27" t="s">
        <v>39</v>
      </c>
      <c r="F27" t="s">
        <v>17</v>
      </c>
      <c r="G27" t="s">
        <v>67</v>
      </c>
      <c r="H27" t="s">
        <v>33</v>
      </c>
      <c r="I27" t="s">
        <v>34</v>
      </c>
      <c r="J27" t="s">
        <v>28</v>
      </c>
      <c r="K27">
        <v>3</v>
      </c>
      <c r="L27">
        <v>63815.97</v>
      </c>
      <c r="M27">
        <v>15</v>
      </c>
      <c r="N27">
        <v>162730.73000000001</v>
      </c>
      <c r="O27" t="s">
        <v>22</v>
      </c>
    </row>
    <row r="28" spans="1:15" x14ac:dyDescent="0.3">
      <c r="A28" t="s">
        <v>89</v>
      </c>
      <c r="B28" s="2">
        <v>45318</v>
      </c>
      <c r="C28" t="s">
        <v>38</v>
      </c>
      <c r="D28" t="str">
        <f t="shared" si="0"/>
        <v>January</v>
      </c>
      <c r="E28" t="s">
        <v>39</v>
      </c>
      <c r="F28" t="s">
        <v>60</v>
      </c>
      <c r="G28" t="s">
        <v>78</v>
      </c>
      <c r="H28" t="s">
        <v>33</v>
      </c>
      <c r="I28" t="s">
        <v>42</v>
      </c>
      <c r="J28" t="s">
        <v>35</v>
      </c>
      <c r="K28">
        <v>4</v>
      </c>
      <c r="L28">
        <v>44958.35</v>
      </c>
      <c r="M28">
        <v>15</v>
      </c>
      <c r="N28">
        <v>152858.39000000001</v>
      </c>
      <c r="O28" t="s">
        <v>22</v>
      </c>
    </row>
    <row r="29" spans="1:15" x14ac:dyDescent="0.3">
      <c r="A29" t="s">
        <v>90</v>
      </c>
      <c r="B29" s="2">
        <v>45319</v>
      </c>
      <c r="C29" t="s">
        <v>49</v>
      </c>
      <c r="D29" t="str">
        <f t="shared" si="0"/>
        <v>January</v>
      </c>
      <c r="E29" t="s">
        <v>72</v>
      </c>
      <c r="F29" t="s">
        <v>53</v>
      </c>
      <c r="G29" t="s">
        <v>65</v>
      </c>
      <c r="H29" t="s">
        <v>45</v>
      </c>
      <c r="I29" t="s">
        <v>42</v>
      </c>
      <c r="J29" t="s">
        <v>46</v>
      </c>
      <c r="K29">
        <v>4</v>
      </c>
      <c r="L29">
        <v>37966.910000000003</v>
      </c>
      <c r="M29">
        <v>10</v>
      </c>
      <c r="N29">
        <v>136680.85999999999</v>
      </c>
      <c r="O29" t="s">
        <v>47</v>
      </c>
    </row>
    <row r="30" spans="1:15" x14ac:dyDescent="0.3">
      <c r="A30" t="s">
        <v>91</v>
      </c>
      <c r="B30" s="2">
        <v>45320</v>
      </c>
      <c r="C30" t="s">
        <v>49</v>
      </c>
      <c r="D30" t="str">
        <f t="shared" si="0"/>
        <v>January</v>
      </c>
      <c r="E30" t="s">
        <v>32</v>
      </c>
      <c r="F30" t="s">
        <v>25</v>
      </c>
      <c r="G30" t="s">
        <v>92</v>
      </c>
      <c r="H30" t="s">
        <v>27</v>
      </c>
      <c r="I30" t="s">
        <v>34</v>
      </c>
      <c r="J30" t="s">
        <v>28</v>
      </c>
      <c r="K30">
        <v>3</v>
      </c>
      <c r="L30">
        <v>2932.25</v>
      </c>
      <c r="M30">
        <v>20</v>
      </c>
      <c r="N30">
        <v>7037.41</v>
      </c>
      <c r="O30" t="s">
        <v>29</v>
      </c>
    </row>
    <row r="31" spans="1:15" x14ac:dyDescent="0.3">
      <c r="A31" t="s">
        <v>93</v>
      </c>
      <c r="B31" s="2">
        <v>45321</v>
      </c>
      <c r="C31" t="s">
        <v>38</v>
      </c>
      <c r="D31" t="str">
        <f t="shared" si="0"/>
        <v>January</v>
      </c>
      <c r="E31" t="s">
        <v>72</v>
      </c>
      <c r="F31" t="s">
        <v>17</v>
      </c>
      <c r="G31" t="s">
        <v>67</v>
      </c>
      <c r="H31" t="s">
        <v>27</v>
      </c>
      <c r="I31" t="s">
        <v>34</v>
      </c>
      <c r="J31" t="s">
        <v>35</v>
      </c>
      <c r="K31">
        <v>3</v>
      </c>
      <c r="L31">
        <v>47274.67</v>
      </c>
      <c r="M31">
        <v>15</v>
      </c>
      <c r="N31">
        <v>120550.42</v>
      </c>
      <c r="O31" t="s">
        <v>22</v>
      </c>
    </row>
    <row r="32" spans="1:15" x14ac:dyDescent="0.3">
      <c r="A32" t="s">
        <v>94</v>
      </c>
      <c r="B32" s="2">
        <v>45322</v>
      </c>
      <c r="C32" t="s">
        <v>15</v>
      </c>
      <c r="D32" t="str">
        <f t="shared" si="0"/>
        <v>January</v>
      </c>
      <c r="E32" t="s">
        <v>52</v>
      </c>
      <c r="F32" t="s">
        <v>17</v>
      </c>
      <c r="G32" t="s">
        <v>18</v>
      </c>
      <c r="H32" t="s">
        <v>19</v>
      </c>
      <c r="I32" t="s">
        <v>34</v>
      </c>
      <c r="J32" t="s">
        <v>43</v>
      </c>
      <c r="K32">
        <v>2</v>
      </c>
      <c r="L32">
        <v>56134.48</v>
      </c>
      <c r="M32">
        <v>15</v>
      </c>
      <c r="N32">
        <v>95428.62</v>
      </c>
      <c r="O32" t="s">
        <v>47</v>
      </c>
    </row>
    <row r="33" spans="1:15" x14ac:dyDescent="0.3">
      <c r="A33" t="s">
        <v>95</v>
      </c>
      <c r="B33" s="2">
        <v>45323</v>
      </c>
      <c r="C33" t="s">
        <v>38</v>
      </c>
      <c r="D33" t="str">
        <f t="shared" si="0"/>
        <v>February</v>
      </c>
      <c r="E33" t="s">
        <v>77</v>
      </c>
      <c r="F33" t="s">
        <v>17</v>
      </c>
      <c r="G33" t="s">
        <v>63</v>
      </c>
      <c r="H33" t="s">
        <v>45</v>
      </c>
      <c r="I33" t="s">
        <v>42</v>
      </c>
      <c r="J33" t="s">
        <v>21</v>
      </c>
      <c r="K33">
        <v>3</v>
      </c>
      <c r="L33">
        <v>46339.78</v>
      </c>
      <c r="M33">
        <v>0</v>
      </c>
      <c r="N33">
        <v>139019.32999999999</v>
      </c>
      <c r="O33" t="s">
        <v>47</v>
      </c>
    </row>
    <row r="34" spans="1:15" x14ac:dyDescent="0.3">
      <c r="A34" t="s">
        <v>96</v>
      </c>
      <c r="B34" s="2">
        <v>45324</v>
      </c>
      <c r="C34" t="s">
        <v>58</v>
      </c>
      <c r="D34" t="str">
        <f t="shared" si="0"/>
        <v>February</v>
      </c>
      <c r="E34" t="s">
        <v>72</v>
      </c>
      <c r="F34" t="s">
        <v>60</v>
      </c>
      <c r="G34" t="s">
        <v>78</v>
      </c>
      <c r="H34" t="s">
        <v>45</v>
      </c>
      <c r="I34" t="s">
        <v>42</v>
      </c>
      <c r="J34" t="s">
        <v>43</v>
      </c>
      <c r="K34">
        <v>4</v>
      </c>
      <c r="L34">
        <v>38803.050000000003</v>
      </c>
      <c r="M34">
        <v>0</v>
      </c>
      <c r="N34">
        <v>155212.18</v>
      </c>
      <c r="O34" t="s">
        <v>22</v>
      </c>
    </row>
    <row r="35" spans="1:15" x14ac:dyDescent="0.3">
      <c r="A35" t="s">
        <v>97</v>
      </c>
      <c r="B35" s="2">
        <v>45325</v>
      </c>
      <c r="C35" t="s">
        <v>31</v>
      </c>
      <c r="D35" t="str">
        <f t="shared" si="0"/>
        <v>February</v>
      </c>
      <c r="E35" t="s">
        <v>77</v>
      </c>
      <c r="F35" t="s">
        <v>25</v>
      </c>
      <c r="G35" t="s">
        <v>92</v>
      </c>
      <c r="H35" t="s">
        <v>33</v>
      </c>
      <c r="I35" t="s">
        <v>42</v>
      </c>
      <c r="J35" t="s">
        <v>43</v>
      </c>
      <c r="K35">
        <v>1</v>
      </c>
      <c r="L35">
        <v>3078.48</v>
      </c>
      <c r="M35">
        <v>15</v>
      </c>
      <c r="N35">
        <v>2616.71</v>
      </c>
      <c r="O35" t="s">
        <v>36</v>
      </c>
    </row>
    <row r="36" spans="1:15" x14ac:dyDescent="0.3">
      <c r="A36" t="s">
        <v>98</v>
      </c>
      <c r="B36" s="2">
        <v>45326</v>
      </c>
      <c r="C36" t="s">
        <v>58</v>
      </c>
      <c r="D36" t="str">
        <f t="shared" si="0"/>
        <v>February</v>
      </c>
      <c r="E36" t="s">
        <v>69</v>
      </c>
      <c r="F36" t="s">
        <v>17</v>
      </c>
      <c r="G36" t="s">
        <v>63</v>
      </c>
      <c r="H36" t="s">
        <v>45</v>
      </c>
      <c r="I36" t="s">
        <v>20</v>
      </c>
      <c r="J36" t="s">
        <v>21</v>
      </c>
      <c r="K36">
        <v>4</v>
      </c>
      <c r="L36">
        <v>65061.86</v>
      </c>
      <c r="M36">
        <v>15</v>
      </c>
      <c r="N36">
        <v>221210.32</v>
      </c>
      <c r="O36" t="s">
        <v>47</v>
      </c>
    </row>
    <row r="37" spans="1:15" x14ac:dyDescent="0.3">
      <c r="A37" t="s">
        <v>99</v>
      </c>
      <c r="B37" s="2">
        <v>45327</v>
      </c>
      <c r="C37" t="s">
        <v>58</v>
      </c>
      <c r="D37" t="str">
        <f t="shared" si="0"/>
        <v>February</v>
      </c>
      <c r="E37" t="s">
        <v>100</v>
      </c>
      <c r="F37" t="s">
        <v>60</v>
      </c>
      <c r="G37" t="s">
        <v>61</v>
      </c>
      <c r="H37" t="s">
        <v>27</v>
      </c>
      <c r="I37" t="s">
        <v>34</v>
      </c>
      <c r="J37" t="s">
        <v>46</v>
      </c>
      <c r="K37">
        <v>5</v>
      </c>
      <c r="L37">
        <v>50906.39</v>
      </c>
      <c r="M37">
        <v>0</v>
      </c>
      <c r="N37">
        <v>254531.97</v>
      </c>
      <c r="O37" t="s">
        <v>47</v>
      </c>
    </row>
    <row r="38" spans="1:15" x14ac:dyDescent="0.3">
      <c r="A38" t="s">
        <v>101</v>
      </c>
      <c r="B38" s="2">
        <v>45328</v>
      </c>
      <c r="C38" t="s">
        <v>38</v>
      </c>
      <c r="D38" t="str">
        <f t="shared" si="0"/>
        <v>February</v>
      </c>
      <c r="E38" t="s">
        <v>69</v>
      </c>
      <c r="F38" t="s">
        <v>40</v>
      </c>
      <c r="G38" t="s">
        <v>41</v>
      </c>
      <c r="H38" t="s">
        <v>19</v>
      </c>
      <c r="I38" t="s">
        <v>42</v>
      </c>
      <c r="J38" t="s">
        <v>21</v>
      </c>
      <c r="K38">
        <v>1</v>
      </c>
      <c r="L38">
        <v>6571.29</v>
      </c>
      <c r="M38">
        <v>20</v>
      </c>
      <c r="N38">
        <v>5257.03</v>
      </c>
      <c r="O38" t="s">
        <v>47</v>
      </c>
    </row>
    <row r="39" spans="1:15" x14ac:dyDescent="0.3">
      <c r="A39" t="s">
        <v>102</v>
      </c>
      <c r="B39" s="2">
        <v>45329</v>
      </c>
      <c r="C39" t="s">
        <v>15</v>
      </c>
      <c r="D39" t="str">
        <f t="shared" si="0"/>
        <v>February</v>
      </c>
      <c r="E39" t="s">
        <v>39</v>
      </c>
      <c r="F39" t="s">
        <v>25</v>
      </c>
      <c r="G39" t="s">
        <v>81</v>
      </c>
      <c r="H39" t="s">
        <v>45</v>
      </c>
      <c r="I39" t="s">
        <v>34</v>
      </c>
      <c r="J39" t="s">
        <v>21</v>
      </c>
      <c r="K39">
        <v>5</v>
      </c>
      <c r="L39">
        <v>3105.59</v>
      </c>
      <c r="M39">
        <v>0</v>
      </c>
      <c r="N39">
        <v>15527.95</v>
      </c>
      <c r="O39" t="s">
        <v>22</v>
      </c>
    </row>
    <row r="40" spans="1:15" x14ac:dyDescent="0.3">
      <c r="A40" t="s">
        <v>103</v>
      </c>
      <c r="B40" s="2">
        <v>45330</v>
      </c>
      <c r="C40" t="s">
        <v>49</v>
      </c>
      <c r="D40" t="str">
        <f t="shared" si="0"/>
        <v>February</v>
      </c>
      <c r="E40" t="s">
        <v>39</v>
      </c>
      <c r="F40" t="s">
        <v>17</v>
      </c>
      <c r="G40" t="s">
        <v>18</v>
      </c>
      <c r="H40" t="s">
        <v>33</v>
      </c>
      <c r="I40" t="s">
        <v>20</v>
      </c>
      <c r="J40" t="s">
        <v>21</v>
      </c>
      <c r="K40">
        <v>5</v>
      </c>
      <c r="L40">
        <v>52083.68</v>
      </c>
      <c r="M40">
        <v>5</v>
      </c>
      <c r="N40">
        <v>247397.46</v>
      </c>
      <c r="O40" t="s">
        <v>36</v>
      </c>
    </row>
    <row r="41" spans="1:15" x14ac:dyDescent="0.3">
      <c r="A41" t="s">
        <v>104</v>
      </c>
      <c r="B41" s="2">
        <v>45331</v>
      </c>
      <c r="C41" t="s">
        <v>15</v>
      </c>
      <c r="D41" t="str">
        <f t="shared" si="0"/>
        <v>February</v>
      </c>
      <c r="E41" t="s">
        <v>52</v>
      </c>
      <c r="F41" t="s">
        <v>53</v>
      </c>
      <c r="G41" t="s">
        <v>105</v>
      </c>
      <c r="H41" t="s">
        <v>45</v>
      </c>
      <c r="I41" t="s">
        <v>20</v>
      </c>
      <c r="J41" t="s">
        <v>21</v>
      </c>
      <c r="K41">
        <v>3</v>
      </c>
      <c r="L41">
        <v>24635.56</v>
      </c>
      <c r="M41">
        <v>5</v>
      </c>
      <c r="N41">
        <v>70211.350000000006</v>
      </c>
      <c r="O41" t="s">
        <v>29</v>
      </c>
    </row>
    <row r="42" spans="1:15" x14ac:dyDescent="0.3">
      <c r="A42" t="s">
        <v>106</v>
      </c>
      <c r="B42" s="2">
        <v>45332</v>
      </c>
      <c r="C42" t="s">
        <v>15</v>
      </c>
      <c r="D42" t="str">
        <f t="shared" si="0"/>
        <v>February</v>
      </c>
      <c r="E42" t="s">
        <v>39</v>
      </c>
      <c r="F42" t="s">
        <v>25</v>
      </c>
      <c r="G42" t="s">
        <v>26</v>
      </c>
      <c r="H42" t="s">
        <v>33</v>
      </c>
      <c r="I42" t="s">
        <v>34</v>
      </c>
      <c r="J42" t="s">
        <v>21</v>
      </c>
      <c r="K42">
        <v>3</v>
      </c>
      <c r="L42">
        <v>2395.2800000000002</v>
      </c>
      <c r="M42">
        <v>10</v>
      </c>
      <c r="N42">
        <v>6467.25</v>
      </c>
      <c r="O42" t="s">
        <v>36</v>
      </c>
    </row>
    <row r="43" spans="1:15" x14ac:dyDescent="0.3">
      <c r="A43" t="s">
        <v>107</v>
      </c>
      <c r="B43" s="2">
        <v>45333</v>
      </c>
      <c r="C43" t="s">
        <v>49</v>
      </c>
      <c r="D43" t="str">
        <f t="shared" si="0"/>
        <v>February</v>
      </c>
      <c r="E43" t="s">
        <v>39</v>
      </c>
      <c r="F43" t="s">
        <v>53</v>
      </c>
      <c r="G43" t="s">
        <v>65</v>
      </c>
      <c r="H43" t="s">
        <v>33</v>
      </c>
      <c r="I43" t="s">
        <v>20</v>
      </c>
      <c r="J43" t="s">
        <v>43</v>
      </c>
      <c r="K43">
        <v>2</v>
      </c>
      <c r="L43">
        <v>32230.26</v>
      </c>
      <c r="M43">
        <v>5</v>
      </c>
      <c r="N43">
        <v>61237.5</v>
      </c>
      <c r="O43" t="s">
        <v>22</v>
      </c>
    </row>
    <row r="44" spans="1:15" x14ac:dyDescent="0.3">
      <c r="A44" t="s">
        <v>108</v>
      </c>
      <c r="B44" s="2">
        <v>45334</v>
      </c>
      <c r="C44" t="s">
        <v>15</v>
      </c>
      <c r="D44" t="str">
        <f t="shared" si="0"/>
        <v>February</v>
      </c>
      <c r="E44" t="s">
        <v>52</v>
      </c>
      <c r="F44" t="s">
        <v>17</v>
      </c>
      <c r="G44" t="s">
        <v>63</v>
      </c>
      <c r="H44" t="s">
        <v>27</v>
      </c>
      <c r="I44" t="s">
        <v>34</v>
      </c>
      <c r="J44" t="s">
        <v>43</v>
      </c>
      <c r="K44">
        <v>3</v>
      </c>
      <c r="L44">
        <v>66865.17</v>
      </c>
      <c r="M44">
        <v>0</v>
      </c>
      <c r="N44">
        <v>200595.52</v>
      </c>
      <c r="O44" t="s">
        <v>47</v>
      </c>
    </row>
    <row r="45" spans="1:15" x14ac:dyDescent="0.3">
      <c r="A45" t="s">
        <v>109</v>
      </c>
      <c r="B45" s="2">
        <v>45335</v>
      </c>
      <c r="C45" t="s">
        <v>31</v>
      </c>
      <c r="D45" t="str">
        <f t="shared" si="0"/>
        <v>February</v>
      </c>
      <c r="E45" t="s">
        <v>100</v>
      </c>
      <c r="F45" t="s">
        <v>25</v>
      </c>
      <c r="G45" t="s">
        <v>26</v>
      </c>
      <c r="H45" t="s">
        <v>45</v>
      </c>
      <c r="I45" t="s">
        <v>34</v>
      </c>
      <c r="J45" t="s">
        <v>43</v>
      </c>
      <c r="K45">
        <v>5</v>
      </c>
      <c r="L45">
        <v>3041.84</v>
      </c>
      <c r="M45">
        <v>10</v>
      </c>
      <c r="N45">
        <v>13688.29</v>
      </c>
      <c r="O45" t="s">
        <v>47</v>
      </c>
    </row>
    <row r="46" spans="1:15" x14ac:dyDescent="0.3">
      <c r="A46" t="s">
        <v>110</v>
      </c>
      <c r="B46" s="2">
        <v>45336</v>
      </c>
      <c r="C46" t="s">
        <v>15</v>
      </c>
      <c r="D46" t="str">
        <f t="shared" si="0"/>
        <v>February</v>
      </c>
      <c r="E46" t="s">
        <v>16</v>
      </c>
      <c r="F46" t="s">
        <v>60</v>
      </c>
      <c r="G46" t="s">
        <v>70</v>
      </c>
      <c r="H46" t="s">
        <v>33</v>
      </c>
      <c r="I46" t="s">
        <v>34</v>
      </c>
      <c r="J46" t="s">
        <v>21</v>
      </c>
      <c r="K46">
        <v>4</v>
      </c>
      <c r="L46">
        <v>48018.83</v>
      </c>
      <c r="M46">
        <v>0</v>
      </c>
      <c r="N46">
        <v>192075.34</v>
      </c>
      <c r="O46" t="s">
        <v>47</v>
      </c>
    </row>
    <row r="47" spans="1:15" x14ac:dyDescent="0.3">
      <c r="A47" t="s">
        <v>111</v>
      </c>
      <c r="B47" s="2">
        <v>45337</v>
      </c>
      <c r="C47" t="s">
        <v>38</v>
      </c>
      <c r="D47" t="str">
        <f t="shared" si="0"/>
        <v>February</v>
      </c>
      <c r="E47" t="s">
        <v>50</v>
      </c>
      <c r="F47" t="s">
        <v>40</v>
      </c>
      <c r="G47" t="s">
        <v>41</v>
      </c>
      <c r="H47" t="s">
        <v>19</v>
      </c>
      <c r="I47" t="s">
        <v>42</v>
      </c>
      <c r="J47" t="s">
        <v>35</v>
      </c>
      <c r="K47">
        <v>1</v>
      </c>
      <c r="L47">
        <v>6602.82</v>
      </c>
      <c r="M47">
        <v>10</v>
      </c>
      <c r="N47">
        <v>5942.54</v>
      </c>
      <c r="O47" t="s">
        <v>36</v>
      </c>
    </row>
    <row r="48" spans="1:15" x14ac:dyDescent="0.3">
      <c r="A48" t="s">
        <v>112</v>
      </c>
      <c r="B48" s="2">
        <v>45338</v>
      </c>
      <c r="C48" t="s">
        <v>58</v>
      </c>
      <c r="D48" t="str">
        <f t="shared" si="0"/>
        <v>February</v>
      </c>
      <c r="E48" t="s">
        <v>72</v>
      </c>
      <c r="F48" t="s">
        <v>25</v>
      </c>
      <c r="G48" t="s">
        <v>56</v>
      </c>
      <c r="H48" t="s">
        <v>45</v>
      </c>
      <c r="I48" t="s">
        <v>42</v>
      </c>
      <c r="J48" t="s">
        <v>28</v>
      </c>
      <c r="K48">
        <v>5</v>
      </c>
      <c r="L48">
        <v>2394.0300000000002</v>
      </c>
      <c r="M48">
        <v>20</v>
      </c>
      <c r="N48">
        <v>9576.1299999999992</v>
      </c>
      <c r="O48" t="s">
        <v>36</v>
      </c>
    </row>
    <row r="49" spans="1:15" x14ac:dyDescent="0.3">
      <c r="A49" t="s">
        <v>113</v>
      </c>
      <c r="B49" s="2">
        <v>45339</v>
      </c>
      <c r="C49" t="s">
        <v>49</v>
      </c>
      <c r="D49" t="str">
        <f t="shared" si="0"/>
        <v>February</v>
      </c>
      <c r="E49" t="s">
        <v>69</v>
      </c>
      <c r="F49" t="s">
        <v>53</v>
      </c>
      <c r="G49" t="s">
        <v>65</v>
      </c>
      <c r="H49" t="s">
        <v>45</v>
      </c>
      <c r="I49" t="s">
        <v>42</v>
      </c>
      <c r="J49" t="s">
        <v>46</v>
      </c>
      <c r="K49">
        <v>2</v>
      </c>
      <c r="L49">
        <v>25249.47</v>
      </c>
      <c r="M49">
        <v>0</v>
      </c>
      <c r="N49">
        <v>50498.95</v>
      </c>
      <c r="O49" t="s">
        <v>47</v>
      </c>
    </row>
    <row r="50" spans="1:15" x14ac:dyDescent="0.3">
      <c r="A50" t="s">
        <v>114</v>
      </c>
      <c r="B50" s="2">
        <v>45340</v>
      </c>
      <c r="C50" t="s">
        <v>15</v>
      </c>
      <c r="D50" t="str">
        <f t="shared" si="0"/>
        <v>February</v>
      </c>
      <c r="E50" t="s">
        <v>69</v>
      </c>
      <c r="F50" t="s">
        <v>40</v>
      </c>
      <c r="G50" t="s">
        <v>115</v>
      </c>
      <c r="H50" t="s">
        <v>45</v>
      </c>
      <c r="I50" t="s">
        <v>42</v>
      </c>
      <c r="J50" t="s">
        <v>46</v>
      </c>
      <c r="K50">
        <v>5</v>
      </c>
      <c r="L50">
        <v>5881.94</v>
      </c>
      <c r="M50">
        <v>10</v>
      </c>
      <c r="N50">
        <v>26468.73</v>
      </c>
      <c r="O50" t="s">
        <v>36</v>
      </c>
    </row>
    <row r="51" spans="1:15" x14ac:dyDescent="0.3">
      <c r="A51" t="s">
        <v>116</v>
      </c>
      <c r="B51" s="2">
        <v>45341</v>
      </c>
      <c r="C51" t="s">
        <v>58</v>
      </c>
      <c r="D51" t="str">
        <f t="shared" si="0"/>
        <v>February</v>
      </c>
      <c r="E51" t="s">
        <v>100</v>
      </c>
      <c r="F51" t="s">
        <v>17</v>
      </c>
      <c r="G51" t="s">
        <v>18</v>
      </c>
      <c r="H51" t="s">
        <v>45</v>
      </c>
      <c r="I51" t="s">
        <v>42</v>
      </c>
      <c r="J51" t="s">
        <v>21</v>
      </c>
      <c r="K51">
        <v>2</v>
      </c>
      <c r="L51">
        <v>63694.46</v>
      </c>
      <c r="M51">
        <v>10</v>
      </c>
      <c r="N51">
        <v>114650.03</v>
      </c>
      <c r="O51" t="s">
        <v>22</v>
      </c>
    </row>
    <row r="52" spans="1:15" x14ac:dyDescent="0.3">
      <c r="A52" t="s">
        <v>117</v>
      </c>
      <c r="B52" s="2">
        <v>45342</v>
      </c>
      <c r="C52" t="s">
        <v>58</v>
      </c>
      <c r="D52" t="str">
        <f t="shared" si="0"/>
        <v>February</v>
      </c>
      <c r="E52" t="s">
        <v>72</v>
      </c>
      <c r="F52" t="s">
        <v>40</v>
      </c>
      <c r="G52" t="s">
        <v>118</v>
      </c>
      <c r="H52" t="s">
        <v>27</v>
      </c>
      <c r="I52" t="s">
        <v>42</v>
      </c>
      <c r="J52" t="s">
        <v>28</v>
      </c>
      <c r="K52">
        <v>4</v>
      </c>
      <c r="L52">
        <v>7149.01</v>
      </c>
      <c r="M52">
        <v>5</v>
      </c>
      <c r="N52">
        <v>27166.23</v>
      </c>
      <c r="O52" t="s">
        <v>22</v>
      </c>
    </row>
    <row r="53" spans="1:15" x14ac:dyDescent="0.3">
      <c r="A53" t="s">
        <v>119</v>
      </c>
      <c r="B53" s="2">
        <v>45343</v>
      </c>
      <c r="C53" t="s">
        <v>31</v>
      </c>
      <c r="D53" t="str">
        <f t="shared" si="0"/>
        <v>February</v>
      </c>
      <c r="E53" t="s">
        <v>100</v>
      </c>
      <c r="F53" t="s">
        <v>60</v>
      </c>
      <c r="G53" t="s">
        <v>61</v>
      </c>
      <c r="H53" t="s">
        <v>19</v>
      </c>
      <c r="I53" t="s">
        <v>34</v>
      </c>
      <c r="J53" t="s">
        <v>35</v>
      </c>
      <c r="K53">
        <v>5</v>
      </c>
      <c r="L53">
        <v>50506.2</v>
      </c>
      <c r="M53">
        <v>5</v>
      </c>
      <c r="N53">
        <v>239904.45</v>
      </c>
      <c r="O53" t="s">
        <v>36</v>
      </c>
    </row>
    <row r="54" spans="1:15" x14ac:dyDescent="0.3">
      <c r="A54" t="s">
        <v>120</v>
      </c>
      <c r="B54" s="2">
        <v>45344</v>
      </c>
      <c r="C54" t="s">
        <v>49</v>
      </c>
      <c r="D54" t="str">
        <f t="shared" si="0"/>
        <v>February</v>
      </c>
      <c r="E54" t="s">
        <v>32</v>
      </c>
      <c r="F54" t="s">
        <v>17</v>
      </c>
      <c r="G54" t="s">
        <v>63</v>
      </c>
      <c r="H54" t="s">
        <v>19</v>
      </c>
      <c r="I54" t="s">
        <v>34</v>
      </c>
      <c r="J54" t="s">
        <v>35</v>
      </c>
      <c r="K54">
        <v>1</v>
      </c>
      <c r="L54">
        <v>44654.43</v>
      </c>
      <c r="M54">
        <v>15</v>
      </c>
      <c r="N54">
        <v>37956.269999999997</v>
      </c>
      <c r="O54" t="s">
        <v>29</v>
      </c>
    </row>
    <row r="55" spans="1:15" x14ac:dyDescent="0.3">
      <c r="A55" t="s">
        <v>121</v>
      </c>
      <c r="B55" s="2">
        <v>45345</v>
      </c>
      <c r="C55" t="s">
        <v>31</v>
      </c>
      <c r="D55" t="str">
        <f t="shared" si="0"/>
        <v>February</v>
      </c>
      <c r="E55" t="s">
        <v>52</v>
      </c>
      <c r="F55" t="s">
        <v>17</v>
      </c>
      <c r="G55" t="s">
        <v>63</v>
      </c>
      <c r="H55" t="s">
        <v>45</v>
      </c>
      <c r="I55" t="s">
        <v>20</v>
      </c>
      <c r="J55" t="s">
        <v>46</v>
      </c>
      <c r="K55">
        <v>5</v>
      </c>
      <c r="L55">
        <v>46969.41</v>
      </c>
      <c r="M55">
        <v>5</v>
      </c>
      <c r="N55">
        <v>223104.72</v>
      </c>
      <c r="O55" t="s">
        <v>22</v>
      </c>
    </row>
    <row r="56" spans="1:15" x14ac:dyDescent="0.3">
      <c r="A56" t="s">
        <v>122</v>
      </c>
      <c r="B56" s="2">
        <v>45346</v>
      </c>
      <c r="C56" t="s">
        <v>15</v>
      </c>
      <c r="D56" t="str">
        <f t="shared" si="0"/>
        <v>February</v>
      </c>
      <c r="E56" t="s">
        <v>52</v>
      </c>
      <c r="F56" t="s">
        <v>17</v>
      </c>
      <c r="G56" t="s">
        <v>123</v>
      </c>
      <c r="H56" t="s">
        <v>33</v>
      </c>
      <c r="I56" t="s">
        <v>34</v>
      </c>
      <c r="J56" t="s">
        <v>35</v>
      </c>
      <c r="K56">
        <v>4</v>
      </c>
      <c r="L56">
        <v>63987.94</v>
      </c>
      <c r="M56">
        <v>0</v>
      </c>
      <c r="N56">
        <v>255951.75</v>
      </c>
      <c r="O56" t="s">
        <v>22</v>
      </c>
    </row>
    <row r="57" spans="1:15" x14ac:dyDescent="0.3">
      <c r="A57" t="s">
        <v>124</v>
      </c>
      <c r="B57" s="2">
        <v>45347</v>
      </c>
      <c r="C57" t="s">
        <v>31</v>
      </c>
      <c r="D57" t="str">
        <f t="shared" si="0"/>
        <v>February</v>
      </c>
      <c r="E57" t="s">
        <v>16</v>
      </c>
      <c r="F57" t="s">
        <v>40</v>
      </c>
      <c r="G57" t="s">
        <v>118</v>
      </c>
      <c r="H57" t="s">
        <v>27</v>
      </c>
      <c r="I57" t="s">
        <v>34</v>
      </c>
      <c r="J57" t="s">
        <v>46</v>
      </c>
      <c r="K57">
        <v>4</v>
      </c>
      <c r="L57">
        <v>5995.03</v>
      </c>
      <c r="M57">
        <v>10</v>
      </c>
      <c r="N57">
        <v>21582.1</v>
      </c>
      <c r="O57" t="s">
        <v>22</v>
      </c>
    </row>
    <row r="58" spans="1:15" x14ac:dyDescent="0.3">
      <c r="A58" t="s">
        <v>125</v>
      </c>
      <c r="B58" s="2">
        <v>45348</v>
      </c>
      <c r="C58" t="s">
        <v>15</v>
      </c>
      <c r="D58" t="str">
        <f t="shared" si="0"/>
        <v>February</v>
      </c>
      <c r="E58" t="s">
        <v>69</v>
      </c>
      <c r="F58" t="s">
        <v>53</v>
      </c>
      <c r="G58" t="s">
        <v>54</v>
      </c>
      <c r="H58" t="s">
        <v>19</v>
      </c>
      <c r="I58" t="s">
        <v>42</v>
      </c>
      <c r="J58" t="s">
        <v>35</v>
      </c>
      <c r="K58">
        <v>5</v>
      </c>
      <c r="L58">
        <v>34937</v>
      </c>
      <c r="M58">
        <v>0</v>
      </c>
      <c r="N58">
        <v>174684.98</v>
      </c>
      <c r="O58" t="s">
        <v>47</v>
      </c>
    </row>
    <row r="59" spans="1:15" x14ac:dyDescent="0.3">
      <c r="A59" t="s">
        <v>126</v>
      </c>
      <c r="B59" s="2">
        <v>45349</v>
      </c>
      <c r="C59" t="s">
        <v>15</v>
      </c>
      <c r="D59" t="str">
        <f t="shared" si="0"/>
        <v>February</v>
      </c>
      <c r="E59" t="s">
        <v>77</v>
      </c>
      <c r="F59" t="s">
        <v>40</v>
      </c>
      <c r="G59" t="s">
        <v>41</v>
      </c>
      <c r="H59" t="s">
        <v>45</v>
      </c>
      <c r="I59" t="s">
        <v>20</v>
      </c>
      <c r="J59" t="s">
        <v>21</v>
      </c>
      <c r="K59">
        <v>2</v>
      </c>
      <c r="L59">
        <v>6647.92</v>
      </c>
      <c r="M59">
        <v>15</v>
      </c>
      <c r="N59">
        <v>11301.46</v>
      </c>
      <c r="O59" t="s">
        <v>47</v>
      </c>
    </row>
    <row r="60" spans="1:15" x14ac:dyDescent="0.3">
      <c r="A60" t="s">
        <v>127</v>
      </c>
      <c r="B60" s="2">
        <v>45350</v>
      </c>
      <c r="C60" t="s">
        <v>58</v>
      </c>
      <c r="D60" t="str">
        <f t="shared" si="0"/>
        <v>February</v>
      </c>
      <c r="E60" t="s">
        <v>24</v>
      </c>
      <c r="F60" t="s">
        <v>40</v>
      </c>
      <c r="G60" t="s">
        <v>75</v>
      </c>
      <c r="H60" t="s">
        <v>45</v>
      </c>
      <c r="I60" t="s">
        <v>34</v>
      </c>
      <c r="J60" t="s">
        <v>35</v>
      </c>
      <c r="K60">
        <v>5</v>
      </c>
      <c r="L60">
        <v>4971.6099999999997</v>
      </c>
      <c r="M60">
        <v>15</v>
      </c>
      <c r="N60">
        <v>21129.360000000001</v>
      </c>
      <c r="O60" t="s">
        <v>36</v>
      </c>
    </row>
    <row r="61" spans="1:15" x14ac:dyDescent="0.3">
      <c r="A61" t="s">
        <v>128</v>
      </c>
      <c r="B61" s="2">
        <v>45351</v>
      </c>
      <c r="C61" t="s">
        <v>38</v>
      </c>
      <c r="D61" t="str">
        <f t="shared" si="0"/>
        <v>February</v>
      </c>
      <c r="E61" t="s">
        <v>39</v>
      </c>
      <c r="F61" t="s">
        <v>53</v>
      </c>
      <c r="G61" t="s">
        <v>129</v>
      </c>
      <c r="H61" t="s">
        <v>19</v>
      </c>
      <c r="I61" t="s">
        <v>34</v>
      </c>
      <c r="J61" t="s">
        <v>35</v>
      </c>
      <c r="K61">
        <v>5</v>
      </c>
      <c r="L61">
        <v>34716.93</v>
      </c>
      <c r="M61">
        <v>5</v>
      </c>
      <c r="N61">
        <v>164905.4</v>
      </c>
      <c r="O61" t="s">
        <v>47</v>
      </c>
    </row>
    <row r="62" spans="1:15" x14ac:dyDescent="0.3">
      <c r="A62" t="s">
        <v>130</v>
      </c>
      <c r="B62" s="2">
        <v>45352</v>
      </c>
      <c r="C62" t="s">
        <v>38</v>
      </c>
      <c r="D62" t="str">
        <f t="shared" si="0"/>
        <v>March</v>
      </c>
      <c r="E62" t="s">
        <v>24</v>
      </c>
      <c r="F62" t="s">
        <v>53</v>
      </c>
      <c r="G62" t="s">
        <v>54</v>
      </c>
      <c r="H62" t="s">
        <v>33</v>
      </c>
      <c r="I62" t="s">
        <v>34</v>
      </c>
      <c r="J62" t="s">
        <v>35</v>
      </c>
      <c r="K62">
        <v>1</v>
      </c>
      <c r="L62">
        <v>38535.93</v>
      </c>
      <c r="M62">
        <v>5</v>
      </c>
      <c r="N62">
        <v>36609.129999999997</v>
      </c>
      <c r="O62" t="s">
        <v>47</v>
      </c>
    </row>
    <row r="63" spans="1:15" x14ac:dyDescent="0.3">
      <c r="A63" t="s">
        <v>131</v>
      </c>
      <c r="B63" s="2">
        <v>45353</v>
      </c>
      <c r="C63" t="s">
        <v>31</v>
      </c>
      <c r="D63" t="str">
        <f t="shared" si="0"/>
        <v>March</v>
      </c>
      <c r="E63" t="s">
        <v>39</v>
      </c>
      <c r="F63" t="s">
        <v>40</v>
      </c>
      <c r="G63" t="s">
        <v>75</v>
      </c>
      <c r="H63" t="s">
        <v>27</v>
      </c>
      <c r="I63" t="s">
        <v>34</v>
      </c>
      <c r="J63" t="s">
        <v>35</v>
      </c>
      <c r="K63">
        <v>3</v>
      </c>
      <c r="L63">
        <v>5648.94</v>
      </c>
      <c r="M63">
        <v>10</v>
      </c>
      <c r="N63">
        <v>15252.13</v>
      </c>
      <c r="O63" t="s">
        <v>29</v>
      </c>
    </row>
    <row r="64" spans="1:15" x14ac:dyDescent="0.3">
      <c r="A64" t="s">
        <v>132</v>
      </c>
      <c r="B64" s="2">
        <v>45354</v>
      </c>
      <c r="C64" t="s">
        <v>58</v>
      </c>
      <c r="D64" t="str">
        <f t="shared" si="0"/>
        <v>March</v>
      </c>
      <c r="E64" t="s">
        <v>52</v>
      </c>
      <c r="F64" t="s">
        <v>25</v>
      </c>
      <c r="G64" t="s">
        <v>26</v>
      </c>
      <c r="H64" t="s">
        <v>27</v>
      </c>
      <c r="I64" t="s">
        <v>42</v>
      </c>
      <c r="J64" t="s">
        <v>21</v>
      </c>
      <c r="K64">
        <v>2</v>
      </c>
      <c r="L64">
        <v>2409.9699999999998</v>
      </c>
      <c r="M64">
        <v>5</v>
      </c>
      <c r="N64">
        <v>4578.95</v>
      </c>
      <c r="O64" t="s">
        <v>36</v>
      </c>
    </row>
    <row r="65" spans="1:15" x14ac:dyDescent="0.3">
      <c r="A65" t="s">
        <v>133</v>
      </c>
      <c r="B65" s="2">
        <v>45355</v>
      </c>
      <c r="C65" t="s">
        <v>38</v>
      </c>
      <c r="D65" t="str">
        <f t="shared" si="0"/>
        <v>March</v>
      </c>
      <c r="E65" t="s">
        <v>69</v>
      </c>
      <c r="F65" t="s">
        <v>25</v>
      </c>
      <c r="G65" t="s">
        <v>26</v>
      </c>
      <c r="H65" t="s">
        <v>33</v>
      </c>
      <c r="I65" t="s">
        <v>42</v>
      </c>
      <c r="J65" t="s">
        <v>35</v>
      </c>
      <c r="K65">
        <v>5</v>
      </c>
      <c r="L65">
        <v>2760.15</v>
      </c>
      <c r="M65">
        <v>15</v>
      </c>
      <c r="N65">
        <v>11730.62</v>
      </c>
      <c r="O65" t="s">
        <v>47</v>
      </c>
    </row>
    <row r="66" spans="1:15" x14ac:dyDescent="0.3">
      <c r="A66" t="s">
        <v>134</v>
      </c>
      <c r="B66" s="2">
        <v>45356</v>
      </c>
      <c r="C66" t="s">
        <v>49</v>
      </c>
      <c r="D66" t="str">
        <f t="shared" si="0"/>
        <v>March</v>
      </c>
      <c r="E66" t="s">
        <v>39</v>
      </c>
      <c r="F66" t="s">
        <v>17</v>
      </c>
      <c r="G66" t="s">
        <v>67</v>
      </c>
      <c r="H66" t="s">
        <v>45</v>
      </c>
      <c r="I66" t="s">
        <v>42</v>
      </c>
      <c r="J66" t="s">
        <v>46</v>
      </c>
      <c r="K66">
        <v>3</v>
      </c>
      <c r="L66">
        <v>53829.97</v>
      </c>
      <c r="M66">
        <v>5</v>
      </c>
      <c r="N66">
        <v>153415.4</v>
      </c>
      <c r="O66" t="s">
        <v>47</v>
      </c>
    </row>
    <row r="67" spans="1:15" x14ac:dyDescent="0.3">
      <c r="A67" t="s">
        <v>135</v>
      </c>
      <c r="B67" s="2">
        <v>45357</v>
      </c>
      <c r="C67" t="s">
        <v>15</v>
      </c>
      <c r="D67" t="str">
        <f t="shared" ref="D67:D130" si="1">TEXT(B67,"mmmm")</f>
        <v>March</v>
      </c>
      <c r="E67" t="s">
        <v>52</v>
      </c>
      <c r="F67" t="s">
        <v>17</v>
      </c>
      <c r="G67" t="s">
        <v>63</v>
      </c>
      <c r="H67" t="s">
        <v>33</v>
      </c>
      <c r="I67" t="s">
        <v>42</v>
      </c>
      <c r="J67" t="s">
        <v>21</v>
      </c>
      <c r="K67">
        <v>4</v>
      </c>
      <c r="L67">
        <v>72416.41</v>
      </c>
      <c r="M67">
        <v>0</v>
      </c>
      <c r="N67">
        <v>289665.63</v>
      </c>
      <c r="O67" t="s">
        <v>47</v>
      </c>
    </row>
    <row r="68" spans="1:15" x14ac:dyDescent="0.3">
      <c r="A68" t="s">
        <v>136</v>
      </c>
      <c r="B68" s="2">
        <v>45358</v>
      </c>
      <c r="C68" t="s">
        <v>38</v>
      </c>
      <c r="D68" t="str">
        <f t="shared" si="1"/>
        <v>March</v>
      </c>
      <c r="E68" t="s">
        <v>24</v>
      </c>
      <c r="F68" t="s">
        <v>40</v>
      </c>
      <c r="G68" t="s">
        <v>75</v>
      </c>
      <c r="H68" t="s">
        <v>27</v>
      </c>
      <c r="I68" t="s">
        <v>20</v>
      </c>
      <c r="J68" t="s">
        <v>21</v>
      </c>
      <c r="K68">
        <v>5</v>
      </c>
      <c r="L68">
        <v>6312.16</v>
      </c>
      <c r="M68">
        <v>5</v>
      </c>
      <c r="N68">
        <v>29982.75</v>
      </c>
      <c r="O68" t="s">
        <v>47</v>
      </c>
    </row>
    <row r="69" spans="1:15" x14ac:dyDescent="0.3">
      <c r="A69" t="s">
        <v>137</v>
      </c>
      <c r="B69" s="2">
        <v>45359</v>
      </c>
      <c r="C69" t="s">
        <v>49</v>
      </c>
      <c r="D69" t="str">
        <f t="shared" si="1"/>
        <v>March</v>
      </c>
      <c r="E69" t="s">
        <v>100</v>
      </c>
      <c r="F69" t="s">
        <v>60</v>
      </c>
      <c r="G69" t="s">
        <v>70</v>
      </c>
      <c r="H69" t="s">
        <v>33</v>
      </c>
      <c r="I69" t="s">
        <v>34</v>
      </c>
      <c r="J69" t="s">
        <v>28</v>
      </c>
      <c r="K69">
        <v>4</v>
      </c>
      <c r="L69">
        <v>45574.38</v>
      </c>
      <c r="M69">
        <v>10</v>
      </c>
      <c r="N69">
        <v>164067.78</v>
      </c>
      <c r="O69" t="s">
        <v>47</v>
      </c>
    </row>
    <row r="70" spans="1:15" x14ac:dyDescent="0.3">
      <c r="A70" t="s">
        <v>138</v>
      </c>
      <c r="B70" s="2">
        <v>45360</v>
      </c>
      <c r="C70" t="s">
        <v>38</v>
      </c>
      <c r="D70" t="str">
        <f t="shared" si="1"/>
        <v>March</v>
      </c>
      <c r="E70" t="s">
        <v>100</v>
      </c>
      <c r="F70" t="s">
        <v>53</v>
      </c>
      <c r="G70" t="s">
        <v>129</v>
      </c>
      <c r="H70" t="s">
        <v>33</v>
      </c>
      <c r="I70" t="s">
        <v>42</v>
      </c>
      <c r="J70" t="s">
        <v>46</v>
      </c>
      <c r="K70">
        <v>3</v>
      </c>
      <c r="L70">
        <v>28504.12</v>
      </c>
      <c r="M70">
        <v>15</v>
      </c>
      <c r="N70">
        <v>72685.5</v>
      </c>
      <c r="O70" t="s">
        <v>22</v>
      </c>
    </row>
    <row r="71" spans="1:15" x14ac:dyDescent="0.3">
      <c r="A71" t="s">
        <v>139</v>
      </c>
      <c r="B71" s="2">
        <v>45361</v>
      </c>
      <c r="C71" t="s">
        <v>38</v>
      </c>
      <c r="D71" t="str">
        <f t="shared" si="1"/>
        <v>March</v>
      </c>
      <c r="E71" t="s">
        <v>50</v>
      </c>
      <c r="F71" t="s">
        <v>17</v>
      </c>
      <c r="G71" t="s">
        <v>63</v>
      </c>
      <c r="H71" t="s">
        <v>19</v>
      </c>
      <c r="I71" t="s">
        <v>42</v>
      </c>
      <c r="J71" t="s">
        <v>28</v>
      </c>
      <c r="K71">
        <v>2</v>
      </c>
      <c r="L71">
        <v>68973</v>
      </c>
      <c r="M71">
        <v>5</v>
      </c>
      <c r="N71">
        <v>131048.7</v>
      </c>
      <c r="O71" t="s">
        <v>22</v>
      </c>
    </row>
    <row r="72" spans="1:15" x14ac:dyDescent="0.3">
      <c r="A72" t="s">
        <v>140</v>
      </c>
      <c r="B72" s="2">
        <v>45362</v>
      </c>
      <c r="C72" t="s">
        <v>31</v>
      </c>
      <c r="D72" t="str">
        <f t="shared" si="1"/>
        <v>March</v>
      </c>
      <c r="E72" t="s">
        <v>69</v>
      </c>
      <c r="F72" t="s">
        <v>53</v>
      </c>
      <c r="G72" t="s">
        <v>105</v>
      </c>
      <c r="H72" t="s">
        <v>33</v>
      </c>
      <c r="I72" t="s">
        <v>34</v>
      </c>
      <c r="J72" t="s">
        <v>43</v>
      </c>
      <c r="K72">
        <v>4</v>
      </c>
      <c r="L72">
        <v>28503.66</v>
      </c>
      <c r="M72">
        <v>15</v>
      </c>
      <c r="N72">
        <v>96912.44</v>
      </c>
      <c r="O72" t="s">
        <v>29</v>
      </c>
    </row>
    <row r="73" spans="1:15" x14ac:dyDescent="0.3">
      <c r="A73" t="s">
        <v>141</v>
      </c>
      <c r="B73" s="2">
        <v>45363</v>
      </c>
      <c r="C73" t="s">
        <v>38</v>
      </c>
      <c r="D73" t="str">
        <f t="shared" si="1"/>
        <v>March</v>
      </c>
      <c r="E73" t="s">
        <v>50</v>
      </c>
      <c r="F73" t="s">
        <v>25</v>
      </c>
      <c r="G73" t="s">
        <v>56</v>
      </c>
      <c r="H73" t="s">
        <v>19</v>
      </c>
      <c r="I73" t="s">
        <v>42</v>
      </c>
      <c r="J73" t="s">
        <v>43</v>
      </c>
      <c r="K73">
        <v>2</v>
      </c>
      <c r="L73">
        <v>2793.35</v>
      </c>
      <c r="M73">
        <v>5</v>
      </c>
      <c r="N73">
        <v>5307.36</v>
      </c>
      <c r="O73" t="s">
        <v>47</v>
      </c>
    </row>
    <row r="74" spans="1:15" x14ac:dyDescent="0.3">
      <c r="A74" t="s">
        <v>142</v>
      </c>
      <c r="B74" s="2">
        <v>45364</v>
      </c>
      <c r="C74" t="s">
        <v>49</v>
      </c>
      <c r="D74" t="str">
        <f t="shared" si="1"/>
        <v>March</v>
      </c>
      <c r="E74" t="s">
        <v>72</v>
      </c>
      <c r="F74" t="s">
        <v>40</v>
      </c>
      <c r="G74" t="s">
        <v>118</v>
      </c>
      <c r="H74" t="s">
        <v>19</v>
      </c>
      <c r="I74" t="s">
        <v>20</v>
      </c>
      <c r="J74" t="s">
        <v>21</v>
      </c>
      <c r="K74">
        <v>1</v>
      </c>
      <c r="L74">
        <v>7772.14</v>
      </c>
      <c r="M74">
        <v>15</v>
      </c>
      <c r="N74">
        <v>6606.32</v>
      </c>
      <c r="O74" t="s">
        <v>47</v>
      </c>
    </row>
    <row r="75" spans="1:15" x14ac:dyDescent="0.3">
      <c r="A75" t="s">
        <v>143</v>
      </c>
      <c r="B75" s="2">
        <v>45365</v>
      </c>
      <c r="C75" t="s">
        <v>31</v>
      </c>
      <c r="D75" t="str">
        <f t="shared" si="1"/>
        <v>March</v>
      </c>
      <c r="E75" t="s">
        <v>72</v>
      </c>
      <c r="F75" t="s">
        <v>60</v>
      </c>
      <c r="G75" t="s">
        <v>70</v>
      </c>
      <c r="H75" t="s">
        <v>27</v>
      </c>
      <c r="I75" t="s">
        <v>34</v>
      </c>
      <c r="J75" t="s">
        <v>43</v>
      </c>
      <c r="K75">
        <v>3</v>
      </c>
      <c r="L75">
        <v>51299.64</v>
      </c>
      <c r="M75">
        <v>5</v>
      </c>
      <c r="N75">
        <v>146203.99</v>
      </c>
      <c r="O75" t="s">
        <v>22</v>
      </c>
    </row>
    <row r="76" spans="1:15" x14ac:dyDescent="0.3">
      <c r="A76" t="s">
        <v>144</v>
      </c>
      <c r="B76" s="2">
        <v>45366</v>
      </c>
      <c r="C76" t="s">
        <v>49</v>
      </c>
      <c r="D76" t="str">
        <f t="shared" si="1"/>
        <v>March</v>
      </c>
      <c r="E76" t="s">
        <v>77</v>
      </c>
      <c r="F76" t="s">
        <v>25</v>
      </c>
      <c r="G76" t="s">
        <v>81</v>
      </c>
      <c r="H76" t="s">
        <v>33</v>
      </c>
      <c r="I76" t="s">
        <v>42</v>
      </c>
      <c r="J76" t="s">
        <v>35</v>
      </c>
      <c r="K76">
        <v>5</v>
      </c>
      <c r="L76">
        <v>2768.33</v>
      </c>
      <c r="M76">
        <v>0</v>
      </c>
      <c r="N76">
        <v>13841.65</v>
      </c>
      <c r="O76" t="s">
        <v>47</v>
      </c>
    </row>
    <row r="77" spans="1:15" x14ac:dyDescent="0.3">
      <c r="A77" t="s">
        <v>145</v>
      </c>
      <c r="B77" s="2">
        <v>45367</v>
      </c>
      <c r="C77" t="s">
        <v>49</v>
      </c>
      <c r="D77" t="str">
        <f t="shared" si="1"/>
        <v>March</v>
      </c>
      <c r="E77" t="s">
        <v>100</v>
      </c>
      <c r="F77" t="s">
        <v>40</v>
      </c>
      <c r="G77" t="s">
        <v>118</v>
      </c>
      <c r="H77" t="s">
        <v>27</v>
      </c>
      <c r="I77" t="s">
        <v>34</v>
      </c>
      <c r="J77" t="s">
        <v>28</v>
      </c>
      <c r="K77">
        <v>1</v>
      </c>
      <c r="L77">
        <v>5742.13</v>
      </c>
      <c r="M77">
        <v>10</v>
      </c>
      <c r="N77">
        <v>5167.92</v>
      </c>
      <c r="O77" t="s">
        <v>36</v>
      </c>
    </row>
    <row r="78" spans="1:15" x14ac:dyDescent="0.3">
      <c r="A78" t="s">
        <v>146</v>
      </c>
      <c r="B78" s="2">
        <v>45368</v>
      </c>
      <c r="C78" t="s">
        <v>38</v>
      </c>
      <c r="D78" t="str">
        <f t="shared" si="1"/>
        <v>March</v>
      </c>
      <c r="E78" t="s">
        <v>69</v>
      </c>
      <c r="F78" t="s">
        <v>40</v>
      </c>
      <c r="G78" t="s">
        <v>118</v>
      </c>
      <c r="H78" t="s">
        <v>33</v>
      </c>
      <c r="I78" t="s">
        <v>34</v>
      </c>
      <c r="J78" t="s">
        <v>43</v>
      </c>
      <c r="K78">
        <v>5</v>
      </c>
      <c r="L78">
        <v>5864.29</v>
      </c>
      <c r="M78">
        <v>10</v>
      </c>
      <c r="N78">
        <v>26389.32</v>
      </c>
      <c r="O78" t="s">
        <v>29</v>
      </c>
    </row>
    <row r="79" spans="1:15" x14ac:dyDescent="0.3">
      <c r="A79" t="s">
        <v>147</v>
      </c>
      <c r="B79" s="2">
        <v>45369</v>
      </c>
      <c r="C79" t="s">
        <v>15</v>
      </c>
      <c r="D79" t="str">
        <f t="shared" si="1"/>
        <v>March</v>
      </c>
      <c r="E79" t="s">
        <v>50</v>
      </c>
      <c r="F79" t="s">
        <v>17</v>
      </c>
      <c r="G79" t="s">
        <v>18</v>
      </c>
      <c r="H79" t="s">
        <v>45</v>
      </c>
      <c r="I79" t="s">
        <v>34</v>
      </c>
      <c r="J79" t="s">
        <v>28</v>
      </c>
      <c r="K79">
        <v>3</v>
      </c>
      <c r="L79">
        <v>56506.78</v>
      </c>
      <c r="M79">
        <v>20</v>
      </c>
      <c r="N79">
        <v>135616.28</v>
      </c>
      <c r="O79" t="s">
        <v>47</v>
      </c>
    </row>
    <row r="80" spans="1:15" x14ac:dyDescent="0.3">
      <c r="A80" t="s">
        <v>148</v>
      </c>
      <c r="B80" s="2">
        <v>45370</v>
      </c>
      <c r="C80" t="s">
        <v>38</v>
      </c>
      <c r="D80" t="str">
        <f t="shared" si="1"/>
        <v>March</v>
      </c>
      <c r="E80" t="s">
        <v>72</v>
      </c>
      <c r="F80" t="s">
        <v>40</v>
      </c>
      <c r="G80" t="s">
        <v>75</v>
      </c>
      <c r="H80" t="s">
        <v>33</v>
      </c>
      <c r="I80" t="s">
        <v>34</v>
      </c>
      <c r="J80" t="s">
        <v>43</v>
      </c>
      <c r="K80">
        <v>5</v>
      </c>
      <c r="L80">
        <v>5886.59</v>
      </c>
      <c r="M80">
        <v>5</v>
      </c>
      <c r="N80">
        <v>27961.33</v>
      </c>
      <c r="O80" t="s">
        <v>47</v>
      </c>
    </row>
    <row r="81" spans="1:15" x14ac:dyDescent="0.3">
      <c r="A81" t="s">
        <v>149</v>
      </c>
      <c r="B81" s="2">
        <v>45371</v>
      </c>
      <c r="C81" t="s">
        <v>15</v>
      </c>
      <c r="D81" t="str">
        <f t="shared" si="1"/>
        <v>March</v>
      </c>
      <c r="E81" t="s">
        <v>69</v>
      </c>
      <c r="F81" t="s">
        <v>60</v>
      </c>
      <c r="G81" t="s">
        <v>70</v>
      </c>
      <c r="H81" t="s">
        <v>27</v>
      </c>
      <c r="I81" t="s">
        <v>42</v>
      </c>
      <c r="J81" t="s">
        <v>21</v>
      </c>
      <c r="K81">
        <v>5</v>
      </c>
      <c r="L81">
        <v>37473.589999999997</v>
      </c>
      <c r="M81">
        <v>20</v>
      </c>
      <c r="N81">
        <v>149894.35</v>
      </c>
      <c r="O81" t="s">
        <v>36</v>
      </c>
    </row>
    <row r="82" spans="1:15" x14ac:dyDescent="0.3">
      <c r="A82" t="s">
        <v>150</v>
      </c>
      <c r="B82" s="2">
        <v>45372</v>
      </c>
      <c r="C82" t="s">
        <v>38</v>
      </c>
      <c r="D82" t="str">
        <f t="shared" si="1"/>
        <v>March</v>
      </c>
      <c r="E82" t="s">
        <v>16</v>
      </c>
      <c r="F82" t="s">
        <v>17</v>
      </c>
      <c r="G82" t="s">
        <v>67</v>
      </c>
      <c r="H82" t="s">
        <v>33</v>
      </c>
      <c r="I82" t="s">
        <v>20</v>
      </c>
      <c r="J82" t="s">
        <v>46</v>
      </c>
      <c r="K82">
        <v>3</v>
      </c>
      <c r="L82">
        <v>57229.440000000002</v>
      </c>
      <c r="M82">
        <v>0</v>
      </c>
      <c r="N82">
        <v>171688.31</v>
      </c>
      <c r="O82" t="s">
        <v>47</v>
      </c>
    </row>
    <row r="83" spans="1:15" x14ac:dyDescent="0.3">
      <c r="A83" t="s">
        <v>151</v>
      </c>
      <c r="B83" s="2">
        <v>45373</v>
      </c>
      <c r="C83" t="s">
        <v>31</v>
      </c>
      <c r="D83" t="str">
        <f t="shared" si="1"/>
        <v>March</v>
      </c>
      <c r="E83" t="s">
        <v>16</v>
      </c>
      <c r="F83" t="s">
        <v>17</v>
      </c>
      <c r="G83" t="s">
        <v>123</v>
      </c>
      <c r="H83" t="s">
        <v>27</v>
      </c>
      <c r="I83" t="s">
        <v>34</v>
      </c>
      <c r="J83" t="s">
        <v>35</v>
      </c>
      <c r="K83">
        <v>4</v>
      </c>
      <c r="L83">
        <v>68682.820000000007</v>
      </c>
      <c r="M83">
        <v>0</v>
      </c>
      <c r="N83">
        <v>274731.27</v>
      </c>
      <c r="O83" t="s">
        <v>36</v>
      </c>
    </row>
    <row r="84" spans="1:15" x14ac:dyDescent="0.3">
      <c r="A84" t="s">
        <v>152</v>
      </c>
      <c r="B84" s="2">
        <v>45374</v>
      </c>
      <c r="C84" t="s">
        <v>38</v>
      </c>
      <c r="D84" t="str">
        <f t="shared" si="1"/>
        <v>March</v>
      </c>
      <c r="E84" t="s">
        <v>32</v>
      </c>
      <c r="F84" t="s">
        <v>40</v>
      </c>
      <c r="G84" t="s">
        <v>115</v>
      </c>
      <c r="H84" t="s">
        <v>45</v>
      </c>
      <c r="I84" t="s">
        <v>34</v>
      </c>
      <c r="J84" t="s">
        <v>35</v>
      </c>
      <c r="K84">
        <v>5</v>
      </c>
      <c r="L84">
        <v>6377.73</v>
      </c>
      <c r="M84">
        <v>5</v>
      </c>
      <c r="N84">
        <v>30294.2</v>
      </c>
      <c r="O84" t="s">
        <v>47</v>
      </c>
    </row>
    <row r="85" spans="1:15" x14ac:dyDescent="0.3">
      <c r="A85" t="s">
        <v>153</v>
      </c>
      <c r="B85" s="2">
        <v>45375</v>
      </c>
      <c r="C85" t="s">
        <v>31</v>
      </c>
      <c r="D85" t="str">
        <f t="shared" si="1"/>
        <v>March</v>
      </c>
      <c r="E85" t="s">
        <v>72</v>
      </c>
      <c r="F85" t="s">
        <v>17</v>
      </c>
      <c r="G85" t="s">
        <v>123</v>
      </c>
      <c r="H85" t="s">
        <v>33</v>
      </c>
      <c r="I85" t="s">
        <v>42</v>
      </c>
      <c r="J85" t="s">
        <v>43</v>
      </c>
      <c r="K85">
        <v>4</v>
      </c>
      <c r="L85">
        <v>66333.56</v>
      </c>
      <c r="M85">
        <v>10</v>
      </c>
      <c r="N85">
        <v>238800.82</v>
      </c>
      <c r="O85" t="s">
        <v>36</v>
      </c>
    </row>
    <row r="86" spans="1:15" x14ac:dyDescent="0.3">
      <c r="A86" t="s">
        <v>154</v>
      </c>
      <c r="B86" s="2">
        <v>45376</v>
      </c>
      <c r="C86" t="s">
        <v>49</v>
      </c>
      <c r="D86" t="str">
        <f t="shared" si="1"/>
        <v>March</v>
      </c>
      <c r="E86" t="s">
        <v>39</v>
      </c>
      <c r="F86" t="s">
        <v>60</v>
      </c>
      <c r="G86" t="s">
        <v>78</v>
      </c>
      <c r="H86" t="s">
        <v>19</v>
      </c>
      <c r="I86" t="s">
        <v>20</v>
      </c>
      <c r="J86" t="s">
        <v>46</v>
      </c>
      <c r="K86">
        <v>1</v>
      </c>
      <c r="L86">
        <v>51016.32</v>
      </c>
      <c r="M86">
        <v>10</v>
      </c>
      <c r="N86">
        <v>45914.69</v>
      </c>
      <c r="O86" t="s">
        <v>22</v>
      </c>
    </row>
    <row r="87" spans="1:15" x14ac:dyDescent="0.3">
      <c r="A87" t="s">
        <v>155</v>
      </c>
      <c r="B87" s="2">
        <v>45377</v>
      </c>
      <c r="C87" t="s">
        <v>58</v>
      </c>
      <c r="D87" t="str">
        <f t="shared" si="1"/>
        <v>March</v>
      </c>
      <c r="E87" t="s">
        <v>69</v>
      </c>
      <c r="F87" t="s">
        <v>17</v>
      </c>
      <c r="G87" t="s">
        <v>123</v>
      </c>
      <c r="H87" t="s">
        <v>19</v>
      </c>
      <c r="I87" t="s">
        <v>42</v>
      </c>
      <c r="J87" t="s">
        <v>28</v>
      </c>
      <c r="K87">
        <v>1</v>
      </c>
      <c r="L87">
        <v>69812.009999999995</v>
      </c>
      <c r="M87">
        <v>0</v>
      </c>
      <c r="N87">
        <v>69812.009999999995</v>
      </c>
      <c r="O87" t="s">
        <v>22</v>
      </c>
    </row>
    <row r="88" spans="1:15" x14ac:dyDescent="0.3">
      <c r="A88" t="s">
        <v>156</v>
      </c>
      <c r="B88" s="2">
        <v>45378</v>
      </c>
      <c r="C88" t="s">
        <v>31</v>
      </c>
      <c r="D88" t="str">
        <f t="shared" si="1"/>
        <v>March</v>
      </c>
      <c r="E88" t="s">
        <v>32</v>
      </c>
      <c r="F88" t="s">
        <v>60</v>
      </c>
      <c r="G88" t="s">
        <v>61</v>
      </c>
      <c r="H88" t="s">
        <v>19</v>
      </c>
      <c r="I88" t="s">
        <v>34</v>
      </c>
      <c r="J88" t="s">
        <v>43</v>
      </c>
      <c r="K88">
        <v>1</v>
      </c>
      <c r="L88">
        <v>44366.09</v>
      </c>
      <c r="M88">
        <v>5</v>
      </c>
      <c r="N88">
        <v>42147.78</v>
      </c>
      <c r="O88" t="s">
        <v>47</v>
      </c>
    </row>
    <row r="89" spans="1:15" x14ac:dyDescent="0.3">
      <c r="A89" t="s">
        <v>157</v>
      </c>
      <c r="B89" s="2">
        <v>45379</v>
      </c>
      <c r="C89" t="s">
        <v>49</v>
      </c>
      <c r="D89" t="str">
        <f t="shared" si="1"/>
        <v>March</v>
      </c>
      <c r="E89" t="s">
        <v>16</v>
      </c>
      <c r="F89" t="s">
        <v>53</v>
      </c>
      <c r="G89" t="s">
        <v>105</v>
      </c>
      <c r="H89" t="s">
        <v>33</v>
      </c>
      <c r="I89" t="s">
        <v>42</v>
      </c>
      <c r="J89" t="s">
        <v>21</v>
      </c>
      <c r="K89">
        <v>5</v>
      </c>
      <c r="L89">
        <v>31454.83</v>
      </c>
      <c r="M89">
        <v>15</v>
      </c>
      <c r="N89">
        <v>133683.03</v>
      </c>
      <c r="O89" t="s">
        <v>47</v>
      </c>
    </row>
    <row r="90" spans="1:15" x14ac:dyDescent="0.3">
      <c r="A90" t="s">
        <v>158</v>
      </c>
      <c r="B90" s="2">
        <v>45380</v>
      </c>
      <c r="C90" t="s">
        <v>15</v>
      </c>
      <c r="D90" t="str">
        <f t="shared" si="1"/>
        <v>March</v>
      </c>
      <c r="E90" t="s">
        <v>24</v>
      </c>
      <c r="F90" t="s">
        <v>17</v>
      </c>
      <c r="G90" t="s">
        <v>123</v>
      </c>
      <c r="H90" t="s">
        <v>27</v>
      </c>
      <c r="I90" t="s">
        <v>34</v>
      </c>
      <c r="J90" t="s">
        <v>28</v>
      </c>
      <c r="K90">
        <v>3</v>
      </c>
      <c r="L90">
        <v>49365.99</v>
      </c>
      <c r="M90">
        <v>5</v>
      </c>
      <c r="N90">
        <v>140693.07</v>
      </c>
      <c r="O90" t="s">
        <v>22</v>
      </c>
    </row>
    <row r="91" spans="1:15" x14ac:dyDescent="0.3">
      <c r="A91" t="s">
        <v>159</v>
      </c>
      <c r="B91" s="2">
        <v>45381</v>
      </c>
      <c r="C91" t="s">
        <v>31</v>
      </c>
      <c r="D91" t="str">
        <f t="shared" si="1"/>
        <v>March</v>
      </c>
      <c r="E91" t="s">
        <v>100</v>
      </c>
      <c r="F91" t="s">
        <v>60</v>
      </c>
      <c r="G91" t="s">
        <v>70</v>
      </c>
      <c r="H91" t="s">
        <v>33</v>
      </c>
      <c r="I91" t="s">
        <v>34</v>
      </c>
      <c r="J91" t="s">
        <v>46</v>
      </c>
      <c r="K91">
        <v>3</v>
      </c>
      <c r="L91">
        <v>37076.199999999997</v>
      </c>
      <c r="M91">
        <v>5</v>
      </c>
      <c r="N91">
        <v>105667.18</v>
      </c>
      <c r="O91" t="s">
        <v>22</v>
      </c>
    </row>
    <row r="92" spans="1:15" x14ac:dyDescent="0.3">
      <c r="A92" t="s">
        <v>160</v>
      </c>
      <c r="B92" s="2">
        <v>45382</v>
      </c>
      <c r="C92" t="s">
        <v>31</v>
      </c>
      <c r="D92" t="str">
        <f t="shared" si="1"/>
        <v>March</v>
      </c>
      <c r="E92" t="s">
        <v>69</v>
      </c>
      <c r="F92" t="s">
        <v>25</v>
      </c>
      <c r="G92" t="s">
        <v>26</v>
      </c>
      <c r="H92" t="s">
        <v>27</v>
      </c>
      <c r="I92" t="s">
        <v>20</v>
      </c>
      <c r="J92" t="s">
        <v>46</v>
      </c>
      <c r="K92">
        <v>5</v>
      </c>
      <c r="L92">
        <v>2200.88</v>
      </c>
      <c r="M92">
        <v>10</v>
      </c>
      <c r="N92">
        <v>9903.9699999999993</v>
      </c>
      <c r="O92" t="s">
        <v>47</v>
      </c>
    </row>
    <row r="93" spans="1:15" x14ac:dyDescent="0.3">
      <c r="A93" t="s">
        <v>161</v>
      </c>
      <c r="B93" s="2">
        <v>45383</v>
      </c>
      <c r="C93" t="s">
        <v>38</v>
      </c>
      <c r="D93" t="str">
        <f t="shared" si="1"/>
        <v>April</v>
      </c>
      <c r="E93" t="s">
        <v>100</v>
      </c>
      <c r="F93" t="s">
        <v>25</v>
      </c>
      <c r="G93" t="s">
        <v>92</v>
      </c>
      <c r="H93" t="s">
        <v>27</v>
      </c>
      <c r="I93" t="s">
        <v>42</v>
      </c>
      <c r="J93" t="s">
        <v>46</v>
      </c>
      <c r="K93">
        <v>5</v>
      </c>
      <c r="L93">
        <v>2264.58</v>
      </c>
      <c r="M93">
        <v>0</v>
      </c>
      <c r="N93">
        <v>11322.91</v>
      </c>
      <c r="O93" t="s">
        <v>22</v>
      </c>
    </row>
    <row r="94" spans="1:15" x14ac:dyDescent="0.3">
      <c r="A94" t="s">
        <v>162</v>
      </c>
      <c r="B94" s="2">
        <v>45384</v>
      </c>
      <c r="C94" t="s">
        <v>31</v>
      </c>
      <c r="D94" t="str">
        <f t="shared" si="1"/>
        <v>April</v>
      </c>
      <c r="E94" t="s">
        <v>16</v>
      </c>
      <c r="F94" t="s">
        <v>40</v>
      </c>
      <c r="G94" t="s">
        <v>75</v>
      </c>
      <c r="H94" t="s">
        <v>33</v>
      </c>
      <c r="I94" t="s">
        <v>20</v>
      </c>
      <c r="J94" t="s">
        <v>43</v>
      </c>
      <c r="K94">
        <v>1</v>
      </c>
      <c r="L94">
        <v>5756.29</v>
      </c>
      <c r="M94">
        <v>5</v>
      </c>
      <c r="N94">
        <v>5468.48</v>
      </c>
      <c r="O94" t="s">
        <v>47</v>
      </c>
    </row>
    <row r="95" spans="1:15" x14ac:dyDescent="0.3">
      <c r="A95" t="s">
        <v>163</v>
      </c>
      <c r="B95" s="2">
        <v>45385</v>
      </c>
      <c r="C95" t="s">
        <v>15</v>
      </c>
      <c r="D95" t="str">
        <f t="shared" si="1"/>
        <v>April</v>
      </c>
      <c r="E95" t="s">
        <v>52</v>
      </c>
      <c r="F95" t="s">
        <v>53</v>
      </c>
      <c r="G95" t="s">
        <v>65</v>
      </c>
      <c r="H95" t="s">
        <v>45</v>
      </c>
      <c r="I95" t="s">
        <v>34</v>
      </c>
      <c r="J95" t="s">
        <v>28</v>
      </c>
      <c r="K95">
        <v>5</v>
      </c>
      <c r="L95">
        <v>37336.639999999999</v>
      </c>
      <c r="M95">
        <v>10</v>
      </c>
      <c r="N95">
        <v>168014.86</v>
      </c>
      <c r="O95" t="s">
        <v>47</v>
      </c>
    </row>
    <row r="96" spans="1:15" x14ac:dyDescent="0.3">
      <c r="A96" t="s">
        <v>164</v>
      </c>
      <c r="B96" s="2">
        <v>45386</v>
      </c>
      <c r="C96" t="s">
        <v>58</v>
      </c>
      <c r="D96" t="str">
        <f t="shared" si="1"/>
        <v>April</v>
      </c>
      <c r="E96" t="s">
        <v>69</v>
      </c>
      <c r="F96" t="s">
        <v>40</v>
      </c>
      <c r="G96" t="s">
        <v>118</v>
      </c>
      <c r="H96" t="s">
        <v>45</v>
      </c>
      <c r="I96" t="s">
        <v>20</v>
      </c>
      <c r="J96" t="s">
        <v>28</v>
      </c>
      <c r="K96">
        <v>4</v>
      </c>
      <c r="L96">
        <v>7973.39</v>
      </c>
      <c r="M96">
        <v>0</v>
      </c>
      <c r="N96">
        <v>31893.55</v>
      </c>
      <c r="O96" t="s">
        <v>29</v>
      </c>
    </row>
    <row r="97" spans="1:15" x14ac:dyDescent="0.3">
      <c r="A97" t="s">
        <v>165</v>
      </c>
      <c r="B97" s="2">
        <v>45387</v>
      </c>
      <c r="C97" t="s">
        <v>49</v>
      </c>
      <c r="D97" t="str">
        <f t="shared" si="1"/>
        <v>April</v>
      </c>
      <c r="E97" t="s">
        <v>77</v>
      </c>
      <c r="F97" t="s">
        <v>25</v>
      </c>
      <c r="G97" t="s">
        <v>56</v>
      </c>
      <c r="H97" t="s">
        <v>45</v>
      </c>
      <c r="I97" t="s">
        <v>20</v>
      </c>
      <c r="J97" t="s">
        <v>21</v>
      </c>
      <c r="K97">
        <v>3</v>
      </c>
      <c r="L97">
        <v>2273.66</v>
      </c>
      <c r="M97">
        <v>0</v>
      </c>
      <c r="N97">
        <v>6820.98</v>
      </c>
      <c r="O97" t="s">
        <v>29</v>
      </c>
    </row>
    <row r="98" spans="1:15" x14ac:dyDescent="0.3">
      <c r="A98" t="s">
        <v>166</v>
      </c>
      <c r="B98" s="2">
        <v>45388</v>
      </c>
      <c r="C98" t="s">
        <v>31</v>
      </c>
      <c r="D98" t="str">
        <f t="shared" si="1"/>
        <v>April</v>
      </c>
      <c r="E98" t="s">
        <v>77</v>
      </c>
      <c r="F98" t="s">
        <v>53</v>
      </c>
      <c r="G98" t="s">
        <v>54</v>
      </c>
      <c r="H98" t="s">
        <v>33</v>
      </c>
      <c r="I98" t="s">
        <v>20</v>
      </c>
      <c r="J98" t="s">
        <v>28</v>
      </c>
      <c r="K98">
        <v>5</v>
      </c>
      <c r="L98">
        <v>33597.019999999997</v>
      </c>
      <c r="M98">
        <v>0</v>
      </c>
      <c r="N98">
        <v>167985.12</v>
      </c>
      <c r="O98" t="s">
        <v>47</v>
      </c>
    </row>
    <row r="99" spans="1:15" x14ac:dyDescent="0.3">
      <c r="A99" t="s">
        <v>167</v>
      </c>
      <c r="B99" s="2">
        <v>45389</v>
      </c>
      <c r="C99" t="s">
        <v>15</v>
      </c>
      <c r="D99" t="str">
        <f t="shared" si="1"/>
        <v>April</v>
      </c>
      <c r="E99" t="s">
        <v>24</v>
      </c>
      <c r="F99" t="s">
        <v>25</v>
      </c>
      <c r="G99" t="s">
        <v>92</v>
      </c>
      <c r="H99" t="s">
        <v>45</v>
      </c>
      <c r="I99" t="s">
        <v>20</v>
      </c>
      <c r="J99" t="s">
        <v>43</v>
      </c>
      <c r="K99">
        <v>3</v>
      </c>
      <c r="L99">
        <v>3021.15</v>
      </c>
      <c r="M99">
        <v>0</v>
      </c>
      <c r="N99">
        <v>9063.4599999999991</v>
      </c>
      <c r="O99" t="s">
        <v>47</v>
      </c>
    </row>
    <row r="100" spans="1:15" x14ac:dyDescent="0.3">
      <c r="A100" t="s">
        <v>168</v>
      </c>
      <c r="B100" s="2">
        <v>45390</v>
      </c>
      <c r="C100" t="s">
        <v>49</v>
      </c>
      <c r="D100" t="str">
        <f t="shared" si="1"/>
        <v>April</v>
      </c>
      <c r="E100" t="s">
        <v>32</v>
      </c>
      <c r="F100" t="s">
        <v>40</v>
      </c>
      <c r="G100" t="s">
        <v>118</v>
      </c>
      <c r="H100" t="s">
        <v>27</v>
      </c>
      <c r="I100" t="s">
        <v>20</v>
      </c>
      <c r="J100" t="s">
        <v>21</v>
      </c>
      <c r="K100">
        <v>1</v>
      </c>
      <c r="L100">
        <v>6178.35</v>
      </c>
      <c r="M100">
        <v>15</v>
      </c>
      <c r="N100">
        <v>5251.6</v>
      </c>
      <c r="O100" t="s">
        <v>47</v>
      </c>
    </row>
    <row r="101" spans="1:15" x14ac:dyDescent="0.3">
      <c r="A101" t="s">
        <v>169</v>
      </c>
      <c r="B101" s="2">
        <v>45391</v>
      </c>
      <c r="C101" t="s">
        <v>38</v>
      </c>
      <c r="D101" t="str">
        <f t="shared" si="1"/>
        <v>April</v>
      </c>
      <c r="E101" t="s">
        <v>72</v>
      </c>
      <c r="F101" t="s">
        <v>25</v>
      </c>
      <c r="G101" t="s">
        <v>26</v>
      </c>
      <c r="H101" t="s">
        <v>19</v>
      </c>
      <c r="I101" t="s">
        <v>34</v>
      </c>
      <c r="J101" t="s">
        <v>43</v>
      </c>
      <c r="K101">
        <v>1</v>
      </c>
      <c r="L101">
        <v>2934.96</v>
      </c>
      <c r="M101">
        <v>15</v>
      </c>
      <c r="N101">
        <v>2494.7199999999998</v>
      </c>
      <c r="O101" t="s">
        <v>47</v>
      </c>
    </row>
    <row r="102" spans="1:15" x14ac:dyDescent="0.3">
      <c r="A102" t="s">
        <v>170</v>
      </c>
      <c r="B102" s="2">
        <v>45392</v>
      </c>
      <c r="C102" t="s">
        <v>58</v>
      </c>
      <c r="D102" t="str">
        <f t="shared" si="1"/>
        <v>April</v>
      </c>
      <c r="E102" t="s">
        <v>69</v>
      </c>
      <c r="F102" t="s">
        <v>53</v>
      </c>
      <c r="G102" t="s">
        <v>54</v>
      </c>
      <c r="H102" t="s">
        <v>33</v>
      </c>
      <c r="I102" t="s">
        <v>34</v>
      </c>
      <c r="J102" t="s">
        <v>35</v>
      </c>
      <c r="K102">
        <v>2</v>
      </c>
      <c r="L102">
        <v>29195.46</v>
      </c>
      <c r="M102">
        <v>10</v>
      </c>
      <c r="N102">
        <v>52551.82</v>
      </c>
      <c r="O102" t="s">
        <v>36</v>
      </c>
    </row>
    <row r="103" spans="1:15" x14ac:dyDescent="0.3">
      <c r="A103" t="s">
        <v>171</v>
      </c>
      <c r="B103" s="2">
        <v>45393</v>
      </c>
      <c r="C103" t="s">
        <v>31</v>
      </c>
      <c r="D103" t="str">
        <f t="shared" si="1"/>
        <v>April</v>
      </c>
      <c r="E103" t="s">
        <v>52</v>
      </c>
      <c r="F103" t="s">
        <v>60</v>
      </c>
      <c r="G103" t="s">
        <v>78</v>
      </c>
      <c r="H103" t="s">
        <v>27</v>
      </c>
      <c r="I103" t="s">
        <v>42</v>
      </c>
      <c r="J103" t="s">
        <v>21</v>
      </c>
      <c r="K103">
        <v>4</v>
      </c>
      <c r="L103">
        <v>36223.39</v>
      </c>
      <c r="M103">
        <v>5</v>
      </c>
      <c r="N103">
        <v>137648.88</v>
      </c>
      <c r="O103" t="s">
        <v>47</v>
      </c>
    </row>
    <row r="104" spans="1:15" x14ac:dyDescent="0.3">
      <c r="A104" t="s">
        <v>172</v>
      </c>
      <c r="B104" s="2">
        <v>45394</v>
      </c>
      <c r="C104" t="s">
        <v>31</v>
      </c>
      <c r="D104" t="str">
        <f t="shared" si="1"/>
        <v>April</v>
      </c>
      <c r="E104" t="s">
        <v>52</v>
      </c>
      <c r="F104" t="s">
        <v>40</v>
      </c>
      <c r="G104" t="s">
        <v>41</v>
      </c>
      <c r="H104" t="s">
        <v>27</v>
      </c>
      <c r="I104" t="s">
        <v>20</v>
      </c>
      <c r="J104" t="s">
        <v>35</v>
      </c>
      <c r="K104">
        <v>5</v>
      </c>
      <c r="L104">
        <v>6876.47</v>
      </c>
      <c r="M104">
        <v>15</v>
      </c>
      <c r="N104">
        <v>29225.02</v>
      </c>
      <c r="O104" t="s">
        <v>47</v>
      </c>
    </row>
    <row r="105" spans="1:15" x14ac:dyDescent="0.3">
      <c r="A105" t="s">
        <v>173</v>
      </c>
      <c r="B105" s="2">
        <v>45395</v>
      </c>
      <c r="C105" t="s">
        <v>31</v>
      </c>
      <c r="D105" t="str">
        <f t="shared" si="1"/>
        <v>April</v>
      </c>
      <c r="E105" t="s">
        <v>39</v>
      </c>
      <c r="F105" t="s">
        <v>40</v>
      </c>
      <c r="G105" t="s">
        <v>118</v>
      </c>
      <c r="H105" t="s">
        <v>27</v>
      </c>
      <c r="I105" t="s">
        <v>20</v>
      </c>
      <c r="J105" t="s">
        <v>35</v>
      </c>
      <c r="K105">
        <v>1</v>
      </c>
      <c r="L105">
        <v>5479.45</v>
      </c>
      <c r="M105">
        <v>15</v>
      </c>
      <c r="N105">
        <v>4657.53</v>
      </c>
      <c r="O105" t="s">
        <v>22</v>
      </c>
    </row>
    <row r="106" spans="1:15" x14ac:dyDescent="0.3">
      <c r="A106" t="s">
        <v>174</v>
      </c>
      <c r="B106" s="2">
        <v>45396</v>
      </c>
      <c r="C106" t="s">
        <v>38</v>
      </c>
      <c r="D106" t="str">
        <f t="shared" si="1"/>
        <v>April</v>
      </c>
      <c r="E106" t="s">
        <v>69</v>
      </c>
      <c r="F106" t="s">
        <v>17</v>
      </c>
      <c r="G106" t="s">
        <v>67</v>
      </c>
      <c r="H106" t="s">
        <v>27</v>
      </c>
      <c r="I106" t="s">
        <v>34</v>
      </c>
      <c r="J106" t="s">
        <v>21</v>
      </c>
      <c r="K106">
        <v>5</v>
      </c>
      <c r="L106">
        <v>48793.11</v>
      </c>
      <c r="M106">
        <v>15</v>
      </c>
      <c r="N106">
        <v>207370.74</v>
      </c>
      <c r="O106" t="s">
        <v>29</v>
      </c>
    </row>
    <row r="107" spans="1:15" x14ac:dyDescent="0.3">
      <c r="A107" t="s">
        <v>175</v>
      </c>
      <c r="B107" s="2">
        <v>45397</v>
      </c>
      <c r="C107" t="s">
        <v>31</v>
      </c>
      <c r="D107" t="str">
        <f t="shared" si="1"/>
        <v>April</v>
      </c>
      <c r="E107" t="s">
        <v>69</v>
      </c>
      <c r="F107" t="s">
        <v>25</v>
      </c>
      <c r="G107" t="s">
        <v>56</v>
      </c>
      <c r="H107" t="s">
        <v>45</v>
      </c>
      <c r="I107" t="s">
        <v>34</v>
      </c>
      <c r="J107" t="s">
        <v>43</v>
      </c>
      <c r="K107">
        <v>1</v>
      </c>
      <c r="L107">
        <v>2620.25</v>
      </c>
      <c r="M107">
        <v>5</v>
      </c>
      <c r="N107">
        <v>2489.2399999999998</v>
      </c>
      <c r="O107" t="s">
        <v>36</v>
      </c>
    </row>
    <row r="108" spans="1:15" x14ac:dyDescent="0.3">
      <c r="A108" t="s">
        <v>176</v>
      </c>
      <c r="B108" s="2">
        <v>45398</v>
      </c>
      <c r="C108" t="s">
        <v>15</v>
      </c>
      <c r="D108" t="str">
        <f t="shared" si="1"/>
        <v>April</v>
      </c>
      <c r="E108" t="s">
        <v>24</v>
      </c>
      <c r="F108" t="s">
        <v>25</v>
      </c>
      <c r="G108" t="s">
        <v>92</v>
      </c>
      <c r="H108" t="s">
        <v>19</v>
      </c>
      <c r="I108" t="s">
        <v>42</v>
      </c>
      <c r="J108" t="s">
        <v>43</v>
      </c>
      <c r="K108">
        <v>2</v>
      </c>
      <c r="L108">
        <v>2954.78</v>
      </c>
      <c r="M108">
        <v>5</v>
      </c>
      <c r="N108">
        <v>5614.08</v>
      </c>
      <c r="O108" t="s">
        <v>36</v>
      </c>
    </row>
    <row r="109" spans="1:15" x14ac:dyDescent="0.3">
      <c r="A109" t="s">
        <v>177</v>
      </c>
      <c r="B109" s="2">
        <v>45399</v>
      </c>
      <c r="C109" t="s">
        <v>38</v>
      </c>
      <c r="D109" t="str">
        <f t="shared" si="1"/>
        <v>April</v>
      </c>
      <c r="E109" t="s">
        <v>52</v>
      </c>
      <c r="F109" t="s">
        <v>60</v>
      </c>
      <c r="G109" t="s">
        <v>78</v>
      </c>
      <c r="H109" t="s">
        <v>19</v>
      </c>
      <c r="I109" t="s">
        <v>20</v>
      </c>
      <c r="J109" t="s">
        <v>28</v>
      </c>
      <c r="K109">
        <v>1</v>
      </c>
      <c r="L109">
        <v>43577.24</v>
      </c>
      <c r="M109">
        <v>0</v>
      </c>
      <c r="N109">
        <v>43577.24</v>
      </c>
      <c r="O109" t="s">
        <v>36</v>
      </c>
    </row>
    <row r="110" spans="1:15" x14ac:dyDescent="0.3">
      <c r="A110" t="s">
        <v>178</v>
      </c>
      <c r="B110" s="2">
        <v>45400</v>
      </c>
      <c r="C110" t="s">
        <v>38</v>
      </c>
      <c r="D110" t="str">
        <f t="shared" si="1"/>
        <v>April</v>
      </c>
      <c r="E110" t="s">
        <v>69</v>
      </c>
      <c r="F110" t="s">
        <v>17</v>
      </c>
      <c r="G110" t="s">
        <v>67</v>
      </c>
      <c r="H110" t="s">
        <v>33</v>
      </c>
      <c r="I110" t="s">
        <v>42</v>
      </c>
      <c r="J110" t="s">
        <v>43</v>
      </c>
      <c r="K110">
        <v>2</v>
      </c>
      <c r="L110">
        <v>71319.13</v>
      </c>
      <c r="M110">
        <v>5</v>
      </c>
      <c r="N110">
        <v>135506.35999999999</v>
      </c>
      <c r="O110" t="s">
        <v>47</v>
      </c>
    </row>
    <row r="111" spans="1:15" x14ac:dyDescent="0.3">
      <c r="A111" t="s">
        <v>179</v>
      </c>
      <c r="B111" s="2">
        <v>45401</v>
      </c>
      <c r="C111" t="s">
        <v>15</v>
      </c>
      <c r="D111" t="str">
        <f t="shared" si="1"/>
        <v>April</v>
      </c>
      <c r="E111" t="s">
        <v>77</v>
      </c>
      <c r="F111" t="s">
        <v>60</v>
      </c>
      <c r="G111" t="s">
        <v>78</v>
      </c>
      <c r="H111" t="s">
        <v>27</v>
      </c>
      <c r="I111" t="s">
        <v>42</v>
      </c>
      <c r="J111" t="s">
        <v>43</v>
      </c>
      <c r="K111">
        <v>1</v>
      </c>
      <c r="L111">
        <v>44661.919999999998</v>
      </c>
      <c r="M111">
        <v>15</v>
      </c>
      <c r="N111">
        <v>37962.629999999997</v>
      </c>
      <c r="O111" t="s">
        <v>22</v>
      </c>
    </row>
    <row r="112" spans="1:15" x14ac:dyDescent="0.3">
      <c r="A112" t="s">
        <v>180</v>
      </c>
      <c r="B112" s="2">
        <v>45402</v>
      </c>
      <c r="C112" t="s">
        <v>15</v>
      </c>
      <c r="D112" t="str">
        <f t="shared" si="1"/>
        <v>April</v>
      </c>
      <c r="E112" t="s">
        <v>52</v>
      </c>
      <c r="F112" t="s">
        <v>40</v>
      </c>
      <c r="G112" t="s">
        <v>118</v>
      </c>
      <c r="H112" t="s">
        <v>45</v>
      </c>
      <c r="I112" t="s">
        <v>20</v>
      </c>
      <c r="J112" t="s">
        <v>21</v>
      </c>
      <c r="K112">
        <v>3</v>
      </c>
      <c r="L112">
        <v>6787.9</v>
      </c>
      <c r="M112">
        <v>15</v>
      </c>
      <c r="N112">
        <v>17309.16</v>
      </c>
      <c r="O112" t="s">
        <v>22</v>
      </c>
    </row>
    <row r="113" spans="1:15" x14ac:dyDescent="0.3">
      <c r="A113" t="s">
        <v>181</v>
      </c>
      <c r="B113" s="2">
        <v>45403</v>
      </c>
      <c r="C113" t="s">
        <v>15</v>
      </c>
      <c r="D113" t="str">
        <f t="shared" si="1"/>
        <v>April</v>
      </c>
      <c r="E113" t="s">
        <v>100</v>
      </c>
      <c r="F113" t="s">
        <v>53</v>
      </c>
      <c r="G113" t="s">
        <v>129</v>
      </c>
      <c r="H113" t="s">
        <v>45</v>
      </c>
      <c r="I113" t="s">
        <v>20</v>
      </c>
      <c r="J113" t="s">
        <v>43</v>
      </c>
      <c r="K113">
        <v>1</v>
      </c>
      <c r="L113">
        <v>37880.39</v>
      </c>
      <c r="M113">
        <v>5</v>
      </c>
      <c r="N113">
        <v>35986.370000000003</v>
      </c>
      <c r="O113" t="s">
        <v>47</v>
      </c>
    </row>
    <row r="114" spans="1:15" x14ac:dyDescent="0.3">
      <c r="A114" t="s">
        <v>182</v>
      </c>
      <c r="B114" s="2">
        <v>45404</v>
      </c>
      <c r="C114" t="s">
        <v>38</v>
      </c>
      <c r="D114" t="str">
        <f t="shared" si="1"/>
        <v>April</v>
      </c>
      <c r="E114" t="s">
        <v>69</v>
      </c>
      <c r="F114" t="s">
        <v>60</v>
      </c>
      <c r="G114" t="s">
        <v>61</v>
      </c>
      <c r="H114" t="s">
        <v>33</v>
      </c>
      <c r="I114" t="s">
        <v>20</v>
      </c>
      <c r="J114" t="s">
        <v>28</v>
      </c>
      <c r="K114">
        <v>2</v>
      </c>
      <c r="L114">
        <v>38118.300000000003</v>
      </c>
      <c r="M114">
        <v>10</v>
      </c>
      <c r="N114">
        <v>68612.95</v>
      </c>
      <c r="O114" t="s">
        <v>36</v>
      </c>
    </row>
    <row r="115" spans="1:15" x14ac:dyDescent="0.3">
      <c r="A115" t="s">
        <v>183</v>
      </c>
      <c r="B115" s="2">
        <v>45405</v>
      </c>
      <c r="C115" t="s">
        <v>31</v>
      </c>
      <c r="D115" t="str">
        <f t="shared" si="1"/>
        <v>April</v>
      </c>
      <c r="E115" t="s">
        <v>72</v>
      </c>
      <c r="F115" t="s">
        <v>40</v>
      </c>
      <c r="G115" t="s">
        <v>41</v>
      </c>
      <c r="H115" t="s">
        <v>27</v>
      </c>
      <c r="I115" t="s">
        <v>42</v>
      </c>
      <c r="J115" t="s">
        <v>35</v>
      </c>
      <c r="K115">
        <v>3</v>
      </c>
      <c r="L115">
        <v>7105.46</v>
      </c>
      <c r="M115">
        <v>10</v>
      </c>
      <c r="N115">
        <v>19184.75</v>
      </c>
      <c r="O115" t="s">
        <v>47</v>
      </c>
    </row>
    <row r="116" spans="1:15" x14ac:dyDescent="0.3">
      <c r="A116" t="s">
        <v>184</v>
      </c>
      <c r="B116" s="2">
        <v>45406</v>
      </c>
      <c r="C116" t="s">
        <v>58</v>
      </c>
      <c r="D116" t="str">
        <f t="shared" si="1"/>
        <v>April</v>
      </c>
      <c r="E116" t="s">
        <v>72</v>
      </c>
      <c r="F116" t="s">
        <v>60</v>
      </c>
      <c r="G116" t="s">
        <v>73</v>
      </c>
      <c r="H116" t="s">
        <v>27</v>
      </c>
      <c r="I116" t="s">
        <v>20</v>
      </c>
      <c r="J116" t="s">
        <v>21</v>
      </c>
      <c r="K116">
        <v>5</v>
      </c>
      <c r="L116">
        <v>45046.35</v>
      </c>
      <c r="M116">
        <v>5</v>
      </c>
      <c r="N116">
        <v>213970.18</v>
      </c>
      <c r="O116" t="s">
        <v>36</v>
      </c>
    </row>
    <row r="117" spans="1:15" x14ac:dyDescent="0.3">
      <c r="A117" t="s">
        <v>185</v>
      </c>
      <c r="B117" s="2">
        <v>45407</v>
      </c>
      <c r="C117" t="s">
        <v>58</v>
      </c>
      <c r="D117" t="str">
        <f t="shared" si="1"/>
        <v>April</v>
      </c>
      <c r="E117" t="s">
        <v>77</v>
      </c>
      <c r="F117" t="s">
        <v>53</v>
      </c>
      <c r="G117" t="s">
        <v>65</v>
      </c>
      <c r="H117" t="s">
        <v>19</v>
      </c>
      <c r="I117" t="s">
        <v>42</v>
      </c>
      <c r="J117" t="s">
        <v>21</v>
      </c>
      <c r="K117">
        <v>2</v>
      </c>
      <c r="L117">
        <v>26341.53</v>
      </c>
      <c r="M117">
        <v>10</v>
      </c>
      <c r="N117">
        <v>47414.76</v>
      </c>
      <c r="O117" t="s">
        <v>22</v>
      </c>
    </row>
    <row r="118" spans="1:15" x14ac:dyDescent="0.3">
      <c r="A118" t="s">
        <v>186</v>
      </c>
      <c r="B118" s="2">
        <v>45408</v>
      </c>
      <c r="C118" t="s">
        <v>38</v>
      </c>
      <c r="D118" t="str">
        <f t="shared" si="1"/>
        <v>April</v>
      </c>
      <c r="E118" t="s">
        <v>24</v>
      </c>
      <c r="F118" t="s">
        <v>25</v>
      </c>
      <c r="G118" t="s">
        <v>92</v>
      </c>
      <c r="H118" t="s">
        <v>27</v>
      </c>
      <c r="I118" t="s">
        <v>42</v>
      </c>
      <c r="J118" t="s">
        <v>46</v>
      </c>
      <c r="K118">
        <v>1</v>
      </c>
      <c r="L118">
        <v>2809.45</v>
      </c>
      <c r="M118">
        <v>10</v>
      </c>
      <c r="N118">
        <v>2528.5</v>
      </c>
      <c r="O118" t="s">
        <v>22</v>
      </c>
    </row>
    <row r="119" spans="1:15" x14ac:dyDescent="0.3">
      <c r="A119" t="s">
        <v>187</v>
      </c>
      <c r="B119" s="2">
        <v>45409</v>
      </c>
      <c r="C119" t="s">
        <v>31</v>
      </c>
      <c r="D119" t="str">
        <f t="shared" si="1"/>
        <v>April</v>
      </c>
      <c r="E119" t="s">
        <v>24</v>
      </c>
      <c r="F119" t="s">
        <v>60</v>
      </c>
      <c r="G119" t="s">
        <v>61</v>
      </c>
      <c r="H119" t="s">
        <v>33</v>
      </c>
      <c r="I119" t="s">
        <v>20</v>
      </c>
      <c r="J119" t="s">
        <v>28</v>
      </c>
      <c r="K119">
        <v>1</v>
      </c>
      <c r="L119">
        <v>39543.74</v>
      </c>
      <c r="M119">
        <v>20</v>
      </c>
      <c r="N119">
        <v>31634.99</v>
      </c>
      <c r="O119" t="s">
        <v>22</v>
      </c>
    </row>
    <row r="120" spans="1:15" x14ac:dyDescent="0.3">
      <c r="A120" t="s">
        <v>188</v>
      </c>
      <c r="B120" s="2">
        <v>45410</v>
      </c>
      <c r="C120" t="s">
        <v>58</v>
      </c>
      <c r="D120" t="str">
        <f t="shared" si="1"/>
        <v>April</v>
      </c>
      <c r="E120" t="s">
        <v>72</v>
      </c>
      <c r="F120" t="s">
        <v>25</v>
      </c>
      <c r="G120" t="s">
        <v>81</v>
      </c>
      <c r="H120" t="s">
        <v>33</v>
      </c>
      <c r="I120" t="s">
        <v>42</v>
      </c>
      <c r="J120" t="s">
        <v>43</v>
      </c>
      <c r="K120">
        <v>5</v>
      </c>
      <c r="L120">
        <v>2118.09</v>
      </c>
      <c r="M120">
        <v>20</v>
      </c>
      <c r="N120">
        <v>8472.3799999999992</v>
      </c>
      <c r="O120" t="s">
        <v>22</v>
      </c>
    </row>
    <row r="121" spans="1:15" x14ac:dyDescent="0.3">
      <c r="A121" t="s">
        <v>189</v>
      </c>
      <c r="B121" s="2">
        <v>45411</v>
      </c>
      <c r="C121" t="s">
        <v>58</v>
      </c>
      <c r="D121" t="str">
        <f t="shared" si="1"/>
        <v>April</v>
      </c>
      <c r="E121" t="s">
        <v>50</v>
      </c>
      <c r="F121" t="s">
        <v>53</v>
      </c>
      <c r="G121" t="s">
        <v>129</v>
      </c>
      <c r="H121" t="s">
        <v>27</v>
      </c>
      <c r="I121" t="s">
        <v>42</v>
      </c>
      <c r="J121" t="s">
        <v>21</v>
      </c>
      <c r="K121">
        <v>1</v>
      </c>
      <c r="L121">
        <v>39122.18</v>
      </c>
      <c r="M121">
        <v>0</v>
      </c>
      <c r="N121">
        <v>39122.18</v>
      </c>
      <c r="O121" t="s">
        <v>47</v>
      </c>
    </row>
    <row r="122" spans="1:15" x14ac:dyDescent="0.3">
      <c r="A122" t="s">
        <v>190</v>
      </c>
      <c r="B122" s="2">
        <v>45412</v>
      </c>
      <c r="C122" t="s">
        <v>31</v>
      </c>
      <c r="D122" t="str">
        <f t="shared" si="1"/>
        <v>April</v>
      </c>
      <c r="E122" t="s">
        <v>24</v>
      </c>
      <c r="F122" t="s">
        <v>53</v>
      </c>
      <c r="G122" t="s">
        <v>105</v>
      </c>
      <c r="H122" t="s">
        <v>19</v>
      </c>
      <c r="I122" t="s">
        <v>34</v>
      </c>
      <c r="J122" t="s">
        <v>28</v>
      </c>
      <c r="K122">
        <v>5</v>
      </c>
      <c r="L122">
        <v>28861.11</v>
      </c>
      <c r="M122">
        <v>15</v>
      </c>
      <c r="N122">
        <v>122659.71</v>
      </c>
      <c r="O122" t="s">
        <v>47</v>
      </c>
    </row>
    <row r="123" spans="1:15" x14ac:dyDescent="0.3">
      <c r="A123" t="s">
        <v>191</v>
      </c>
      <c r="B123" s="2">
        <v>45413</v>
      </c>
      <c r="C123" t="s">
        <v>38</v>
      </c>
      <c r="D123" t="str">
        <f t="shared" si="1"/>
        <v>May</v>
      </c>
      <c r="E123" t="s">
        <v>32</v>
      </c>
      <c r="F123" t="s">
        <v>17</v>
      </c>
      <c r="G123" t="s">
        <v>123</v>
      </c>
      <c r="H123" t="s">
        <v>19</v>
      </c>
      <c r="I123" t="s">
        <v>20</v>
      </c>
      <c r="J123" t="s">
        <v>35</v>
      </c>
      <c r="K123">
        <v>4</v>
      </c>
      <c r="L123">
        <v>66696.070000000007</v>
      </c>
      <c r="M123">
        <v>0</v>
      </c>
      <c r="N123">
        <v>266784.27</v>
      </c>
      <c r="O123" t="s">
        <v>47</v>
      </c>
    </row>
    <row r="124" spans="1:15" x14ac:dyDescent="0.3">
      <c r="A124" t="s">
        <v>192</v>
      </c>
      <c r="B124" s="2">
        <v>45414</v>
      </c>
      <c r="C124" t="s">
        <v>49</v>
      </c>
      <c r="D124" t="str">
        <f t="shared" si="1"/>
        <v>May</v>
      </c>
      <c r="E124" t="s">
        <v>39</v>
      </c>
      <c r="F124" t="s">
        <v>25</v>
      </c>
      <c r="G124" t="s">
        <v>81</v>
      </c>
      <c r="H124" t="s">
        <v>45</v>
      </c>
      <c r="I124" t="s">
        <v>42</v>
      </c>
      <c r="J124" t="s">
        <v>21</v>
      </c>
      <c r="K124">
        <v>3</v>
      </c>
      <c r="L124">
        <v>3017.57</v>
      </c>
      <c r="M124">
        <v>0</v>
      </c>
      <c r="N124">
        <v>9052.7099999999991</v>
      </c>
      <c r="O124" t="s">
        <v>22</v>
      </c>
    </row>
    <row r="125" spans="1:15" x14ac:dyDescent="0.3">
      <c r="A125" t="s">
        <v>193</v>
      </c>
      <c r="B125" s="2">
        <v>45415</v>
      </c>
      <c r="C125" t="s">
        <v>49</v>
      </c>
      <c r="D125" t="str">
        <f t="shared" si="1"/>
        <v>May</v>
      </c>
      <c r="E125" t="s">
        <v>16</v>
      </c>
      <c r="F125" t="s">
        <v>60</v>
      </c>
      <c r="G125" t="s">
        <v>73</v>
      </c>
      <c r="H125" t="s">
        <v>19</v>
      </c>
      <c r="I125" t="s">
        <v>34</v>
      </c>
      <c r="J125" t="s">
        <v>46</v>
      </c>
      <c r="K125">
        <v>4</v>
      </c>
      <c r="L125">
        <v>47336.23</v>
      </c>
      <c r="M125">
        <v>5</v>
      </c>
      <c r="N125">
        <v>179877.66</v>
      </c>
      <c r="O125" t="s">
        <v>29</v>
      </c>
    </row>
    <row r="126" spans="1:15" x14ac:dyDescent="0.3">
      <c r="A126" t="s">
        <v>194</v>
      </c>
      <c r="B126" s="2">
        <v>45416</v>
      </c>
      <c r="C126" t="s">
        <v>38</v>
      </c>
      <c r="D126" t="str">
        <f t="shared" si="1"/>
        <v>May</v>
      </c>
      <c r="E126" t="s">
        <v>77</v>
      </c>
      <c r="F126" t="s">
        <v>40</v>
      </c>
      <c r="G126" t="s">
        <v>115</v>
      </c>
      <c r="H126" t="s">
        <v>45</v>
      </c>
      <c r="I126" t="s">
        <v>34</v>
      </c>
      <c r="J126" t="s">
        <v>28</v>
      </c>
      <c r="K126">
        <v>5</v>
      </c>
      <c r="L126">
        <v>6417.32</v>
      </c>
      <c r="M126">
        <v>15</v>
      </c>
      <c r="N126">
        <v>27273.61</v>
      </c>
      <c r="O126" t="s">
        <v>29</v>
      </c>
    </row>
    <row r="127" spans="1:15" x14ac:dyDescent="0.3">
      <c r="A127" t="s">
        <v>195</v>
      </c>
      <c r="B127" s="2">
        <v>45417</v>
      </c>
      <c r="C127" t="s">
        <v>49</v>
      </c>
      <c r="D127" t="str">
        <f t="shared" si="1"/>
        <v>May</v>
      </c>
      <c r="E127" t="s">
        <v>77</v>
      </c>
      <c r="F127" t="s">
        <v>17</v>
      </c>
      <c r="G127" t="s">
        <v>63</v>
      </c>
      <c r="H127" t="s">
        <v>19</v>
      </c>
      <c r="I127" t="s">
        <v>42</v>
      </c>
      <c r="J127" t="s">
        <v>35</v>
      </c>
      <c r="K127">
        <v>1</v>
      </c>
      <c r="L127">
        <v>54949.57</v>
      </c>
      <c r="M127">
        <v>0</v>
      </c>
      <c r="N127">
        <v>54949.57</v>
      </c>
      <c r="O127" t="s">
        <v>36</v>
      </c>
    </row>
    <row r="128" spans="1:15" x14ac:dyDescent="0.3">
      <c r="A128" t="s">
        <v>196</v>
      </c>
      <c r="B128" s="2">
        <v>45418</v>
      </c>
      <c r="C128" t="s">
        <v>58</v>
      </c>
      <c r="D128" t="str">
        <f t="shared" si="1"/>
        <v>May</v>
      </c>
      <c r="E128" t="s">
        <v>100</v>
      </c>
      <c r="F128" t="s">
        <v>60</v>
      </c>
      <c r="G128" t="s">
        <v>70</v>
      </c>
      <c r="H128" t="s">
        <v>33</v>
      </c>
      <c r="I128" t="s">
        <v>34</v>
      </c>
      <c r="J128" t="s">
        <v>46</v>
      </c>
      <c r="K128">
        <v>3</v>
      </c>
      <c r="L128">
        <v>44275.51</v>
      </c>
      <c r="M128">
        <v>15</v>
      </c>
      <c r="N128">
        <v>112902.56</v>
      </c>
      <c r="O128" t="s">
        <v>29</v>
      </c>
    </row>
    <row r="129" spans="1:15" x14ac:dyDescent="0.3">
      <c r="A129" t="s">
        <v>197</v>
      </c>
      <c r="B129" s="2">
        <v>45419</v>
      </c>
      <c r="C129" t="s">
        <v>31</v>
      </c>
      <c r="D129" t="str">
        <f t="shared" si="1"/>
        <v>May</v>
      </c>
      <c r="E129" t="s">
        <v>32</v>
      </c>
      <c r="F129" t="s">
        <v>17</v>
      </c>
      <c r="G129" t="s">
        <v>18</v>
      </c>
      <c r="H129" t="s">
        <v>27</v>
      </c>
      <c r="I129" t="s">
        <v>20</v>
      </c>
      <c r="J129" t="s">
        <v>46</v>
      </c>
      <c r="K129">
        <v>5</v>
      </c>
      <c r="L129">
        <v>61255.63</v>
      </c>
      <c r="M129">
        <v>5</v>
      </c>
      <c r="N129">
        <v>290964.27</v>
      </c>
      <c r="O129" t="s">
        <v>22</v>
      </c>
    </row>
    <row r="130" spans="1:15" x14ac:dyDescent="0.3">
      <c r="A130" t="s">
        <v>198</v>
      </c>
      <c r="B130" s="2">
        <v>45420</v>
      </c>
      <c r="C130" t="s">
        <v>58</v>
      </c>
      <c r="D130" t="str">
        <f t="shared" si="1"/>
        <v>May</v>
      </c>
      <c r="E130" t="s">
        <v>77</v>
      </c>
      <c r="F130" t="s">
        <v>17</v>
      </c>
      <c r="G130" t="s">
        <v>63</v>
      </c>
      <c r="H130" t="s">
        <v>33</v>
      </c>
      <c r="I130" t="s">
        <v>42</v>
      </c>
      <c r="J130" t="s">
        <v>43</v>
      </c>
      <c r="K130">
        <v>2</v>
      </c>
      <c r="L130">
        <v>44328.71</v>
      </c>
      <c r="M130">
        <v>15</v>
      </c>
      <c r="N130">
        <v>75358.8</v>
      </c>
      <c r="O130" t="s">
        <v>36</v>
      </c>
    </row>
    <row r="131" spans="1:15" x14ac:dyDescent="0.3">
      <c r="A131" t="s">
        <v>199</v>
      </c>
      <c r="B131" s="2">
        <v>45421</v>
      </c>
      <c r="C131" t="s">
        <v>58</v>
      </c>
      <c r="D131" t="str">
        <f t="shared" ref="D131:D194" si="2">TEXT(B131,"mmmm")</f>
        <v>May</v>
      </c>
      <c r="E131" t="s">
        <v>39</v>
      </c>
      <c r="F131" t="s">
        <v>60</v>
      </c>
      <c r="G131" t="s">
        <v>70</v>
      </c>
      <c r="H131" t="s">
        <v>27</v>
      </c>
      <c r="I131" t="s">
        <v>42</v>
      </c>
      <c r="J131" t="s">
        <v>21</v>
      </c>
      <c r="K131">
        <v>2</v>
      </c>
      <c r="L131">
        <v>50539.54</v>
      </c>
      <c r="M131">
        <v>0</v>
      </c>
      <c r="N131">
        <v>101079.08</v>
      </c>
      <c r="O131" t="s">
        <v>47</v>
      </c>
    </row>
    <row r="132" spans="1:15" x14ac:dyDescent="0.3">
      <c r="A132" t="s">
        <v>200</v>
      </c>
      <c r="B132" s="2">
        <v>45422</v>
      </c>
      <c r="C132" t="s">
        <v>38</v>
      </c>
      <c r="D132" t="str">
        <f t="shared" si="2"/>
        <v>May</v>
      </c>
      <c r="E132" t="s">
        <v>69</v>
      </c>
      <c r="F132" t="s">
        <v>53</v>
      </c>
      <c r="G132" t="s">
        <v>105</v>
      </c>
      <c r="H132" t="s">
        <v>19</v>
      </c>
      <c r="I132" t="s">
        <v>34</v>
      </c>
      <c r="J132" t="s">
        <v>21</v>
      </c>
      <c r="K132">
        <v>2</v>
      </c>
      <c r="L132">
        <v>26381.38</v>
      </c>
      <c r="M132">
        <v>15</v>
      </c>
      <c r="N132">
        <v>44848.34</v>
      </c>
      <c r="O132" t="s">
        <v>29</v>
      </c>
    </row>
    <row r="133" spans="1:15" x14ac:dyDescent="0.3">
      <c r="A133" t="s">
        <v>201</v>
      </c>
      <c r="B133" s="2">
        <v>45423</v>
      </c>
      <c r="C133" t="s">
        <v>31</v>
      </c>
      <c r="D133" t="str">
        <f t="shared" si="2"/>
        <v>May</v>
      </c>
      <c r="E133" t="s">
        <v>100</v>
      </c>
      <c r="F133" t="s">
        <v>60</v>
      </c>
      <c r="G133" t="s">
        <v>61</v>
      </c>
      <c r="H133" t="s">
        <v>19</v>
      </c>
      <c r="I133" t="s">
        <v>42</v>
      </c>
      <c r="J133" t="s">
        <v>35</v>
      </c>
      <c r="K133">
        <v>2</v>
      </c>
      <c r="L133">
        <v>36976.720000000001</v>
      </c>
      <c r="M133">
        <v>15</v>
      </c>
      <c r="N133">
        <v>62860.42</v>
      </c>
      <c r="O133" t="s">
        <v>47</v>
      </c>
    </row>
    <row r="134" spans="1:15" x14ac:dyDescent="0.3">
      <c r="A134" t="s">
        <v>202</v>
      </c>
      <c r="B134" s="2">
        <v>45424</v>
      </c>
      <c r="C134" t="s">
        <v>38</v>
      </c>
      <c r="D134" t="str">
        <f t="shared" si="2"/>
        <v>May</v>
      </c>
      <c r="E134" t="s">
        <v>39</v>
      </c>
      <c r="F134" t="s">
        <v>17</v>
      </c>
      <c r="G134" t="s">
        <v>63</v>
      </c>
      <c r="H134" t="s">
        <v>33</v>
      </c>
      <c r="I134" t="s">
        <v>34</v>
      </c>
      <c r="J134" t="s">
        <v>21</v>
      </c>
      <c r="K134">
        <v>2</v>
      </c>
      <c r="L134">
        <v>56530.95</v>
      </c>
      <c r="M134">
        <v>0</v>
      </c>
      <c r="N134">
        <v>113061.89</v>
      </c>
      <c r="O134" t="s">
        <v>29</v>
      </c>
    </row>
    <row r="135" spans="1:15" x14ac:dyDescent="0.3">
      <c r="A135" t="s">
        <v>203</v>
      </c>
      <c r="B135" s="2">
        <v>45425</v>
      </c>
      <c r="C135" t="s">
        <v>38</v>
      </c>
      <c r="D135" t="str">
        <f t="shared" si="2"/>
        <v>May</v>
      </c>
      <c r="E135" t="s">
        <v>50</v>
      </c>
      <c r="F135" t="s">
        <v>53</v>
      </c>
      <c r="G135" t="s">
        <v>54</v>
      </c>
      <c r="H135" t="s">
        <v>27</v>
      </c>
      <c r="I135" t="s">
        <v>20</v>
      </c>
      <c r="J135" t="s">
        <v>43</v>
      </c>
      <c r="K135">
        <v>1</v>
      </c>
      <c r="L135">
        <v>30476.97</v>
      </c>
      <c r="M135">
        <v>10</v>
      </c>
      <c r="N135">
        <v>27429.27</v>
      </c>
      <c r="O135" t="s">
        <v>47</v>
      </c>
    </row>
    <row r="136" spans="1:15" x14ac:dyDescent="0.3">
      <c r="A136" t="s">
        <v>204</v>
      </c>
      <c r="B136" s="2">
        <v>45426</v>
      </c>
      <c r="C136" t="s">
        <v>38</v>
      </c>
      <c r="D136" t="str">
        <f t="shared" si="2"/>
        <v>May</v>
      </c>
      <c r="E136" t="s">
        <v>52</v>
      </c>
      <c r="F136" t="s">
        <v>53</v>
      </c>
      <c r="G136" t="s">
        <v>65</v>
      </c>
      <c r="H136" t="s">
        <v>19</v>
      </c>
      <c r="I136" t="s">
        <v>34</v>
      </c>
      <c r="J136" t="s">
        <v>21</v>
      </c>
      <c r="K136">
        <v>1</v>
      </c>
      <c r="L136">
        <v>28409.52</v>
      </c>
      <c r="M136">
        <v>5</v>
      </c>
      <c r="N136">
        <v>26989.05</v>
      </c>
      <c r="O136" t="s">
        <v>22</v>
      </c>
    </row>
    <row r="137" spans="1:15" x14ac:dyDescent="0.3">
      <c r="A137" t="s">
        <v>205</v>
      </c>
      <c r="B137" s="2">
        <v>45427</v>
      </c>
      <c r="C137" t="s">
        <v>31</v>
      </c>
      <c r="D137" t="str">
        <f t="shared" si="2"/>
        <v>May</v>
      </c>
      <c r="E137" t="s">
        <v>50</v>
      </c>
      <c r="F137" t="s">
        <v>53</v>
      </c>
      <c r="G137" t="s">
        <v>129</v>
      </c>
      <c r="H137" t="s">
        <v>27</v>
      </c>
      <c r="I137" t="s">
        <v>42</v>
      </c>
      <c r="J137" t="s">
        <v>43</v>
      </c>
      <c r="K137">
        <v>3</v>
      </c>
      <c r="L137">
        <v>28927.15</v>
      </c>
      <c r="M137">
        <v>10</v>
      </c>
      <c r="N137">
        <v>78103.3</v>
      </c>
      <c r="O137" t="s">
        <v>47</v>
      </c>
    </row>
    <row r="138" spans="1:15" x14ac:dyDescent="0.3">
      <c r="A138" t="s">
        <v>206</v>
      </c>
      <c r="B138" s="2">
        <v>45428</v>
      </c>
      <c r="C138" t="s">
        <v>58</v>
      </c>
      <c r="D138" t="str">
        <f t="shared" si="2"/>
        <v>May</v>
      </c>
      <c r="E138" t="s">
        <v>69</v>
      </c>
      <c r="F138" t="s">
        <v>53</v>
      </c>
      <c r="G138" t="s">
        <v>105</v>
      </c>
      <c r="H138" t="s">
        <v>19</v>
      </c>
      <c r="I138" t="s">
        <v>34</v>
      </c>
      <c r="J138" t="s">
        <v>46</v>
      </c>
      <c r="K138">
        <v>5</v>
      </c>
      <c r="L138">
        <v>29469.439999999999</v>
      </c>
      <c r="M138">
        <v>15</v>
      </c>
      <c r="N138">
        <v>125245.13</v>
      </c>
      <c r="O138" t="s">
        <v>36</v>
      </c>
    </row>
    <row r="139" spans="1:15" x14ac:dyDescent="0.3">
      <c r="A139" t="s">
        <v>207</v>
      </c>
      <c r="B139" s="2">
        <v>45429</v>
      </c>
      <c r="C139" t="s">
        <v>15</v>
      </c>
      <c r="D139" t="str">
        <f t="shared" si="2"/>
        <v>May</v>
      </c>
      <c r="E139" t="s">
        <v>16</v>
      </c>
      <c r="F139" t="s">
        <v>17</v>
      </c>
      <c r="G139" t="s">
        <v>123</v>
      </c>
      <c r="H139" t="s">
        <v>27</v>
      </c>
      <c r="I139" t="s">
        <v>42</v>
      </c>
      <c r="J139" t="s">
        <v>35</v>
      </c>
      <c r="K139">
        <v>3</v>
      </c>
      <c r="L139">
        <v>54726.33</v>
      </c>
      <c r="M139">
        <v>15</v>
      </c>
      <c r="N139">
        <v>139552.15</v>
      </c>
      <c r="O139" t="s">
        <v>47</v>
      </c>
    </row>
    <row r="140" spans="1:15" x14ac:dyDescent="0.3">
      <c r="A140" t="s">
        <v>208</v>
      </c>
      <c r="B140" s="2">
        <v>45430</v>
      </c>
      <c r="C140" t="s">
        <v>38</v>
      </c>
      <c r="D140" t="str">
        <f t="shared" si="2"/>
        <v>May</v>
      </c>
      <c r="E140" t="s">
        <v>39</v>
      </c>
      <c r="F140" t="s">
        <v>25</v>
      </c>
      <c r="G140" t="s">
        <v>26</v>
      </c>
      <c r="H140" t="s">
        <v>19</v>
      </c>
      <c r="I140" t="s">
        <v>20</v>
      </c>
      <c r="J140" t="s">
        <v>46</v>
      </c>
      <c r="K140">
        <v>4</v>
      </c>
      <c r="L140">
        <v>2593.69</v>
      </c>
      <c r="M140">
        <v>5</v>
      </c>
      <c r="N140">
        <v>9856.02</v>
      </c>
      <c r="O140" t="s">
        <v>36</v>
      </c>
    </row>
    <row r="141" spans="1:15" x14ac:dyDescent="0.3">
      <c r="A141" t="s">
        <v>209</v>
      </c>
      <c r="B141" s="2">
        <v>45431</v>
      </c>
      <c r="C141" t="s">
        <v>15</v>
      </c>
      <c r="D141" t="str">
        <f t="shared" si="2"/>
        <v>May</v>
      </c>
      <c r="E141" t="s">
        <v>100</v>
      </c>
      <c r="F141" t="s">
        <v>17</v>
      </c>
      <c r="G141" t="s">
        <v>63</v>
      </c>
      <c r="H141" t="s">
        <v>45</v>
      </c>
      <c r="I141" t="s">
        <v>20</v>
      </c>
      <c r="J141" t="s">
        <v>35</v>
      </c>
      <c r="K141">
        <v>2</v>
      </c>
      <c r="L141">
        <v>61538.28</v>
      </c>
      <c r="M141">
        <v>15</v>
      </c>
      <c r="N141">
        <v>104615.07</v>
      </c>
      <c r="O141" t="s">
        <v>47</v>
      </c>
    </row>
    <row r="142" spans="1:15" x14ac:dyDescent="0.3">
      <c r="A142" t="s">
        <v>210</v>
      </c>
      <c r="B142" s="2">
        <v>45432</v>
      </c>
      <c r="C142" t="s">
        <v>15</v>
      </c>
      <c r="D142" t="str">
        <f t="shared" si="2"/>
        <v>May</v>
      </c>
      <c r="E142" t="s">
        <v>77</v>
      </c>
      <c r="F142" t="s">
        <v>25</v>
      </c>
      <c r="G142" t="s">
        <v>56</v>
      </c>
      <c r="H142" t="s">
        <v>45</v>
      </c>
      <c r="I142" t="s">
        <v>20</v>
      </c>
      <c r="J142" t="s">
        <v>35</v>
      </c>
      <c r="K142">
        <v>5</v>
      </c>
      <c r="L142">
        <v>2019.74</v>
      </c>
      <c r="M142">
        <v>20</v>
      </c>
      <c r="N142">
        <v>8078.95</v>
      </c>
      <c r="O142" t="s">
        <v>47</v>
      </c>
    </row>
    <row r="143" spans="1:15" x14ac:dyDescent="0.3">
      <c r="A143" t="s">
        <v>211</v>
      </c>
      <c r="B143" s="2">
        <v>45433</v>
      </c>
      <c r="C143" t="s">
        <v>49</v>
      </c>
      <c r="D143" t="str">
        <f t="shared" si="2"/>
        <v>May</v>
      </c>
      <c r="E143" t="s">
        <v>24</v>
      </c>
      <c r="F143" t="s">
        <v>17</v>
      </c>
      <c r="G143" t="s">
        <v>63</v>
      </c>
      <c r="H143" t="s">
        <v>27</v>
      </c>
      <c r="I143" t="s">
        <v>42</v>
      </c>
      <c r="J143" t="s">
        <v>28</v>
      </c>
      <c r="K143">
        <v>3</v>
      </c>
      <c r="L143">
        <v>61938.59</v>
      </c>
      <c r="M143">
        <v>10</v>
      </c>
      <c r="N143">
        <v>167234.18</v>
      </c>
      <c r="O143" t="s">
        <v>36</v>
      </c>
    </row>
    <row r="144" spans="1:15" x14ac:dyDescent="0.3">
      <c r="A144" t="s">
        <v>212</v>
      </c>
      <c r="B144" s="2">
        <v>45434</v>
      </c>
      <c r="C144" t="s">
        <v>15</v>
      </c>
      <c r="D144" t="str">
        <f t="shared" si="2"/>
        <v>May</v>
      </c>
      <c r="E144" t="s">
        <v>32</v>
      </c>
      <c r="F144" t="s">
        <v>53</v>
      </c>
      <c r="G144" t="s">
        <v>105</v>
      </c>
      <c r="H144" t="s">
        <v>27</v>
      </c>
      <c r="I144" t="s">
        <v>34</v>
      </c>
      <c r="J144" t="s">
        <v>35</v>
      </c>
      <c r="K144">
        <v>3</v>
      </c>
      <c r="L144">
        <v>30189.599999999999</v>
      </c>
      <c r="M144">
        <v>5</v>
      </c>
      <c r="N144">
        <v>86040.35</v>
      </c>
      <c r="O144" t="s">
        <v>22</v>
      </c>
    </row>
    <row r="145" spans="1:15" x14ac:dyDescent="0.3">
      <c r="A145" t="s">
        <v>213</v>
      </c>
      <c r="B145" s="2">
        <v>45435</v>
      </c>
      <c r="C145" t="s">
        <v>31</v>
      </c>
      <c r="D145" t="str">
        <f t="shared" si="2"/>
        <v>May</v>
      </c>
      <c r="E145" t="s">
        <v>77</v>
      </c>
      <c r="F145" t="s">
        <v>25</v>
      </c>
      <c r="G145" t="s">
        <v>26</v>
      </c>
      <c r="H145" t="s">
        <v>45</v>
      </c>
      <c r="I145" t="s">
        <v>20</v>
      </c>
      <c r="J145" t="s">
        <v>35</v>
      </c>
      <c r="K145">
        <v>5</v>
      </c>
      <c r="L145">
        <v>2405.1999999999998</v>
      </c>
      <c r="M145">
        <v>10</v>
      </c>
      <c r="N145">
        <v>10823.4</v>
      </c>
      <c r="O145" t="s">
        <v>22</v>
      </c>
    </row>
    <row r="146" spans="1:15" x14ac:dyDescent="0.3">
      <c r="A146" t="s">
        <v>214</v>
      </c>
      <c r="B146" s="2">
        <v>45436</v>
      </c>
      <c r="C146" t="s">
        <v>49</v>
      </c>
      <c r="D146" t="str">
        <f t="shared" si="2"/>
        <v>May</v>
      </c>
      <c r="E146" t="s">
        <v>72</v>
      </c>
      <c r="F146" t="s">
        <v>60</v>
      </c>
      <c r="G146" t="s">
        <v>73</v>
      </c>
      <c r="H146" t="s">
        <v>19</v>
      </c>
      <c r="I146" t="s">
        <v>42</v>
      </c>
      <c r="J146" t="s">
        <v>46</v>
      </c>
      <c r="K146">
        <v>5</v>
      </c>
      <c r="L146">
        <v>33722.15</v>
      </c>
      <c r="M146">
        <v>10</v>
      </c>
      <c r="N146">
        <v>151749.67000000001</v>
      </c>
      <c r="O146" t="s">
        <v>47</v>
      </c>
    </row>
    <row r="147" spans="1:15" x14ac:dyDescent="0.3">
      <c r="A147" t="s">
        <v>215</v>
      </c>
      <c r="B147" s="2">
        <v>45437</v>
      </c>
      <c r="C147" t="s">
        <v>15</v>
      </c>
      <c r="D147" t="str">
        <f t="shared" si="2"/>
        <v>May</v>
      </c>
      <c r="E147" t="s">
        <v>69</v>
      </c>
      <c r="F147" t="s">
        <v>25</v>
      </c>
      <c r="G147" t="s">
        <v>92</v>
      </c>
      <c r="H147" t="s">
        <v>33</v>
      </c>
      <c r="I147" t="s">
        <v>34</v>
      </c>
      <c r="J147" t="s">
        <v>21</v>
      </c>
      <c r="K147">
        <v>2</v>
      </c>
      <c r="L147">
        <v>1975.54</v>
      </c>
      <c r="M147">
        <v>5</v>
      </c>
      <c r="N147">
        <v>3753.52</v>
      </c>
      <c r="O147" t="s">
        <v>22</v>
      </c>
    </row>
    <row r="148" spans="1:15" x14ac:dyDescent="0.3">
      <c r="A148" t="s">
        <v>216</v>
      </c>
      <c r="B148" s="2">
        <v>45438</v>
      </c>
      <c r="C148" t="s">
        <v>58</v>
      </c>
      <c r="D148" t="str">
        <f t="shared" si="2"/>
        <v>May</v>
      </c>
      <c r="E148" t="s">
        <v>100</v>
      </c>
      <c r="F148" t="s">
        <v>53</v>
      </c>
      <c r="G148" t="s">
        <v>129</v>
      </c>
      <c r="H148" t="s">
        <v>33</v>
      </c>
      <c r="I148" t="s">
        <v>34</v>
      </c>
      <c r="J148" t="s">
        <v>21</v>
      </c>
      <c r="K148">
        <v>4</v>
      </c>
      <c r="L148">
        <v>39290.75</v>
      </c>
      <c r="M148">
        <v>10</v>
      </c>
      <c r="N148">
        <v>141446.71</v>
      </c>
      <c r="O148" t="s">
        <v>29</v>
      </c>
    </row>
    <row r="149" spans="1:15" x14ac:dyDescent="0.3">
      <c r="A149" t="s">
        <v>217</v>
      </c>
      <c r="B149" s="2">
        <v>45439</v>
      </c>
      <c r="C149" t="s">
        <v>38</v>
      </c>
      <c r="D149" t="str">
        <f t="shared" si="2"/>
        <v>May</v>
      </c>
      <c r="E149" t="s">
        <v>24</v>
      </c>
      <c r="F149" t="s">
        <v>25</v>
      </c>
      <c r="G149" t="s">
        <v>56</v>
      </c>
      <c r="H149" t="s">
        <v>33</v>
      </c>
      <c r="I149" t="s">
        <v>34</v>
      </c>
      <c r="J149" t="s">
        <v>46</v>
      </c>
      <c r="K149">
        <v>4</v>
      </c>
      <c r="L149">
        <v>2372.0700000000002</v>
      </c>
      <c r="M149">
        <v>15</v>
      </c>
      <c r="N149">
        <v>8065.03</v>
      </c>
      <c r="O149" t="s">
        <v>22</v>
      </c>
    </row>
    <row r="150" spans="1:15" x14ac:dyDescent="0.3">
      <c r="A150" t="s">
        <v>218</v>
      </c>
      <c r="B150" s="2">
        <v>45440</v>
      </c>
      <c r="C150" t="s">
        <v>49</v>
      </c>
      <c r="D150" t="str">
        <f t="shared" si="2"/>
        <v>May</v>
      </c>
      <c r="E150" t="s">
        <v>16</v>
      </c>
      <c r="F150" t="s">
        <v>53</v>
      </c>
      <c r="G150" t="s">
        <v>65</v>
      </c>
      <c r="H150" t="s">
        <v>33</v>
      </c>
      <c r="I150" t="s">
        <v>42</v>
      </c>
      <c r="J150" t="s">
        <v>46</v>
      </c>
      <c r="K150">
        <v>4</v>
      </c>
      <c r="L150">
        <v>28776.77</v>
      </c>
      <c r="M150">
        <v>0</v>
      </c>
      <c r="N150">
        <v>115107.06</v>
      </c>
      <c r="O150" t="s">
        <v>29</v>
      </c>
    </row>
    <row r="151" spans="1:15" x14ac:dyDescent="0.3">
      <c r="A151" t="s">
        <v>219</v>
      </c>
      <c r="B151" s="2">
        <v>45441</v>
      </c>
      <c r="C151" t="s">
        <v>49</v>
      </c>
      <c r="D151" t="str">
        <f t="shared" si="2"/>
        <v>May</v>
      </c>
      <c r="E151" t="s">
        <v>77</v>
      </c>
      <c r="F151" t="s">
        <v>60</v>
      </c>
      <c r="G151" t="s">
        <v>78</v>
      </c>
      <c r="H151" t="s">
        <v>45</v>
      </c>
      <c r="I151" t="s">
        <v>20</v>
      </c>
      <c r="J151" t="s">
        <v>28</v>
      </c>
      <c r="K151">
        <v>5</v>
      </c>
      <c r="L151">
        <v>51522.74</v>
      </c>
      <c r="M151">
        <v>5</v>
      </c>
      <c r="N151">
        <v>244733</v>
      </c>
      <c r="O151" t="s">
        <v>36</v>
      </c>
    </row>
    <row r="152" spans="1:15" x14ac:dyDescent="0.3">
      <c r="A152" t="s">
        <v>220</v>
      </c>
      <c r="B152" s="2">
        <v>45442</v>
      </c>
      <c r="C152" t="s">
        <v>58</v>
      </c>
      <c r="D152" t="str">
        <f t="shared" si="2"/>
        <v>May</v>
      </c>
      <c r="E152" t="s">
        <v>50</v>
      </c>
      <c r="F152" t="s">
        <v>53</v>
      </c>
      <c r="G152" t="s">
        <v>65</v>
      </c>
      <c r="H152" t="s">
        <v>27</v>
      </c>
      <c r="I152" t="s">
        <v>34</v>
      </c>
      <c r="J152" t="s">
        <v>21</v>
      </c>
      <c r="K152">
        <v>5</v>
      </c>
      <c r="L152">
        <v>25257.95</v>
      </c>
      <c r="M152">
        <v>5</v>
      </c>
      <c r="N152">
        <v>119975.26</v>
      </c>
      <c r="O152" t="s">
        <v>22</v>
      </c>
    </row>
    <row r="153" spans="1:15" x14ac:dyDescent="0.3">
      <c r="A153" t="s">
        <v>221</v>
      </c>
      <c r="B153" s="2">
        <v>45443</v>
      </c>
      <c r="C153" t="s">
        <v>38</v>
      </c>
      <c r="D153" t="str">
        <f t="shared" si="2"/>
        <v>May</v>
      </c>
      <c r="E153" t="s">
        <v>24</v>
      </c>
      <c r="F153" t="s">
        <v>25</v>
      </c>
      <c r="G153" t="s">
        <v>26</v>
      </c>
      <c r="H153" t="s">
        <v>27</v>
      </c>
      <c r="I153" t="s">
        <v>42</v>
      </c>
      <c r="J153" t="s">
        <v>46</v>
      </c>
      <c r="K153">
        <v>4</v>
      </c>
      <c r="L153">
        <v>1884.76</v>
      </c>
      <c r="M153">
        <v>5</v>
      </c>
      <c r="N153">
        <v>7162.1</v>
      </c>
      <c r="O153" t="s">
        <v>22</v>
      </c>
    </row>
    <row r="154" spans="1:15" x14ac:dyDescent="0.3">
      <c r="A154" t="s">
        <v>222</v>
      </c>
      <c r="B154" s="2">
        <v>45444</v>
      </c>
      <c r="C154" t="s">
        <v>38</v>
      </c>
      <c r="D154" t="str">
        <f t="shared" si="2"/>
        <v>June</v>
      </c>
      <c r="E154" t="s">
        <v>50</v>
      </c>
      <c r="F154" t="s">
        <v>53</v>
      </c>
      <c r="G154" t="s">
        <v>65</v>
      </c>
      <c r="H154" t="s">
        <v>33</v>
      </c>
      <c r="I154" t="s">
        <v>20</v>
      </c>
      <c r="J154" t="s">
        <v>43</v>
      </c>
      <c r="K154">
        <v>5</v>
      </c>
      <c r="L154">
        <v>30017.17</v>
      </c>
      <c r="M154">
        <v>10</v>
      </c>
      <c r="N154">
        <v>135077.28</v>
      </c>
      <c r="O154" t="s">
        <v>22</v>
      </c>
    </row>
    <row r="155" spans="1:15" x14ac:dyDescent="0.3">
      <c r="A155" t="s">
        <v>223</v>
      </c>
      <c r="B155" s="2">
        <v>45445</v>
      </c>
      <c r="C155" t="s">
        <v>49</v>
      </c>
      <c r="D155" t="str">
        <f t="shared" si="2"/>
        <v>June</v>
      </c>
      <c r="E155" t="s">
        <v>32</v>
      </c>
      <c r="F155" t="s">
        <v>60</v>
      </c>
      <c r="G155" t="s">
        <v>61</v>
      </c>
      <c r="H155" t="s">
        <v>45</v>
      </c>
      <c r="I155" t="s">
        <v>42</v>
      </c>
      <c r="J155" t="s">
        <v>21</v>
      </c>
      <c r="K155">
        <v>1</v>
      </c>
      <c r="L155">
        <v>33217.82</v>
      </c>
      <c r="M155">
        <v>15</v>
      </c>
      <c r="N155">
        <v>28235.15</v>
      </c>
      <c r="O155" t="s">
        <v>47</v>
      </c>
    </row>
    <row r="156" spans="1:15" x14ac:dyDescent="0.3">
      <c r="A156" t="s">
        <v>224</v>
      </c>
      <c r="B156" s="2">
        <v>45446</v>
      </c>
      <c r="C156" t="s">
        <v>38</v>
      </c>
      <c r="D156" t="str">
        <f t="shared" si="2"/>
        <v>June</v>
      </c>
      <c r="E156" t="s">
        <v>52</v>
      </c>
      <c r="F156" t="s">
        <v>53</v>
      </c>
      <c r="G156" t="s">
        <v>65</v>
      </c>
      <c r="H156" t="s">
        <v>33</v>
      </c>
      <c r="I156" t="s">
        <v>34</v>
      </c>
      <c r="J156" t="s">
        <v>46</v>
      </c>
      <c r="K156">
        <v>2</v>
      </c>
      <c r="L156">
        <v>31917.85</v>
      </c>
      <c r="M156">
        <v>10</v>
      </c>
      <c r="N156">
        <v>57452.14</v>
      </c>
      <c r="O156" t="s">
        <v>29</v>
      </c>
    </row>
    <row r="157" spans="1:15" x14ac:dyDescent="0.3">
      <c r="A157" t="s">
        <v>225</v>
      </c>
      <c r="B157" s="2">
        <v>45447</v>
      </c>
      <c r="C157" t="s">
        <v>38</v>
      </c>
      <c r="D157" t="str">
        <f t="shared" si="2"/>
        <v>June</v>
      </c>
      <c r="E157" t="s">
        <v>69</v>
      </c>
      <c r="F157" t="s">
        <v>17</v>
      </c>
      <c r="G157" t="s">
        <v>123</v>
      </c>
      <c r="H157" t="s">
        <v>27</v>
      </c>
      <c r="I157" t="s">
        <v>42</v>
      </c>
      <c r="J157" t="s">
        <v>21</v>
      </c>
      <c r="K157">
        <v>1</v>
      </c>
      <c r="L157">
        <v>46556.98</v>
      </c>
      <c r="M157">
        <v>15</v>
      </c>
      <c r="N157">
        <v>39573.43</v>
      </c>
      <c r="O157" t="s">
        <v>22</v>
      </c>
    </row>
    <row r="158" spans="1:15" x14ac:dyDescent="0.3">
      <c r="A158" t="s">
        <v>226</v>
      </c>
      <c r="B158" s="2">
        <v>45448</v>
      </c>
      <c r="C158" t="s">
        <v>15</v>
      </c>
      <c r="D158" t="str">
        <f t="shared" si="2"/>
        <v>June</v>
      </c>
      <c r="E158" t="s">
        <v>50</v>
      </c>
      <c r="F158" t="s">
        <v>25</v>
      </c>
      <c r="G158" t="s">
        <v>92</v>
      </c>
      <c r="H158" t="s">
        <v>33</v>
      </c>
      <c r="I158" t="s">
        <v>34</v>
      </c>
      <c r="J158" t="s">
        <v>35</v>
      </c>
      <c r="K158">
        <v>4</v>
      </c>
      <c r="L158">
        <v>2094.08</v>
      </c>
      <c r="M158">
        <v>10</v>
      </c>
      <c r="N158">
        <v>7538.67</v>
      </c>
      <c r="O158" t="s">
        <v>22</v>
      </c>
    </row>
    <row r="159" spans="1:15" x14ac:dyDescent="0.3">
      <c r="A159" t="s">
        <v>227</v>
      </c>
      <c r="B159" s="2">
        <v>45449</v>
      </c>
      <c r="C159" t="s">
        <v>49</v>
      </c>
      <c r="D159" t="str">
        <f t="shared" si="2"/>
        <v>June</v>
      </c>
      <c r="E159" t="s">
        <v>69</v>
      </c>
      <c r="F159" t="s">
        <v>40</v>
      </c>
      <c r="G159" t="s">
        <v>75</v>
      </c>
      <c r="H159" t="s">
        <v>33</v>
      </c>
      <c r="I159" t="s">
        <v>20</v>
      </c>
      <c r="J159" t="s">
        <v>43</v>
      </c>
      <c r="K159">
        <v>2</v>
      </c>
      <c r="L159">
        <v>6482.78</v>
      </c>
      <c r="M159">
        <v>10</v>
      </c>
      <c r="N159">
        <v>11669</v>
      </c>
      <c r="O159" t="s">
        <v>36</v>
      </c>
    </row>
    <row r="160" spans="1:15" x14ac:dyDescent="0.3">
      <c r="A160" t="s">
        <v>228</v>
      </c>
      <c r="B160" s="2">
        <v>45450</v>
      </c>
      <c r="C160" t="s">
        <v>31</v>
      </c>
      <c r="D160" t="str">
        <f t="shared" si="2"/>
        <v>June</v>
      </c>
      <c r="E160" t="s">
        <v>50</v>
      </c>
      <c r="F160" t="s">
        <v>17</v>
      </c>
      <c r="G160" t="s">
        <v>63</v>
      </c>
      <c r="H160" t="s">
        <v>27</v>
      </c>
      <c r="I160" t="s">
        <v>42</v>
      </c>
      <c r="J160" t="s">
        <v>28</v>
      </c>
      <c r="K160">
        <v>3</v>
      </c>
      <c r="L160">
        <v>51480.28</v>
      </c>
      <c r="M160">
        <v>5</v>
      </c>
      <c r="N160">
        <v>146718.79</v>
      </c>
      <c r="O160" t="s">
        <v>47</v>
      </c>
    </row>
    <row r="161" spans="1:15" x14ac:dyDescent="0.3">
      <c r="A161" t="s">
        <v>229</v>
      </c>
      <c r="B161" s="2">
        <v>45451</v>
      </c>
      <c r="C161" t="s">
        <v>38</v>
      </c>
      <c r="D161" t="str">
        <f t="shared" si="2"/>
        <v>June</v>
      </c>
      <c r="E161" t="s">
        <v>32</v>
      </c>
      <c r="F161" t="s">
        <v>17</v>
      </c>
      <c r="G161" t="s">
        <v>63</v>
      </c>
      <c r="H161" t="s">
        <v>33</v>
      </c>
      <c r="I161" t="s">
        <v>34</v>
      </c>
      <c r="J161" t="s">
        <v>46</v>
      </c>
      <c r="K161">
        <v>4</v>
      </c>
      <c r="L161">
        <v>59318.93</v>
      </c>
      <c r="M161">
        <v>10</v>
      </c>
      <c r="N161">
        <v>213548.15</v>
      </c>
      <c r="O161" t="s">
        <v>47</v>
      </c>
    </row>
    <row r="162" spans="1:15" x14ac:dyDescent="0.3">
      <c r="A162" t="s">
        <v>230</v>
      </c>
      <c r="B162" s="2">
        <v>45452</v>
      </c>
      <c r="C162" t="s">
        <v>31</v>
      </c>
      <c r="D162" t="str">
        <f t="shared" si="2"/>
        <v>June</v>
      </c>
      <c r="E162" t="s">
        <v>69</v>
      </c>
      <c r="F162" t="s">
        <v>53</v>
      </c>
      <c r="G162" t="s">
        <v>54</v>
      </c>
      <c r="H162" t="s">
        <v>45</v>
      </c>
      <c r="I162" t="s">
        <v>42</v>
      </c>
      <c r="J162" t="s">
        <v>28</v>
      </c>
      <c r="K162">
        <v>5</v>
      </c>
      <c r="L162">
        <v>26312.76</v>
      </c>
      <c r="M162">
        <v>10</v>
      </c>
      <c r="N162">
        <v>118407.42</v>
      </c>
      <c r="O162" t="s">
        <v>47</v>
      </c>
    </row>
    <row r="163" spans="1:15" x14ac:dyDescent="0.3">
      <c r="A163" t="s">
        <v>231</v>
      </c>
      <c r="B163" s="2">
        <v>45453</v>
      </c>
      <c r="C163" t="s">
        <v>15</v>
      </c>
      <c r="D163" t="str">
        <f t="shared" si="2"/>
        <v>June</v>
      </c>
      <c r="E163" t="s">
        <v>100</v>
      </c>
      <c r="F163" t="s">
        <v>40</v>
      </c>
      <c r="G163" t="s">
        <v>118</v>
      </c>
      <c r="H163" t="s">
        <v>27</v>
      </c>
      <c r="I163" t="s">
        <v>42</v>
      </c>
      <c r="J163" t="s">
        <v>28</v>
      </c>
      <c r="K163">
        <v>4</v>
      </c>
      <c r="L163">
        <v>7042.19</v>
      </c>
      <c r="M163">
        <v>0</v>
      </c>
      <c r="N163">
        <v>28168.74</v>
      </c>
      <c r="O163" t="s">
        <v>22</v>
      </c>
    </row>
    <row r="164" spans="1:15" x14ac:dyDescent="0.3">
      <c r="A164" t="s">
        <v>232</v>
      </c>
      <c r="B164" s="2">
        <v>45454</v>
      </c>
      <c r="C164" t="s">
        <v>49</v>
      </c>
      <c r="D164" t="str">
        <f t="shared" si="2"/>
        <v>June</v>
      </c>
      <c r="E164" t="s">
        <v>72</v>
      </c>
      <c r="F164" t="s">
        <v>60</v>
      </c>
      <c r="G164" t="s">
        <v>78</v>
      </c>
      <c r="H164" t="s">
        <v>27</v>
      </c>
      <c r="I164" t="s">
        <v>34</v>
      </c>
      <c r="J164" t="s">
        <v>35</v>
      </c>
      <c r="K164">
        <v>2</v>
      </c>
      <c r="L164">
        <v>37047.75</v>
      </c>
      <c r="M164">
        <v>0</v>
      </c>
      <c r="N164">
        <v>74095.5</v>
      </c>
      <c r="O164" t="s">
        <v>29</v>
      </c>
    </row>
    <row r="165" spans="1:15" x14ac:dyDescent="0.3">
      <c r="A165" t="s">
        <v>233</v>
      </c>
      <c r="B165" s="2">
        <v>45455</v>
      </c>
      <c r="C165" t="s">
        <v>58</v>
      </c>
      <c r="D165" t="str">
        <f t="shared" si="2"/>
        <v>June</v>
      </c>
      <c r="E165" t="s">
        <v>50</v>
      </c>
      <c r="F165" t="s">
        <v>60</v>
      </c>
      <c r="G165" t="s">
        <v>70</v>
      </c>
      <c r="H165" t="s">
        <v>45</v>
      </c>
      <c r="I165" t="s">
        <v>20</v>
      </c>
      <c r="J165" t="s">
        <v>21</v>
      </c>
      <c r="K165">
        <v>3</v>
      </c>
      <c r="L165">
        <v>49758.03</v>
      </c>
      <c r="M165">
        <v>10</v>
      </c>
      <c r="N165">
        <v>134346.69</v>
      </c>
      <c r="O165" t="s">
        <v>47</v>
      </c>
    </row>
    <row r="166" spans="1:15" x14ac:dyDescent="0.3">
      <c r="A166" t="s">
        <v>234</v>
      </c>
      <c r="B166" s="2">
        <v>45456</v>
      </c>
      <c r="C166" t="s">
        <v>58</v>
      </c>
      <c r="D166" t="str">
        <f t="shared" si="2"/>
        <v>June</v>
      </c>
      <c r="E166" t="s">
        <v>52</v>
      </c>
      <c r="F166" t="s">
        <v>25</v>
      </c>
      <c r="G166" t="s">
        <v>81</v>
      </c>
      <c r="H166" t="s">
        <v>19</v>
      </c>
      <c r="I166" t="s">
        <v>34</v>
      </c>
      <c r="J166" t="s">
        <v>21</v>
      </c>
      <c r="K166">
        <v>4</v>
      </c>
      <c r="L166">
        <v>2653.98</v>
      </c>
      <c r="M166">
        <v>5</v>
      </c>
      <c r="N166">
        <v>10085.129999999999</v>
      </c>
      <c r="O166" t="s">
        <v>47</v>
      </c>
    </row>
    <row r="167" spans="1:15" x14ac:dyDescent="0.3">
      <c r="A167" t="s">
        <v>235</v>
      </c>
      <c r="B167" s="2">
        <v>45457</v>
      </c>
      <c r="C167" t="s">
        <v>31</v>
      </c>
      <c r="D167" t="str">
        <f t="shared" si="2"/>
        <v>June</v>
      </c>
      <c r="E167" t="s">
        <v>16</v>
      </c>
      <c r="F167" t="s">
        <v>25</v>
      </c>
      <c r="G167" t="s">
        <v>92</v>
      </c>
      <c r="H167" t="s">
        <v>27</v>
      </c>
      <c r="I167" t="s">
        <v>34</v>
      </c>
      <c r="J167" t="s">
        <v>46</v>
      </c>
      <c r="K167">
        <v>3</v>
      </c>
      <c r="L167">
        <v>1933.33</v>
      </c>
      <c r="M167">
        <v>20</v>
      </c>
      <c r="N167">
        <v>4640</v>
      </c>
      <c r="O167" t="s">
        <v>47</v>
      </c>
    </row>
    <row r="168" spans="1:15" x14ac:dyDescent="0.3">
      <c r="A168" t="s">
        <v>236</v>
      </c>
      <c r="B168" s="2">
        <v>45458</v>
      </c>
      <c r="C168" t="s">
        <v>49</v>
      </c>
      <c r="D168" t="str">
        <f t="shared" si="2"/>
        <v>June</v>
      </c>
      <c r="E168" t="s">
        <v>16</v>
      </c>
      <c r="F168" t="s">
        <v>53</v>
      </c>
      <c r="G168" t="s">
        <v>105</v>
      </c>
      <c r="H168" t="s">
        <v>19</v>
      </c>
      <c r="I168" t="s">
        <v>20</v>
      </c>
      <c r="J168" t="s">
        <v>46</v>
      </c>
      <c r="K168">
        <v>3</v>
      </c>
      <c r="L168">
        <v>38116.769999999997</v>
      </c>
      <c r="M168">
        <v>0</v>
      </c>
      <c r="N168">
        <v>114350.3</v>
      </c>
      <c r="O168" t="s">
        <v>22</v>
      </c>
    </row>
    <row r="169" spans="1:15" x14ac:dyDescent="0.3">
      <c r="A169" t="s">
        <v>237</v>
      </c>
      <c r="B169" s="2">
        <v>45459</v>
      </c>
      <c r="C169" t="s">
        <v>31</v>
      </c>
      <c r="D169" t="str">
        <f t="shared" si="2"/>
        <v>June</v>
      </c>
      <c r="E169" t="s">
        <v>24</v>
      </c>
      <c r="F169" t="s">
        <v>40</v>
      </c>
      <c r="G169" t="s">
        <v>41</v>
      </c>
      <c r="H169" t="s">
        <v>27</v>
      </c>
      <c r="I169" t="s">
        <v>42</v>
      </c>
      <c r="J169" t="s">
        <v>28</v>
      </c>
      <c r="K169">
        <v>4</v>
      </c>
      <c r="L169">
        <v>5297.9</v>
      </c>
      <c r="M169">
        <v>15</v>
      </c>
      <c r="N169">
        <v>18012.849999999999</v>
      </c>
      <c r="O169" t="s">
        <v>36</v>
      </c>
    </row>
    <row r="170" spans="1:15" x14ac:dyDescent="0.3">
      <c r="A170" t="s">
        <v>238</v>
      </c>
      <c r="B170" s="2">
        <v>45460</v>
      </c>
      <c r="C170" t="s">
        <v>58</v>
      </c>
      <c r="D170" t="str">
        <f t="shared" si="2"/>
        <v>June</v>
      </c>
      <c r="E170" t="s">
        <v>50</v>
      </c>
      <c r="F170" t="s">
        <v>53</v>
      </c>
      <c r="G170" t="s">
        <v>65</v>
      </c>
      <c r="H170" t="s">
        <v>45</v>
      </c>
      <c r="I170" t="s">
        <v>20</v>
      </c>
      <c r="J170" t="s">
        <v>28</v>
      </c>
      <c r="K170">
        <v>2</v>
      </c>
      <c r="L170">
        <v>27263.08</v>
      </c>
      <c r="M170">
        <v>10</v>
      </c>
      <c r="N170">
        <v>49073.55</v>
      </c>
      <c r="O170" t="s">
        <v>29</v>
      </c>
    </row>
    <row r="171" spans="1:15" x14ac:dyDescent="0.3">
      <c r="A171" t="s">
        <v>239</v>
      </c>
      <c r="B171" s="2">
        <v>45461</v>
      </c>
      <c r="C171" t="s">
        <v>15</v>
      </c>
      <c r="D171" t="str">
        <f t="shared" si="2"/>
        <v>June</v>
      </c>
      <c r="E171" t="s">
        <v>24</v>
      </c>
      <c r="F171" t="s">
        <v>25</v>
      </c>
      <c r="G171" t="s">
        <v>56</v>
      </c>
      <c r="H171" t="s">
        <v>27</v>
      </c>
      <c r="I171" t="s">
        <v>20</v>
      </c>
      <c r="J171" t="s">
        <v>21</v>
      </c>
      <c r="K171">
        <v>2</v>
      </c>
      <c r="L171">
        <v>2812.16</v>
      </c>
      <c r="M171">
        <v>5</v>
      </c>
      <c r="N171">
        <v>5343.1</v>
      </c>
      <c r="O171" t="s">
        <v>36</v>
      </c>
    </row>
    <row r="172" spans="1:15" x14ac:dyDescent="0.3">
      <c r="A172" t="s">
        <v>240</v>
      </c>
      <c r="B172" s="2">
        <v>45462</v>
      </c>
      <c r="C172" t="s">
        <v>15</v>
      </c>
      <c r="D172" t="str">
        <f t="shared" si="2"/>
        <v>June</v>
      </c>
      <c r="E172" t="s">
        <v>24</v>
      </c>
      <c r="F172" t="s">
        <v>60</v>
      </c>
      <c r="G172" t="s">
        <v>73</v>
      </c>
      <c r="H172" t="s">
        <v>19</v>
      </c>
      <c r="I172" t="s">
        <v>42</v>
      </c>
      <c r="J172" t="s">
        <v>43</v>
      </c>
      <c r="K172">
        <v>1</v>
      </c>
      <c r="L172">
        <v>39992.699999999997</v>
      </c>
      <c r="M172">
        <v>20</v>
      </c>
      <c r="N172">
        <v>31994.16</v>
      </c>
      <c r="O172" t="s">
        <v>22</v>
      </c>
    </row>
    <row r="173" spans="1:15" x14ac:dyDescent="0.3">
      <c r="A173" t="s">
        <v>241</v>
      </c>
      <c r="B173" s="2">
        <v>45463</v>
      </c>
      <c r="C173" t="s">
        <v>58</v>
      </c>
      <c r="D173" t="str">
        <f t="shared" si="2"/>
        <v>June</v>
      </c>
      <c r="E173" t="s">
        <v>24</v>
      </c>
      <c r="F173" t="s">
        <v>60</v>
      </c>
      <c r="G173" t="s">
        <v>78</v>
      </c>
      <c r="H173" t="s">
        <v>33</v>
      </c>
      <c r="I173" t="s">
        <v>34</v>
      </c>
      <c r="J173" t="s">
        <v>28</v>
      </c>
      <c r="K173">
        <v>2</v>
      </c>
      <c r="L173">
        <v>52443.05</v>
      </c>
      <c r="M173">
        <v>5</v>
      </c>
      <c r="N173">
        <v>99641.8</v>
      </c>
      <c r="O173" t="s">
        <v>47</v>
      </c>
    </row>
    <row r="174" spans="1:15" x14ac:dyDescent="0.3">
      <c r="A174" t="s">
        <v>242</v>
      </c>
      <c r="B174" s="2">
        <v>45464</v>
      </c>
      <c r="C174" t="s">
        <v>49</v>
      </c>
      <c r="D174" t="str">
        <f t="shared" si="2"/>
        <v>June</v>
      </c>
      <c r="E174" t="s">
        <v>16</v>
      </c>
      <c r="F174" t="s">
        <v>60</v>
      </c>
      <c r="G174" t="s">
        <v>78</v>
      </c>
      <c r="H174" t="s">
        <v>19</v>
      </c>
      <c r="I174" t="s">
        <v>42</v>
      </c>
      <c r="J174" t="s">
        <v>46</v>
      </c>
      <c r="K174">
        <v>2</v>
      </c>
      <c r="L174">
        <v>39779.89</v>
      </c>
      <c r="M174">
        <v>15</v>
      </c>
      <c r="N174">
        <v>67625.820000000007</v>
      </c>
      <c r="O174" t="s">
        <v>29</v>
      </c>
    </row>
    <row r="175" spans="1:15" x14ac:dyDescent="0.3">
      <c r="A175" t="s">
        <v>243</v>
      </c>
      <c r="B175" s="2">
        <v>45465</v>
      </c>
      <c r="C175" t="s">
        <v>31</v>
      </c>
      <c r="D175" t="str">
        <f t="shared" si="2"/>
        <v>June</v>
      </c>
      <c r="E175" t="s">
        <v>16</v>
      </c>
      <c r="F175" t="s">
        <v>40</v>
      </c>
      <c r="G175" t="s">
        <v>118</v>
      </c>
      <c r="H175" t="s">
        <v>19</v>
      </c>
      <c r="I175" t="s">
        <v>34</v>
      </c>
      <c r="J175" t="s">
        <v>43</v>
      </c>
      <c r="K175">
        <v>5</v>
      </c>
      <c r="L175">
        <v>5414.16</v>
      </c>
      <c r="M175">
        <v>10</v>
      </c>
      <c r="N175">
        <v>24363.72</v>
      </c>
      <c r="O175" t="s">
        <v>47</v>
      </c>
    </row>
    <row r="176" spans="1:15" x14ac:dyDescent="0.3">
      <c r="A176" t="s">
        <v>244</v>
      </c>
      <c r="B176" s="2">
        <v>45466</v>
      </c>
      <c r="C176" t="s">
        <v>15</v>
      </c>
      <c r="D176" t="str">
        <f t="shared" si="2"/>
        <v>June</v>
      </c>
      <c r="E176" t="s">
        <v>72</v>
      </c>
      <c r="F176" t="s">
        <v>60</v>
      </c>
      <c r="G176" t="s">
        <v>61</v>
      </c>
      <c r="H176" t="s">
        <v>19</v>
      </c>
      <c r="I176" t="s">
        <v>34</v>
      </c>
      <c r="J176" t="s">
        <v>28</v>
      </c>
      <c r="K176">
        <v>2</v>
      </c>
      <c r="L176">
        <v>42260.19</v>
      </c>
      <c r="M176">
        <v>0</v>
      </c>
      <c r="N176">
        <v>84520.38</v>
      </c>
      <c r="O176" t="s">
        <v>29</v>
      </c>
    </row>
    <row r="177" spans="1:15" x14ac:dyDescent="0.3">
      <c r="A177" t="s">
        <v>245</v>
      </c>
      <c r="B177" s="2">
        <v>45467</v>
      </c>
      <c r="C177" t="s">
        <v>58</v>
      </c>
      <c r="D177" t="str">
        <f t="shared" si="2"/>
        <v>June</v>
      </c>
      <c r="E177" t="s">
        <v>52</v>
      </c>
      <c r="F177" t="s">
        <v>60</v>
      </c>
      <c r="G177" t="s">
        <v>70</v>
      </c>
      <c r="H177" t="s">
        <v>27</v>
      </c>
      <c r="I177" t="s">
        <v>20</v>
      </c>
      <c r="J177" t="s">
        <v>21</v>
      </c>
      <c r="K177">
        <v>5</v>
      </c>
      <c r="L177">
        <v>43024.98</v>
      </c>
      <c r="M177">
        <v>15</v>
      </c>
      <c r="N177">
        <v>182856.15</v>
      </c>
      <c r="O177" t="s">
        <v>47</v>
      </c>
    </row>
    <row r="178" spans="1:15" x14ac:dyDescent="0.3">
      <c r="A178" t="s">
        <v>246</v>
      </c>
      <c r="B178" s="2">
        <v>45468</v>
      </c>
      <c r="C178" t="s">
        <v>58</v>
      </c>
      <c r="D178" t="str">
        <f t="shared" si="2"/>
        <v>June</v>
      </c>
      <c r="E178" t="s">
        <v>100</v>
      </c>
      <c r="F178" t="s">
        <v>53</v>
      </c>
      <c r="G178" t="s">
        <v>54</v>
      </c>
      <c r="H178" t="s">
        <v>45</v>
      </c>
      <c r="I178" t="s">
        <v>42</v>
      </c>
      <c r="J178" t="s">
        <v>28</v>
      </c>
      <c r="K178">
        <v>5</v>
      </c>
      <c r="L178">
        <v>34866.75</v>
      </c>
      <c r="M178">
        <v>20</v>
      </c>
      <c r="N178">
        <v>139467</v>
      </c>
      <c r="O178" t="s">
        <v>29</v>
      </c>
    </row>
    <row r="179" spans="1:15" x14ac:dyDescent="0.3">
      <c r="A179" t="s">
        <v>247</v>
      </c>
      <c r="B179" s="2">
        <v>45469</v>
      </c>
      <c r="C179" t="s">
        <v>49</v>
      </c>
      <c r="D179" t="str">
        <f t="shared" si="2"/>
        <v>June</v>
      </c>
      <c r="E179" t="s">
        <v>32</v>
      </c>
      <c r="F179" t="s">
        <v>60</v>
      </c>
      <c r="G179" t="s">
        <v>61</v>
      </c>
      <c r="H179" t="s">
        <v>19</v>
      </c>
      <c r="I179" t="s">
        <v>42</v>
      </c>
      <c r="J179" t="s">
        <v>46</v>
      </c>
      <c r="K179">
        <v>3</v>
      </c>
      <c r="L179">
        <v>38556.42</v>
      </c>
      <c r="M179">
        <v>15</v>
      </c>
      <c r="N179">
        <v>98318.88</v>
      </c>
      <c r="O179" t="s">
        <v>47</v>
      </c>
    </row>
    <row r="180" spans="1:15" x14ac:dyDescent="0.3">
      <c r="A180" t="s">
        <v>248</v>
      </c>
      <c r="B180" s="2">
        <v>45470</v>
      </c>
      <c r="C180" t="s">
        <v>31</v>
      </c>
      <c r="D180" t="str">
        <f t="shared" si="2"/>
        <v>June</v>
      </c>
      <c r="E180" t="s">
        <v>24</v>
      </c>
      <c r="F180" t="s">
        <v>53</v>
      </c>
      <c r="G180" t="s">
        <v>105</v>
      </c>
      <c r="H180" t="s">
        <v>19</v>
      </c>
      <c r="I180" t="s">
        <v>42</v>
      </c>
      <c r="J180" t="s">
        <v>21</v>
      </c>
      <c r="K180">
        <v>5</v>
      </c>
      <c r="L180">
        <v>24064.720000000001</v>
      </c>
      <c r="M180">
        <v>0</v>
      </c>
      <c r="N180">
        <v>120323.61</v>
      </c>
      <c r="O180" t="s">
        <v>22</v>
      </c>
    </row>
    <row r="181" spans="1:15" x14ac:dyDescent="0.3">
      <c r="A181" t="s">
        <v>249</v>
      </c>
      <c r="B181" s="2">
        <v>45471</v>
      </c>
      <c r="C181" t="s">
        <v>15</v>
      </c>
      <c r="D181" t="str">
        <f t="shared" si="2"/>
        <v>June</v>
      </c>
      <c r="E181" t="s">
        <v>100</v>
      </c>
      <c r="F181" t="s">
        <v>40</v>
      </c>
      <c r="G181" t="s">
        <v>41</v>
      </c>
      <c r="H181" t="s">
        <v>33</v>
      </c>
      <c r="I181" t="s">
        <v>20</v>
      </c>
      <c r="J181" t="s">
        <v>46</v>
      </c>
      <c r="K181">
        <v>2</v>
      </c>
      <c r="L181">
        <v>5075.6000000000004</v>
      </c>
      <c r="M181">
        <v>0</v>
      </c>
      <c r="N181">
        <v>10151.209999999999</v>
      </c>
      <c r="O181" t="s">
        <v>29</v>
      </c>
    </row>
    <row r="182" spans="1:15" x14ac:dyDescent="0.3">
      <c r="A182" t="s">
        <v>250</v>
      </c>
      <c r="B182" s="2">
        <v>45472</v>
      </c>
      <c r="C182" t="s">
        <v>49</v>
      </c>
      <c r="D182" t="str">
        <f t="shared" si="2"/>
        <v>June</v>
      </c>
      <c r="E182" t="s">
        <v>72</v>
      </c>
      <c r="F182" t="s">
        <v>60</v>
      </c>
      <c r="G182" t="s">
        <v>78</v>
      </c>
      <c r="H182" t="s">
        <v>27</v>
      </c>
      <c r="I182" t="s">
        <v>42</v>
      </c>
      <c r="J182" t="s">
        <v>35</v>
      </c>
      <c r="K182">
        <v>1</v>
      </c>
      <c r="L182">
        <v>35409.019999999997</v>
      </c>
      <c r="M182">
        <v>5</v>
      </c>
      <c r="N182">
        <v>33638.559999999998</v>
      </c>
      <c r="O182" t="s">
        <v>29</v>
      </c>
    </row>
    <row r="183" spans="1:15" x14ac:dyDescent="0.3">
      <c r="A183" t="s">
        <v>251</v>
      </c>
      <c r="B183" s="2">
        <v>45473</v>
      </c>
      <c r="C183" t="s">
        <v>49</v>
      </c>
      <c r="D183" t="str">
        <f t="shared" si="2"/>
        <v>June</v>
      </c>
      <c r="E183" t="s">
        <v>39</v>
      </c>
      <c r="F183" t="s">
        <v>53</v>
      </c>
      <c r="G183" t="s">
        <v>65</v>
      </c>
      <c r="H183" t="s">
        <v>33</v>
      </c>
      <c r="I183" t="s">
        <v>20</v>
      </c>
      <c r="J183" t="s">
        <v>43</v>
      </c>
      <c r="K183">
        <v>4</v>
      </c>
      <c r="L183">
        <v>26180.17</v>
      </c>
      <c r="M183">
        <v>5</v>
      </c>
      <c r="N183">
        <v>99484.63</v>
      </c>
      <c r="O183" t="s">
        <v>47</v>
      </c>
    </row>
    <row r="184" spans="1:15" x14ac:dyDescent="0.3">
      <c r="A184" t="s">
        <v>252</v>
      </c>
      <c r="B184" s="2">
        <v>45474</v>
      </c>
      <c r="C184" t="s">
        <v>31</v>
      </c>
      <c r="D184" t="str">
        <f t="shared" si="2"/>
        <v>July</v>
      </c>
      <c r="E184" t="s">
        <v>100</v>
      </c>
      <c r="F184" t="s">
        <v>25</v>
      </c>
      <c r="G184" t="s">
        <v>26</v>
      </c>
      <c r="H184" t="s">
        <v>27</v>
      </c>
      <c r="I184" t="s">
        <v>34</v>
      </c>
      <c r="J184" t="s">
        <v>43</v>
      </c>
      <c r="K184">
        <v>2</v>
      </c>
      <c r="L184">
        <v>3117.14</v>
      </c>
      <c r="M184">
        <v>20</v>
      </c>
      <c r="N184">
        <v>4987.42</v>
      </c>
      <c r="O184" t="s">
        <v>47</v>
      </c>
    </row>
    <row r="185" spans="1:15" x14ac:dyDescent="0.3">
      <c r="A185" t="s">
        <v>253</v>
      </c>
      <c r="B185" s="2">
        <v>45475</v>
      </c>
      <c r="C185" t="s">
        <v>31</v>
      </c>
      <c r="D185" t="str">
        <f t="shared" si="2"/>
        <v>July</v>
      </c>
      <c r="E185" t="s">
        <v>77</v>
      </c>
      <c r="F185" t="s">
        <v>60</v>
      </c>
      <c r="G185" t="s">
        <v>70</v>
      </c>
      <c r="H185" t="s">
        <v>45</v>
      </c>
      <c r="I185" t="s">
        <v>34</v>
      </c>
      <c r="J185" t="s">
        <v>21</v>
      </c>
      <c r="K185">
        <v>2</v>
      </c>
      <c r="L185">
        <v>49600.35</v>
      </c>
      <c r="M185">
        <v>20</v>
      </c>
      <c r="N185">
        <v>79360.56</v>
      </c>
      <c r="O185" t="s">
        <v>47</v>
      </c>
    </row>
    <row r="186" spans="1:15" x14ac:dyDescent="0.3">
      <c r="A186" t="s">
        <v>254</v>
      </c>
      <c r="B186" s="2">
        <v>45476</v>
      </c>
      <c r="C186" t="s">
        <v>49</v>
      </c>
      <c r="D186" t="str">
        <f t="shared" si="2"/>
        <v>July</v>
      </c>
      <c r="E186" t="s">
        <v>72</v>
      </c>
      <c r="F186" t="s">
        <v>40</v>
      </c>
      <c r="G186" t="s">
        <v>115</v>
      </c>
      <c r="H186" t="s">
        <v>33</v>
      </c>
      <c r="I186" t="s">
        <v>42</v>
      </c>
      <c r="J186" t="s">
        <v>21</v>
      </c>
      <c r="K186">
        <v>4</v>
      </c>
      <c r="L186">
        <v>7615.31</v>
      </c>
      <c r="M186">
        <v>15</v>
      </c>
      <c r="N186">
        <v>25892.06</v>
      </c>
      <c r="O186" t="s">
        <v>22</v>
      </c>
    </row>
    <row r="187" spans="1:15" x14ac:dyDescent="0.3">
      <c r="A187" t="s">
        <v>255</v>
      </c>
      <c r="B187" s="2">
        <v>45477</v>
      </c>
      <c r="C187" t="s">
        <v>58</v>
      </c>
      <c r="D187" t="str">
        <f t="shared" si="2"/>
        <v>July</v>
      </c>
      <c r="E187" t="s">
        <v>52</v>
      </c>
      <c r="F187" t="s">
        <v>53</v>
      </c>
      <c r="G187" t="s">
        <v>105</v>
      </c>
      <c r="H187" t="s">
        <v>19</v>
      </c>
      <c r="I187" t="s">
        <v>34</v>
      </c>
      <c r="J187" t="s">
        <v>43</v>
      </c>
      <c r="K187">
        <v>1</v>
      </c>
      <c r="L187">
        <v>25512.57</v>
      </c>
      <c r="M187">
        <v>10</v>
      </c>
      <c r="N187">
        <v>22961.31</v>
      </c>
      <c r="O187" t="s">
        <v>22</v>
      </c>
    </row>
    <row r="188" spans="1:15" x14ac:dyDescent="0.3">
      <c r="A188" t="s">
        <v>256</v>
      </c>
      <c r="B188" s="2">
        <v>45478</v>
      </c>
      <c r="C188" t="s">
        <v>31</v>
      </c>
      <c r="D188" t="str">
        <f t="shared" si="2"/>
        <v>July</v>
      </c>
      <c r="E188" t="s">
        <v>32</v>
      </c>
      <c r="F188" t="s">
        <v>60</v>
      </c>
      <c r="G188" t="s">
        <v>61</v>
      </c>
      <c r="H188" t="s">
        <v>45</v>
      </c>
      <c r="I188" t="s">
        <v>20</v>
      </c>
      <c r="J188" t="s">
        <v>43</v>
      </c>
      <c r="K188">
        <v>2</v>
      </c>
      <c r="L188">
        <v>47953.84</v>
      </c>
      <c r="M188">
        <v>0</v>
      </c>
      <c r="N188">
        <v>95907.69</v>
      </c>
      <c r="O188" t="s">
        <v>36</v>
      </c>
    </row>
    <row r="189" spans="1:15" x14ac:dyDescent="0.3">
      <c r="A189" t="s">
        <v>257</v>
      </c>
      <c r="B189" s="2">
        <v>45479</v>
      </c>
      <c r="C189" t="s">
        <v>38</v>
      </c>
      <c r="D189" t="str">
        <f t="shared" si="2"/>
        <v>July</v>
      </c>
      <c r="E189" t="s">
        <v>77</v>
      </c>
      <c r="F189" t="s">
        <v>17</v>
      </c>
      <c r="G189" t="s">
        <v>18</v>
      </c>
      <c r="H189" t="s">
        <v>45</v>
      </c>
      <c r="I189" t="s">
        <v>20</v>
      </c>
      <c r="J189" t="s">
        <v>28</v>
      </c>
      <c r="K189">
        <v>5</v>
      </c>
      <c r="L189">
        <v>50059.35</v>
      </c>
      <c r="M189">
        <v>10</v>
      </c>
      <c r="N189">
        <v>225267.08</v>
      </c>
      <c r="O189" t="s">
        <v>47</v>
      </c>
    </row>
    <row r="190" spans="1:15" x14ac:dyDescent="0.3">
      <c r="A190" t="s">
        <v>258</v>
      </c>
      <c r="B190" s="2">
        <v>45480</v>
      </c>
      <c r="C190" t="s">
        <v>15</v>
      </c>
      <c r="D190" t="str">
        <f t="shared" si="2"/>
        <v>July</v>
      </c>
      <c r="E190" t="s">
        <v>16</v>
      </c>
      <c r="F190" t="s">
        <v>60</v>
      </c>
      <c r="G190" t="s">
        <v>73</v>
      </c>
      <c r="H190" t="s">
        <v>33</v>
      </c>
      <c r="I190" t="s">
        <v>20</v>
      </c>
      <c r="J190" t="s">
        <v>28</v>
      </c>
      <c r="K190">
        <v>3</v>
      </c>
      <c r="L190">
        <v>46721.26</v>
      </c>
      <c r="M190">
        <v>15</v>
      </c>
      <c r="N190">
        <v>119139.22</v>
      </c>
      <c r="O190" t="s">
        <v>36</v>
      </c>
    </row>
    <row r="191" spans="1:15" x14ac:dyDescent="0.3">
      <c r="A191" t="s">
        <v>259</v>
      </c>
      <c r="B191" s="2">
        <v>45481</v>
      </c>
      <c r="C191" t="s">
        <v>15</v>
      </c>
      <c r="D191" t="str">
        <f t="shared" si="2"/>
        <v>July</v>
      </c>
      <c r="E191" t="s">
        <v>32</v>
      </c>
      <c r="F191" t="s">
        <v>25</v>
      </c>
      <c r="G191" t="s">
        <v>26</v>
      </c>
      <c r="H191" t="s">
        <v>27</v>
      </c>
      <c r="I191" t="s">
        <v>34</v>
      </c>
      <c r="J191" t="s">
        <v>43</v>
      </c>
      <c r="K191">
        <v>1</v>
      </c>
      <c r="L191">
        <v>2870.8</v>
      </c>
      <c r="M191">
        <v>15</v>
      </c>
      <c r="N191">
        <v>2440.1799999999998</v>
      </c>
      <c r="O191" t="s">
        <v>36</v>
      </c>
    </row>
    <row r="192" spans="1:15" x14ac:dyDescent="0.3">
      <c r="A192" t="s">
        <v>260</v>
      </c>
      <c r="B192" s="2">
        <v>45482</v>
      </c>
      <c r="C192" t="s">
        <v>58</v>
      </c>
      <c r="D192" t="str">
        <f t="shared" si="2"/>
        <v>July</v>
      </c>
      <c r="E192" t="s">
        <v>69</v>
      </c>
      <c r="F192" t="s">
        <v>60</v>
      </c>
      <c r="G192" t="s">
        <v>73</v>
      </c>
      <c r="H192" t="s">
        <v>45</v>
      </c>
      <c r="I192" t="s">
        <v>42</v>
      </c>
      <c r="J192" t="s">
        <v>21</v>
      </c>
      <c r="K192">
        <v>2</v>
      </c>
      <c r="L192">
        <v>47869.760000000002</v>
      </c>
      <c r="M192">
        <v>0</v>
      </c>
      <c r="N192">
        <v>95739.520000000004</v>
      </c>
      <c r="O192" t="s">
        <v>47</v>
      </c>
    </row>
    <row r="193" spans="1:15" x14ac:dyDescent="0.3">
      <c r="A193" t="s">
        <v>261</v>
      </c>
      <c r="B193" s="2">
        <v>45483</v>
      </c>
      <c r="C193" t="s">
        <v>58</v>
      </c>
      <c r="D193" t="str">
        <f t="shared" si="2"/>
        <v>July</v>
      </c>
      <c r="E193" t="s">
        <v>32</v>
      </c>
      <c r="F193" t="s">
        <v>60</v>
      </c>
      <c r="G193" t="s">
        <v>61</v>
      </c>
      <c r="H193" t="s">
        <v>27</v>
      </c>
      <c r="I193" t="s">
        <v>20</v>
      </c>
      <c r="J193" t="s">
        <v>43</v>
      </c>
      <c r="K193">
        <v>5</v>
      </c>
      <c r="L193">
        <v>32580.799999999999</v>
      </c>
      <c r="M193">
        <v>10</v>
      </c>
      <c r="N193">
        <v>146613.60999999999</v>
      </c>
      <c r="O193" t="s">
        <v>22</v>
      </c>
    </row>
    <row r="194" spans="1:15" x14ac:dyDescent="0.3">
      <c r="A194" t="s">
        <v>262</v>
      </c>
      <c r="B194" s="2">
        <v>45484</v>
      </c>
      <c r="C194" t="s">
        <v>38</v>
      </c>
      <c r="D194" t="str">
        <f t="shared" si="2"/>
        <v>July</v>
      </c>
      <c r="E194" t="s">
        <v>50</v>
      </c>
      <c r="F194" t="s">
        <v>53</v>
      </c>
      <c r="G194" t="s">
        <v>129</v>
      </c>
      <c r="H194" t="s">
        <v>45</v>
      </c>
      <c r="I194" t="s">
        <v>20</v>
      </c>
      <c r="J194" t="s">
        <v>21</v>
      </c>
      <c r="K194">
        <v>1</v>
      </c>
      <c r="L194">
        <v>39152.910000000003</v>
      </c>
      <c r="M194">
        <v>5</v>
      </c>
      <c r="N194">
        <v>37195.269999999997</v>
      </c>
      <c r="O194" t="s">
        <v>47</v>
      </c>
    </row>
    <row r="195" spans="1:15" x14ac:dyDescent="0.3">
      <c r="A195" t="s">
        <v>263</v>
      </c>
      <c r="B195" s="2">
        <v>45485</v>
      </c>
      <c r="C195" t="s">
        <v>15</v>
      </c>
      <c r="D195" t="str">
        <f t="shared" ref="D195:D258" si="3">TEXT(B195,"mmmm")</f>
        <v>July</v>
      </c>
      <c r="E195" t="s">
        <v>72</v>
      </c>
      <c r="F195" t="s">
        <v>60</v>
      </c>
      <c r="G195" t="s">
        <v>78</v>
      </c>
      <c r="H195" t="s">
        <v>27</v>
      </c>
      <c r="I195" t="s">
        <v>42</v>
      </c>
      <c r="J195" t="s">
        <v>28</v>
      </c>
      <c r="K195">
        <v>1</v>
      </c>
      <c r="L195">
        <v>50947.87</v>
      </c>
      <c r="M195">
        <v>0</v>
      </c>
      <c r="N195">
        <v>50947.87</v>
      </c>
      <c r="O195" t="s">
        <v>22</v>
      </c>
    </row>
    <row r="196" spans="1:15" x14ac:dyDescent="0.3">
      <c r="A196" t="s">
        <v>264</v>
      </c>
      <c r="B196" s="2">
        <v>45486</v>
      </c>
      <c r="C196" t="s">
        <v>38</v>
      </c>
      <c r="D196" t="str">
        <f t="shared" si="3"/>
        <v>July</v>
      </c>
      <c r="E196" t="s">
        <v>77</v>
      </c>
      <c r="F196" t="s">
        <v>40</v>
      </c>
      <c r="G196" t="s">
        <v>118</v>
      </c>
      <c r="H196" t="s">
        <v>27</v>
      </c>
      <c r="I196" t="s">
        <v>34</v>
      </c>
      <c r="J196" t="s">
        <v>46</v>
      </c>
      <c r="K196">
        <v>1</v>
      </c>
      <c r="L196">
        <v>5285.78</v>
      </c>
      <c r="M196">
        <v>15</v>
      </c>
      <c r="N196">
        <v>4492.91</v>
      </c>
      <c r="O196" t="s">
        <v>36</v>
      </c>
    </row>
    <row r="197" spans="1:15" x14ac:dyDescent="0.3">
      <c r="A197" t="s">
        <v>265</v>
      </c>
      <c r="B197" s="2">
        <v>45487</v>
      </c>
      <c r="C197" t="s">
        <v>15</v>
      </c>
      <c r="D197" t="str">
        <f t="shared" si="3"/>
        <v>July</v>
      </c>
      <c r="E197" t="s">
        <v>50</v>
      </c>
      <c r="F197" t="s">
        <v>17</v>
      </c>
      <c r="G197" t="s">
        <v>67</v>
      </c>
      <c r="H197" t="s">
        <v>19</v>
      </c>
      <c r="I197" t="s">
        <v>42</v>
      </c>
      <c r="J197" t="s">
        <v>28</v>
      </c>
      <c r="K197">
        <v>3</v>
      </c>
      <c r="L197">
        <v>65909.91</v>
      </c>
      <c r="M197">
        <v>10</v>
      </c>
      <c r="N197">
        <v>177956.75</v>
      </c>
      <c r="O197" t="s">
        <v>36</v>
      </c>
    </row>
    <row r="198" spans="1:15" x14ac:dyDescent="0.3">
      <c r="A198" t="s">
        <v>266</v>
      </c>
      <c r="B198" s="2">
        <v>45488</v>
      </c>
      <c r="C198" t="s">
        <v>15</v>
      </c>
      <c r="D198" t="str">
        <f t="shared" si="3"/>
        <v>July</v>
      </c>
      <c r="E198" t="s">
        <v>69</v>
      </c>
      <c r="F198" t="s">
        <v>60</v>
      </c>
      <c r="G198" t="s">
        <v>73</v>
      </c>
      <c r="H198" t="s">
        <v>45</v>
      </c>
      <c r="I198" t="s">
        <v>20</v>
      </c>
      <c r="J198" t="s">
        <v>35</v>
      </c>
      <c r="K198">
        <v>4</v>
      </c>
      <c r="L198">
        <v>35381.75</v>
      </c>
      <c r="M198">
        <v>10</v>
      </c>
      <c r="N198">
        <v>127374.3</v>
      </c>
      <c r="O198" t="s">
        <v>47</v>
      </c>
    </row>
    <row r="199" spans="1:15" x14ac:dyDescent="0.3">
      <c r="A199" t="s">
        <v>267</v>
      </c>
      <c r="B199" s="2">
        <v>45489</v>
      </c>
      <c r="C199" t="s">
        <v>58</v>
      </c>
      <c r="D199" t="str">
        <f t="shared" si="3"/>
        <v>July</v>
      </c>
      <c r="E199" t="s">
        <v>39</v>
      </c>
      <c r="F199" t="s">
        <v>53</v>
      </c>
      <c r="G199" t="s">
        <v>129</v>
      </c>
      <c r="H199" t="s">
        <v>27</v>
      </c>
      <c r="I199" t="s">
        <v>20</v>
      </c>
      <c r="J199" t="s">
        <v>46</v>
      </c>
      <c r="K199">
        <v>5</v>
      </c>
      <c r="L199">
        <v>24102.51</v>
      </c>
      <c r="M199">
        <v>0</v>
      </c>
      <c r="N199">
        <v>120512.57</v>
      </c>
      <c r="O199" t="s">
        <v>47</v>
      </c>
    </row>
    <row r="200" spans="1:15" x14ac:dyDescent="0.3">
      <c r="A200" t="s">
        <v>268</v>
      </c>
      <c r="B200" s="2">
        <v>45490</v>
      </c>
      <c r="C200" t="s">
        <v>31</v>
      </c>
      <c r="D200" t="str">
        <f t="shared" si="3"/>
        <v>July</v>
      </c>
      <c r="E200" t="s">
        <v>50</v>
      </c>
      <c r="F200" t="s">
        <v>25</v>
      </c>
      <c r="G200" t="s">
        <v>92</v>
      </c>
      <c r="H200" t="s">
        <v>19</v>
      </c>
      <c r="I200" t="s">
        <v>34</v>
      </c>
      <c r="J200" t="s">
        <v>35</v>
      </c>
      <c r="K200">
        <v>5</v>
      </c>
      <c r="L200">
        <v>2808.66</v>
      </c>
      <c r="M200">
        <v>0</v>
      </c>
      <c r="N200">
        <v>14043.31</v>
      </c>
      <c r="O200" t="s">
        <v>47</v>
      </c>
    </row>
    <row r="201" spans="1:15" x14ac:dyDescent="0.3">
      <c r="A201" t="s">
        <v>269</v>
      </c>
      <c r="B201" s="2">
        <v>45491</v>
      </c>
      <c r="C201" t="s">
        <v>49</v>
      </c>
      <c r="D201" t="str">
        <f t="shared" si="3"/>
        <v>July</v>
      </c>
      <c r="E201" t="s">
        <v>24</v>
      </c>
      <c r="F201" t="s">
        <v>25</v>
      </c>
      <c r="G201" t="s">
        <v>81</v>
      </c>
      <c r="H201" t="s">
        <v>33</v>
      </c>
      <c r="I201" t="s">
        <v>34</v>
      </c>
      <c r="J201" t="s">
        <v>43</v>
      </c>
      <c r="K201">
        <v>5</v>
      </c>
      <c r="L201">
        <v>3040.83</v>
      </c>
      <c r="M201">
        <v>5</v>
      </c>
      <c r="N201">
        <v>14443.92</v>
      </c>
      <c r="O201" t="s">
        <v>47</v>
      </c>
    </row>
    <row r="202" spans="1:15" x14ac:dyDescent="0.3">
      <c r="A202" t="s">
        <v>270</v>
      </c>
      <c r="B202" s="2">
        <v>45492</v>
      </c>
      <c r="C202" t="s">
        <v>58</v>
      </c>
      <c r="D202" t="str">
        <f t="shared" si="3"/>
        <v>July</v>
      </c>
      <c r="E202" t="s">
        <v>72</v>
      </c>
      <c r="F202" t="s">
        <v>25</v>
      </c>
      <c r="G202" t="s">
        <v>81</v>
      </c>
      <c r="H202" t="s">
        <v>19</v>
      </c>
      <c r="I202" t="s">
        <v>20</v>
      </c>
      <c r="J202" t="s">
        <v>21</v>
      </c>
      <c r="K202">
        <v>3</v>
      </c>
      <c r="L202">
        <v>2087.46</v>
      </c>
      <c r="M202">
        <v>10</v>
      </c>
      <c r="N202">
        <v>5636.13</v>
      </c>
      <c r="O202" t="s">
        <v>29</v>
      </c>
    </row>
    <row r="203" spans="1:15" x14ac:dyDescent="0.3">
      <c r="A203" t="s">
        <v>271</v>
      </c>
      <c r="B203" s="2">
        <v>45493</v>
      </c>
      <c r="C203" t="s">
        <v>49</v>
      </c>
      <c r="D203" t="str">
        <f t="shared" si="3"/>
        <v>July</v>
      </c>
      <c r="E203" t="s">
        <v>100</v>
      </c>
      <c r="F203" t="s">
        <v>53</v>
      </c>
      <c r="G203" t="s">
        <v>65</v>
      </c>
      <c r="H203" t="s">
        <v>33</v>
      </c>
      <c r="I203" t="s">
        <v>20</v>
      </c>
      <c r="J203" t="s">
        <v>28</v>
      </c>
      <c r="K203">
        <v>2</v>
      </c>
      <c r="L203">
        <v>33086.629999999997</v>
      </c>
      <c r="M203">
        <v>10</v>
      </c>
      <c r="N203">
        <v>59555.93</v>
      </c>
      <c r="O203" t="s">
        <v>29</v>
      </c>
    </row>
    <row r="204" spans="1:15" x14ac:dyDescent="0.3">
      <c r="A204" t="s">
        <v>272</v>
      </c>
      <c r="B204" s="2">
        <v>45494</v>
      </c>
      <c r="C204" t="s">
        <v>31</v>
      </c>
      <c r="D204" t="str">
        <f t="shared" si="3"/>
        <v>July</v>
      </c>
      <c r="E204" t="s">
        <v>69</v>
      </c>
      <c r="F204" t="s">
        <v>53</v>
      </c>
      <c r="G204" t="s">
        <v>105</v>
      </c>
      <c r="H204" t="s">
        <v>45</v>
      </c>
      <c r="I204" t="s">
        <v>20</v>
      </c>
      <c r="J204" t="s">
        <v>28</v>
      </c>
      <c r="K204">
        <v>1</v>
      </c>
      <c r="L204">
        <v>35320.339999999997</v>
      </c>
      <c r="M204">
        <v>0</v>
      </c>
      <c r="N204">
        <v>35320.339999999997</v>
      </c>
      <c r="O204" t="s">
        <v>47</v>
      </c>
    </row>
    <row r="205" spans="1:15" x14ac:dyDescent="0.3">
      <c r="A205" t="s">
        <v>273</v>
      </c>
      <c r="B205" s="2">
        <v>45495</v>
      </c>
      <c r="C205" t="s">
        <v>15</v>
      </c>
      <c r="D205" t="str">
        <f t="shared" si="3"/>
        <v>July</v>
      </c>
      <c r="E205" t="s">
        <v>39</v>
      </c>
      <c r="F205" t="s">
        <v>53</v>
      </c>
      <c r="G205" t="s">
        <v>54</v>
      </c>
      <c r="H205" t="s">
        <v>33</v>
      </c>
      <c r="I205" t="s">
        <v>20</v>
      </c>
      <c r="J205" t="s">
        <v>28</v>
      </c>
      <c r="K205">
        <v>2</v>
      </c>
      <c r="L205">
        <v>33335.050000000003</v>
      </c>
      <c r="M205">
        <v>5</v>
      </c>
      <c r="N205">
        <v>63336.59</v>
      </c>
      <c r="O205" t="s">
        <v>29</v>
      </c>
    </row>
    <row r="206" spans="1:15" x14ac:dyDescent="0.3">
      <c r="A206" t="s">
        <v>274</v>
      </c>
      <c r="B206" s="2">
        <v>45496</v>
      </c>
      <c r="C206" t="s">
        <v>31</v>
      </c>
      <c r="D206" t="str">
        <f t="shared" si="3"/>
        <v>July</v>
      </c>
      <c r="E206" t="s">
        <v>39</v>
      </c>
      <c r="F206" t="s">
        <v>53</v>
      </c>
      <c r="G206" t="s">
        <v>129</v>
      </c>
      <c r="H206" t="s">
        <v>45</v>
      </c>
      <c r="I206" t="s">
        <v>20</v>
      </c>
      <c r="J206" t="s">
        <v>35</v>
      </c>
      <c r="K206">
        <v>4</v>
      </c>
      <c r="L206">
        <v>36245.1</v>
      </c>
      <c r="M206">
        <v>10</v>
      </c>
      <c r="N206">
        <v>130482.38</v>
      </c>
      <c r="O206" t="s">
        <v>22</v>
      </c>
    </row>
    <row r="207" spans="1:15" x14ac:dyDescent="0.3">
      <c r="A207" t="s">
        <v>275</v>
      </c>
      <c r="B207" s="2">
        <v>45497</v>
      </c>
      <c r="C207" t="s">
        <v>31</v>
      </c>
      <c r="D207" t="str">
        <f t="shared" si="3"/>
        <v>July</v>
      </c>
      <c r="E207" t="s">
        <v>50</v>
      </c>
      <c r="F207" t="s">
        <v>53</v>
      </c>
      <c r="G207" t="s">
        <v>54</v>
      </c>
      <c r="H207" t="s">
        <v>45</v>
      </c>
      <c r="I207" t="s">
        <v>20</v>
      </c>
      <c r="J207" t="s">
        <v>35</v>
      </c>
      <c r="K207">
        <v>2</v>
      </c>
      <c r="L207">
        <v>36082.9</v>
      </c>
      <c r="M207">
        <v>20</v>
      </c>
      <c r="N207">
        <v>57732.63</v>
      </c>
      <c r="O207" t="s">
        <v>29</v>
      </c>
    </row>
    <row r="208" spans="1:15" x14ac:dyDescent="0.3">
      <c r="A208" t="s">
        <v>276</v>
      </c>
      <c r="B208" s="2">
        <v>45498</v>
      </c>
      <c r="C208" t="s">
        <v>31</v>
      </c>
      <c r="D208" t="str">
        <f t="shared" si="3"/>
        <v>July</v>
      </c>
      <c r="E208" t="s">
        <v>39</v>
      </c>
      <c r="F208" t="s">
        <v>17</v>
      </c>
      <c r="G208" t="s">
        <v>67</v>
      </c>
      <c r="H208" t="s">
        <v>27</v>
      </c>
      <c r="I208" t="s">
        <v>20</v>
      </c>
      <c r="J208" t="s">
        <v>35</v>
      </c>
      <c r="K208">
        <v>1</v>
      </c>
      <c r="L208">
        <v>49501.82</v>
      </c>
      <c r="M208">
        <v>10</v>
      </c>
      <c r="N208">
        <v>44551.64</v>
      </c>
      <c r="O208" t="s">
        <v>47</v>
      </c>
    </row>
    <row r="209" spans="1:15" x14ac:dyDescent="0.3">
      <c r="A209" t="s">
        <v>277</v>
      </c>
      <c r="B209" s="2">
        <v>45499</v>
      </c>
      <c r="C209" t="s">
        <v>31</v>
      </c>
      <c r="D209" t="str">
        <f t="shared" si="3"/>
        <v>July</v>
      </c>
      <c r="E209" t="s">
        <v>39</v>
      </c>
      <c r="F209" t="s">
        <v>17</v>
      </c>
      <c r="G209" t="s">
        <v>18</v>
      </c>
      <c r="H209" t="s">
        <v>27</v>
      </c>
      <c r="I209" t="s">
        <v>20</v>
      </c>
      <c r="J209" t="s">
        <v>21</v>
      </c>
      <c r="K209">
        <v>3</v>
      </c>
      <c r="L209">
        <v>64805.02</v>
      </c>
      <c r="M209">
        <v>5</v>
      </c>
      <c r="N209">
        <v>184694.3</v>
      </c>
      <c r="O209" t="s">
        <v>47</v>
      </c>
    </row>
    <row r="210" spans="1:15" x14ac:dyDescent="0.3">
      <c r="A210" t="s">
        <v>278</v>
      </c>
      <c r="B210" s="2">
        <v>45500</v>
      </c>
      <c r="C210" t="s">
        <v>49</v>
      </c>
      <c r="D210" t="str">
        <f t="shared" si="3"/>
        <v>July</v>
      </c>
      <c r="E210" t="s">
        <v>24</v>
      </c>
      <c r="F210" t="s">
        <v>53</v>
      </c>
      <c r="G210" t="s">
        <v>105</v>
      </c>
      <c r="H210" t="s">
        <v>27</v>
      </c>
      <c r="I210" t="s">
        <v>34</v>
      </c>
      <c r="J210" t="s">
        <v>46</v>
      </c>
      <c r="K210">
        <v>1</v>
      </c>
      <c r="L210">
        <v>38095.410000000003</v>
      </c>
      <c r="M210">
        <v>5</v>
      </c>
      <c r="N210">
        <v>36190.639999999999</v>
      </c>
      <c r="O210" t="s">
        <v>22</v>
      </c>
    </row>
    <row r="211" spans="1:15" x14ac:dyDescent="0.3">
      <c r="A211" t="s">
        <v>279</v>
      </c>
      <c r="B211" s="2">
        <v>45501</v>
      </c>
      <c r="C211" t="s">
        <v>15</v>
      </c>
      <c r="D211" t="str">
        <f t="shared" si="3"/>
        <v>July</v>
      </c>
      <c r="E211" t="s">
        <v>32</v>
      </c>
      <c r="F211" t="s">
        <v>40</v>
      </c>
      <c r="G211" t="s">
        <v>118</v>
      </c>
      <c r="H211" t="s">
        <v>45</v>
      </c>
      <c r="I211" t="s">
        <v>20</v>
      </c>
      <c r="J211" t="s">
        <v>28</v>
      </c>
      <c r="K211">
        <v>5</v>
      </c>
      <c r="L211">
        <v>5916.48</v>
      </c>
      <c r="M211">
        <v>0</v>
      </c>
      <c r="N211">
        <v>29582.38</v>
      </c>
      <c r="O211" t="s">
        <v>22</v>
      </c>
    </row>
    <row r="212" spans="1:15" x14ac:dyDescent="0.3">
      <c r="A212" t="s">
        <v>280</v>
      </c>
      <c r="B212" s="2">
        <v>45502</v>
      </c>
      <c r="C212" t="s">
        <v>38</v>
      </c>
      <c r="D212" t="str">
        <f t="shared" si="3"/>
        <v>July</v>
      </c>
      <c r="E212" t="s">
        <v>39</v>
      </c>
      <c r="F212" t="s">
        <v>60</v>
      </c>
      <c r="G212" t="s">
        <v>61</v>
      </c>
      <c r="H212" t="s">
        <v>45</v>
      </c>
      <c r="I212" t="s">
        <v>34</v>
      </c>
      <c r="J212" t="s">
        <v>43</v>
      </c>
      <c r="K212">
        <v>2</v>
      </c>
      <c r="L212">
        <v>43725.52</v>
      </c>
      <c r="M212">
        <v>0</v>
      </c>
      <c r="N212">
        <v>87451.05</v>
      </c>
      <c r="O212" t="s">
        <v>29</v>
      </c>
    </row>
    <row r="213" spans="1:15" x14ac:dyDescent="0.3">
      <c r="A213" t="s">
        <v>281</v>
      </c>
      <c r="B213" s="2">
        <v>45503</v>
      </c>
      <c r="C213" t="s">
        <v>31</v>
      </c>
      <c r="D213" t="str">
        <f t="shared" si="3"/>
        <v>July</v>
      </c>
      <c r="E213" t="s">
        <v>39</v>
      </c>
      <c r="F213" t="s">
        <v>40</v>
      </c>
      <c r="G213" t="s">
        <v>75</v>
      </c>
      <c r="H213" t="s">
        <v>27</v>
      </c>
      <c r="I213" t="s">
        <v>34</v>
      </c>
      <c r="J213" t="s">
        <v>35</v>
      </c>
      <c r="K213">
        <v>4</v>
      </c>
      <c r="L213">
        <v>6953.02</v>
      </c>
      <c r="M213">
        <v>0</v>
      </c>
      <c r="N213">
        <v>27812.07</v>
      </c>
      <c r="O213" t="s">
        <v>47</v>
      </c>
    </row>
    <row r="214" spans="1:15" x14ac:dyDescent="0.3">
      <c r="A214" t="s">
        <v>282</v>
      </c>
      <c r="B214" s="2">
        <v>45504</v>
      </c>
      <c r="C214" t="s">
        <v>15</v>
      </c>
      <c r="D214" t="str">
        <f t="shared" si="3"/>
        <v>July</v>
      </c>
      <c r="E214" t="s">
        <v>16</v>
      </c>
      <c r="F214" t="s">
        <v>60</v>
      </c>
      <c r="G214" t="s">
        <v>70</v>
      </c>
      <c r="H214" t="s">
        <v>27</v>
      </c>
      <c r="I214" t="s">
        <v>20</v>
      </c>
      <c r="J214" t="s">
        <v>35</v>
      </c>
      <c r="K214">
        <v>3</v>
      </c>
      <c r="L214">
        <v>49508.74</v>
      </c>
      <c r="M214">
        <v>5</v>
      </c>
      <c r="N214">
        <v>141099.9</v>
      </c>
      <c r="O214" t="s">
        <v>22</v>
      </c>
    </row>
    <row r="215" spans="1:15" x14ac:dyDescent="0.3">
      <c r="A215" t="s">
        <v>283</v>
      </c>
      <c r="B215" s="2">
        <v>45505</v>
      </c>
      <c r="C215" t="s">
        <v>15</v>
      </c>
      <c r="D215" t="str">
        <f t="shared" si="3"/>
        <v>August</v>
      </c>
      <c r="E215" t="s">
        <v>50</v>
      </c>
      <c r="F215" t="s">
        <v>17</v>
      </c>
      <c r="G215" t="s">
        <v>63</v>
      </c>
      <c r="H215" t="s">
        <v>27</v>
      </c>
      <c r="I215" t="s">
        <v>34</v>
      </c>
      <c r="J215" t="s">
        <v>46</v>
      </c>
      <c r="K215">
        <v>2</v>
      </c>
      <c r="L215">
        <v>49713.57</v>
      </c>
      <c r="M215">
        <v>0</v>
      </c>
      <c r="N215">
        <v>99427.14</v>
      </c>
      <c r="O215" t="s">
        <v>47</v>
      </c>
    </row>
    <row r="216" spans="1:15" x14ac:dyDescent="0.3">
      <c r="A216" t="s">
        <v>284</v>
      </c>
      <c r="B216" s="2">
        <v>45506</v>
      </c>
      <c r="C216" t="s">
        <v>15</v>
      </c>
      <c r="D216" t="str">
        <f t="shared" si="3"/>
        <v>August</v>
      </c>
      <c r="E216" t="s">
        <v>32</v>
      </c>
      <c r="F216" t="s">
        <v>17</v>
      </c>
      <c r="G216" t="s">
        <v>63</v>
      </c>
      <c r="H216" t="s">
        <v>27</v>
      </c>
      <c r="I216" t="s">
        <v>34</v>
      </c>
      <c r="J216" t="s">
        <v>28</v>
      </c>
      <c r="K216">
        <v>3</v>
      </c>
      <c r="L216">
        <v>59341.45</v>
      </c>
      <c r="M216">
        <v>5</v>
      </c>
      <c r="N216">
        <v>169123.14</v>
      </c>
      <c r="O216" t="s">
        <v>22</v>
      </c>
    </row>
    <row r="217" spans="1:15" x14ac:dyDescent="0.3">
      <c r="A217" t="s">
        <v>285</v>
      </c>
      <c r="B217" s="2">
        <v>45507</v>
      </c>
      <c r="C217" t="s">
        <v>49</v>
      </c>
      <c r="D217" t="str">
        <f t="shared" si="3"/>
        <v>August</v>
      </c>
      <c r="E217" t="s">
        <v>16</v>
      </c>
      <c r="F217" t="s">
        <v>25</v>
      </c>
      <c r="G217" t="s">
        <v>81</v>
      </c>
      <c r="H217" t="s">
        <v>19</v>
      </c>
      <c r="I217" t="s">
        <v>34</v>
      </c>
      <c r="J217" t="s">
        <v>46</v>
      </c>
      <c r="K217">
        <v>5</v>
      </c>
      <c r="L217">
        <v>2901.97</v>
      </c>
      <c r="M217">
        <v>0</v>
      </c>
      <c r="N217">
        <v>14509.83</v>
      </c>
      <c r="O217" t="s">
        <v>29</v>
      </c>
    </row>
    <row r="218" spans="1:15" x14ac:dyDescent="0.3">
      <c r="A218" t="s">
        <v>286</v>
      </c>
      <c r="B218" s="2">
        <v>45508</v>
      </c>
      <c r="C218" t="s">
        <v>15</v>
      </c>
      <c r="D218" t="str">
        <f t="shared" si="3"/>
        <v>August</v>
      </c>
      <c r="E218" t="s">
        <v>50</v>
      </c>
      <c r="F218" t="s">
        <v>40</v>
      </c>
      <c r="G218" t="s">
        <v>115</v>
      </c>
      <c r="H218" t="s">
        <v>19</v>
      </c>
      <c r="I218" t="s">
        <v>34</v>
      </c>
      <c r="J218" t="s">
        <v>28</v>
      </c>
      <c r="K218">
        <v>5</v>
      </c>
      <c r="L218">
        <v>7923.69</v>
      </c>
      <c r="M218">
        <v>0</v>
      </c>
      <c r="N218">
        <v>39618.47</v>
      </c>
      <c r="O218" t="s">
        <v>22</v>
      </c>
    </row>
    <row r="219" spans="1:15" x14ac:dyDescent="0.3">
      <c r="A219" t="s">
        <v>287</v>
      </c>
      <c r="B219" s="2">
        <v>45509</v>
      </c>
      <c r="C219" t="s">
        <v>49</v>
      </c>
      <c r="D219" t="str">
        <f t="shared" si="3"/>
        <v>August</v>
      </c>
      <c r="E219" t="s">
        <v>77</v>
      </c>
      <c r="F219" t="s">
        <v>53</v>
      </c>
      <c r="G219" t="s">
        <v>54</v>
      </c>
      <c r="H219" t="s">
        <v>45</v>
      </c>
      <c r="I219" t="s">
        <v>20</v>
      </c>
      <c r="J219" t="s">
        <v>21</v>
      </c>
      <c r="K219">
        <v>1</v>
      </c>
      <c r="L219">
        <v>25851.83</v>
      </c>
      <c r="M219">
        <v>0</v>
      </c>
      <c r="N219">
        <v>25851.83</v>
      </c>
      <c r="O219" t="s">
        <v>47</v>
      </c>
    </row>
    <row r="220" spans="1:15" x14ac:dyDescent="0.3">
      <c r="A220" t="s">
        <v>288</v>
      </c>
      <c r="B220" s="2">
        <v>45510</v>
      </c>
      <c r="C220" t="s">
        <v>15</v>
      </c>
      <c r="D220" t="str">
        <f t="shared" si="3"/>
        <v>August</v>
      </c>
      <c r="E220" t="s">
        <v>100</v>
      </c>
      <c r="F220" t="s">
        <v>40</v>
      </c>
      <c r="G220" t="s">
        <v>75</v>
      </c>
      <c r="H220" t="s">
        <v>33</v>
      </c>
      <c r="I220" t="s">
        <v>42</v>
      </c>
      <c r="J220" t="s">
        <v>46</v>
      </c>
      <c r="K220">
        <v>3</v>
      </c>
      <c r="L220">
        <v>5504.63</v>
      </c>
      <c r="M220">
        <v>5</v>
      </c>
      <c r="N220">
        <v>15688.2</v>
      </c>
      <c r="O220" t="s">
        <v>36</v>
      </c>
    </row>
    <row r="221" spans="1:15" x14ac:dyDescent="0.3">
      <c r="A221" t="s">
        <v>289</v>
      </c>
      <c r="B221" s="2">
        <v>45511</v>
      </c>
      <c r="C221" t="s">
        <v>49</v>
      </c>
      <c r="D221" t="str">
        <f t="shared" si="3"/>
        <v>August</v>
      </c>
      <c r="E221" t="s">
        <v>50</v>
      </c>
      <c r="F221" t="s">
        <v>60</v>
      </c>
      <c r="G221" t="s">
        <v>78</v>
      </c>
      <c r="H221" t="s">
        <v>27</v>
      </c>
      <c r="I221" t="s">
        <v>34</v>
      </c>
      <c r="J221" t="s">
        <v>46</v>
      </c>
      <c r="K221">
        <v>1</v>
      </c>
      <c r="L221">
        <v>44555.28</v>
      </c>
      <c r="M221">
        <v>0</v>
      </c>
      <c r="N221">
        <v>44555.28</v>
      </c>
      <c r="O221" t="s">
        <v>47</v>
      </c>
    </row>
    <row r="222" spans="1:15" x14ac:dyDescent="0.3">
      <c r="A222" t="s">
        <v>290</v>
      </c>
      <c r="B222" s="2">
        <v>45512</v>
      </c>
      <c r="C222" t="s">
        <v>31</v>
      </c>
      <c r="D222" t="str">
        <f t="shared" si="3"/>
        <v>August</v>
      </c>
      <c r="E222" t="s">
        <v>39</v>
      </c>
      <c r="F222" t="s">
        <v>53</v>
      </c>
      <c r="G222" t="s">
        <v>54</v>
      </c>
      <c r="H222" t="s">
        <v>45</v>
      </c>
      <c r="I222" t="s">
        <v>42</v>
      </c>
      <c r="J222" t="s">
        <v>28</v>
      </c>
      <c r="K222">
        <v>5</v>
      </c>
      <c r="L222">
        <v>38017.67</v>
      </c>
      <c r="M222">
        <v>0</v>
      </c>
      <c r="N222">
        <v>190088.35</v>
      </c>
      <c r="O222" t="s">
        <v>47</v>
      </c>
    </row>
    <row r="223" spans="1:15" x14ac:dyDescent="0.3">
      <c r="A223" t="s">
        <v>291</v>
      </c>
      <c r="B223" s="2">
        <v>45513</v>
      </c>
      <c r="C223" t="s">
        <v>38</v>
      </c>
      <c r="D223" t="str">
        <f t="shared" si="3"/>
        <v>August</v>
      </c>
      <c r="E223" t="s">
        <v>77</v>
      </c>
      <c r="F223" t="s">
        <v>53</v>
      </c>
      <c r="G223" t="s">
        <v>105</v>
      </c>
      <c r="H223" t="s">
        <v>19</v>
      </c>
      <c r="I223" t="s">
        <v>20</v>
      </c>
      <c r="J223" t="s">
        <v>46</v>
      </c>
      <c r="K223">
        <v>4</v>
      </c>
      <c r="L223">
        <v>36874.050000000003</v>
      </c>
      <c r="M223">
        <v>5</v>
      </c>
      <c r="N223">
        <v>140121.4</v>
      </c>
      <c r="O223" t="s">
        <v>22</v>
      </c>
    </row>
    <row r="224" spans="1:15" x14ac:dyDescent="0.3">
      <c r="A224" t="s">
        <v>292</v>
      </c>
      <c r="B224" s="2">
        <v>45514</v>
      </c>
      <c r="C224" t="s">
        <v>58</v>
      </c>
      <c r="D224" t="str">
        <f t="shared" si="3"/>
        <v>August</v>
      </c>
      <c r="E224" t="s">
        <v>72</v>
      </c>
      <c r="F224" t="s">
        <v>53</v>
      </c>
      <c r="G224" t="s">
        <v>65</v>
      </c>
      <c r="H224" t="s">
        <v>45</v>
      </c>
      <c r="I224" t="s">
        <v>42</v>
      </c>
      <c r="J224" t="s">
        <v>46</v>
      </c>
      <c r="K224">
        <v>3</v>
      </c>
      <c r="L224">
        <v>28341.99</v>
      </c>
      <c r="M224">
        <v>0</v>
      </c>
      <c r="N224">
        <v>85025.96</v>
      </c>
      <c r="O224" t="s">
        <v>47</v>
      </c>
    </row>
    <row r="225" spans="1:15" x14ac:dyDescent="0.3">
      <c r="A225" t="s">
        <v>293</v>
      </c>
      <c r="B225" s="2">
        <v>45515</v>
      </c>
      <c r="C225" t="s">
        <v>38</v>
      </c>
      <c r="D225" t="str">
        <f t="shared" si="3"/>
        <v>August</v>
      </c>
      <c r="E225" t="s">
        <v>16</v>
      </c>
      <c r="F225" t="s">
        <v>17</v>
      </c>
      <c r="G225" t="s">
        <v>18</v>
      </c>
      <c r="H225" t="s">
        <v>33</v>
      </c>
      <c r="I225" t="s">
        <v>34</v>
      </c>
      <c r="J225" t="s">
        <v>28</v>
      </c>
      <c r="K225">
        <v>3</v>
      </c>
      <c r="L225">
        <v>46561.31</v>
      </c>
      <c r="M225">
        <v>5</v>
      </c>
      <c r="N225">
        <v>132699.73000000001</v>
      </c>
      <c r="O225" t="s">
        <v>36</v>
      </c>
    </row>
    <row r="226" spans="1:15" x14ac:dyDescent="0.3">
      <c r="A226" t="s">
        <v>294</v>
      </c>
      <c r="B226" s="2">
        <v>45516</v>
      </c>
      <c r="C226" t="s">
        <v>38</v>
      </c>
      <c r="D226" t="str">
        <f t="shared" si="3"/>
        <v>August</v>
      </c>
      <c r="E226" t="s">
        <v>69</v>
      </c>
      <c r="F226" t="s">
        <v>40</v>
      </c>
      <c r="G226" t="s">
        <v>118</v>
      </c>
      <c r="H226" t="s">
        <v>19</v>
      </c>
      <c r="I226" t="s">
        <v>42</v>
      </c>
      <c r="J226" t="s">
        <v>28</v>
      </c>
      <c r="K226">
        <v>3</v>
      </c>
      <c r="L226">
        <v>7895.15</v>
      </c>
      <c r="M226">
        <v>5</v>
      </c>
      <c r="N226">
        <v>22501.17</v>
      </c>
      <c r="O226" t="s">
        <v>47</v>
      </c>
    </row>
    <row r="227" spans="1:15" x14ac:dyDescent="0.3">
      <c r="A227" t="s">
        <v>295</v>
      </c>
      <c r="B227" s="2">
        <v>45517</v>
      </c>
      <c r="C227" t="s">
        <v>49</v>
      </c>
      <c r="D227" t="str">
        <f t="shared" si="3"/>
        <v>August</v>
      </c>
      <c r="E227" t="s">
        <v>32</v>
      </c>
      <c r="F227" t="s">
        <v>17</v>
      </c>
      <c r="G227" t="s">
        <v>63</v>
      </c>
      <c r="H227" t="s">
        <v>27</v>
      </c>
      <c r="I227" t="s">
        <v>20</v>
      </c>
      <c r="J227" t="s">
        <v>21</v>
      </c>
      <c r="K227">
        <v>1</v>
      </c>
      <c r="L227">
        <v>66634.03</v>
      </c>
      <c r="M227">
        <v>20</v>
      </c>
      <c r="N227">
        <v>53307.23</v>
      </c>
      <c r="O227" t="s">
        <v>36</v>
      </c>
    </row>
    <row r="228" spans="1:15" x14ac:dyDescent="0.3">
      <c r="A228" t="s">
        <v>296</v>
      </c>
      <c r="B228" s="2">
        <v>45518</v>
      </c>
      <c r="C228" t="s">
        <v>49</v>
      </c>
      <c r="D228" t="str">
        <f t="shared" si="3"/>
        <v>August</v>
      </c>
      <c r="E228" t="s">
        <v>77</v>
      </c>
      <c r="F228" t="s">
        <v>53</v>
      </c>
      <c r="G228" t="s">
        <v>65</v>
      </c>
      <c r="H228" t="s">
        <v>19</v>
      </c>
      <c r="I228" t="s">
        <v>34</v>
      </c>
      <c r="J228" t="s">
        <v>28</v>
      </c>
      <c r="K228">
        <v>5</v>
      </c>
      <c r="L228">
        <v>26939.09</v>
      </c>
      <c r="M228">
        <v>15</v>
      </c>
      <c r="N228">
        <v>114491.13</v>
      </c>
      <c r="O228" t="s">
        <v>36</v>
      </c>
    </row>
    <row r="229" spans="1:15" x14ac:dyDescent="0.3">
      <c r="A229" t="s">
        <v>297</v>
      </c>
      <c r="B229" s="2">
        <v>45519</v>
      </c>
      <c r="C229" t="s">
        <v>31</v>
      </c>
      <c r="D229" t="str">
        <f t="shared" si="3"/>
        <v>August</v>
      </c>
      <c r="E229" t="s">
        <v>32</v>
      </c>
      <c r="F229" t="s">
        <v>60</v>
      </c>
      <c r="G229" t="s">
        <v>73</v>
      </c>
      <c r="H229" t="s">
        <v>27</v>
      </c>
      <c r="I229" t="s">
        <v>42</v>
      </c>
      <c r="J229" t="s">
        <v>46</v>
      </c>
      <c r="K229">
        <v>3</v>
      </c>
      <c r="L229">
        <v>44617.17</v>
      </c>
      <c r="M229">
        <v>5</v>
      </c>
      <c r="N229">
        <v>127158.95</v>
      </c>
      <c r="O229" t="s">
        <v>47</v>
      </c>
    </row>
    <row r="230" spans="1:15" x14ac:dyDescent="0.3">
      <c r="A230" t="s">
        <v>298</v>
      </c>
      <c r="B230" s="2">
        <v>45520</v>
      </c>
      <c r="C230" t="s">
        <v>49</v>
      </c>
      <c r="D230" t="str">
        <f t="shared" si="3"/>
        <v>August</v>
      </c>
      <c r="E230" t="s">
        <v>39</v>
      </c>
      <c r="F230" t="s">
        <v>40</v>
      </c>
      <c r="G230" t="s">
        <v>75</v>
      </c>
      <c r="H230" t="s">
        <v>33</v>
      </c>
      <c r="I230" t="s">
        <v>34</v>
      </c>
      <c r="J230" t="s">
        <v>28</v>
      </c>
      <c r="K230">
        <v>4</v>
      </c>
      <c r="L230">
        <v>6866.82</v>
      </c>
      <c r="M230">
        <v>0</v>
      </c>
      <c r="N230">
        <v>27467.29</v>
      </c>
      <c r="O230" t="s">
        <v>29</v>
      </c>
    </row>
    <row r="231" spans="1:15" x14ac:dyDescent="0.3">
      <c r="A231" t="s">
        <v>299</v>
      </c>
      <c r="B231" s="2">
        <v>45521</v>
      </c>
      <c r="C231" t="s">
        <v>58</v>
      </c>
      <c r="D231" t="str">
        <f t="shared" si="3"/>
        <v>August</v>
      </c>
      <c r="E231" t="s">
        <v>24</v>
      </c>
      <c r="F231" t="s">
        <v>53</v>
      </c>
      <c r="G231" t="s">
        <v>105</v>
      </c>
      <c r="H231" t="s">
        <v>33</v>
      </c>
      <c r="I231" t="s">
        <v>20</v>
      </c>
      <c r="J231" t="s">
        <v>43</v>
      </c>
      <c r="K231">
        <v>2</v>
      </c>
      <c r="L231">
        <v>33548.19</v>
      </c>
      <c r="M231">
        <v>0</v>
      </c>
      <c r="N231">
        <v>67096.39</v>
      </c>
      <c r="O231" t="s">
        <v>47</v>
      </c>
    </row>
    <row r="232" spans="1:15" x14ac:dyDescent="0.3">
      <c r="A232" t="s">
        <v>300</v>
      </c>
      <c r="B232" s="2">
        <v>45522</v>
      </c>
      <c r="C232" t="s">
        <v>49</v>
      </c>
      <c r="D232" t="str">
        <f t="shared" si="3"/>
        <v>August</v>
      </c>
      <c r="E232" t="s">
        <v>50</v>
      </c>
      <c r="F232" t="s">
        <v>60</v>
      </c>
      <c r="G232" t="s">
        <v>73</v>
      </c>
      <c r="H232" t="s">
        <v>45</v>
      </c>
      <c r="I232" t="s">
        <v>34</v>
      </c>
      <c r="J232" t="s">
        <v>28</v>
      </c>
      <c r="K232">
        <v>4</v>
      </c>
      <c r="L232">
        <v>43192.41</v>
      </c>
      <c r="M232">
        <v>10</v>
      </c>
      <c r="N232">
        <v>155492.69</v>
      </c>
      <c r="O232" t="s">
        <v>47</v>
      </c>
    </row>
    <row r="233" spans="1:15" x14ac:dyDescent="0.3">
      <c r="A233" t="s">
        <v>301</v>
      </c>
      <c r="B233" s="2">
        <v>45523</v>
      </c>
      <c r="C233" t="s">
        <v>31</v>
      </c>
      <c r="D233" t="str">
        <f t="shared" si="3"/>
        <v>August</v>
      </c>
      <c r="E233" t="s">
        <v>50</v>
      </c>
      <c r="F233" t="s">
        <v>25</v>
      </c>
      <c r="G233" t="s">
        <v>81</v>
      </c>
      <c r="H233" t="s">
        <v>27</v>
      </c>
      <c r="I233" t="s">
        <v>42</v>
      </c>
      <c r="J233" t="s">
        <v>21</v>
      </c>
      <c r="K233">
        <v>5</v>
      </c>
      <c r="L233">
        <v>2154.67</v>
      </c>
      <c r="M233">
        <v>0</v>
      </c>
      <c r="N233">
        <v>10773.37</v>
      </c>
      <c r="O233" t="s">
        <v>47</v>
      </c>
    </row>
    <row r="234" spans="1:15" x14ac:dyDescent="0.3">
      <c r="A234" t="s">
        <v>302</v>
      </c>
      <c r="B234" s="2">
        <v>45524</v>
      </c>
      <c r="C234" t="s">
        <v>38</v>
      </c>
      <c r="D234" t="str">
        <f t="shared" si="3"/>
        <v>August</v>
      </c>
      <c r="E234" t="s">
        <v>50</v>
      </c>
      <c r="F234" t="s">
        <v>17</v>
      </c>
      <c r="G234" t="s">
        <v>63</v>
      </c>
      <c r="H234" t="s">
        <v>19</v>
      </c>
      <c r="I234" t="s">
        <v>20</v>
      </c>
      <c r="J234" t="s">
        <v>21</v>
      </c>
      <c r="K234">
        <v>2</v>
      </c>
      <c r="L234">
        <v>69793.95</v>
      </c>
      <c r="M234">
        <v>20</v>
      </c>
      <c r="N234">
        <v>111670.31</v>
      </c>
      <c r="O234" t="s">
        <v>36</v>
      </c>
    </row>
    <row r="235" spans="1:15" x14ac:dyDescent="0.3">
      <c r="A235" t="s">
        <v>303</v>
      </c>
      <c r="B235" s="2">
        <v>45525</v>
      </c>
      <c r="C235" t="s">
        <v>31</v>
      </c>
      <c r="D235" t="str">
        <f t="shared" si="3"/>
        <v>August</v>
      </c>
      <c r="E235" t="s">
        <v>50</v>
      </c>
      <c r="F235" t="s">
        <v>40</v>
      </c>
      <c r="G235" t="s">
        <v>115</v>
      </c>
      <c r="H235" t="s">
        <v>27</v>
      </c>
      <c r="I235" t="s">
        <v>34</v>
      </c>
      <c r="J235" t="s">
        <v>35</v>
      </c>
      <c r="K235">
        <v>3</v>
      </c>
      <c r="L235">
        <v>7815.16</v>
      </c>
      <c r="M235">
        <v>5</v>
      </c>
      <c r="N235">
        <v>22273.200000000001</v>
      </c>
      <c r="O235" t="s">
        <v>47</v>
      </c>
    </row>
    <row r="236" spans="1:15" x14ac:dyDescent="0.3">
      <c r="A236" t="s">
        <v>304</v>
      </c>
      <c r="B236" s="2">
        <v>45526</v>
      </c>
      <c r="C236" t="s">
        <v>15</v>
      </c>
      <c r="D236" t="str">
        <f t="shared" si="3"/>
        <v>August</v>
      </c>
      <c r="E236" t="s">
        <v>69</v>
      </c>
      <c r="F236" t="s">
        <v>40</v>
      </c>
      <c r="G236" t="s">
        <v>41</v>
      </c>
      <c r="H236" t="s">
        <v>27</v>
      </c>
      <c r="I236" t="s">
        <v>20</v>
      </c>
      <c r="J236" t="s">
        <v>43</v>
      </c>
      <c r="K236">
        <v>2</v>
      </c>
      <c r="L236">
        <v>5875.45</v>
      </c>
      <c r="M236">
        <v>5</v>
      </c>
      <c r="N236">
        <v>11163.35</v>
      </c>
      <c r="O236" t="s">
        <v>47</v>
      </c>
    </row>
    <row r="237" spans="1:15" x14ac:dyDescent="0.3">
      <c r="A237" t="s">
        <v>305</v>
      </c>
      <c r="B237" s="2">
        <v>45527</v>
      </c>
      <c r="C237" t="s">
        <v>49</v>
      </c>
      <c r="D237" t="str">
        <f t="shared" si="3"/>
        <v>August</v>
      </c>
      <c r="E237" t="s">
        <v>39</v>
      </c>
      <c r="F237" t="s">
        <v>60</v>
      </c>
      <c r="G237" t="s">
        <v>73</v>
      </c>
      <c r="H237" t="s">
        <v>19</v>
      </c>
      <c r="I237" t="s">
        <v>34</v>
      </c>
      <c r="J237" t="s">
        <v>43</v>
      </c>
      <c r="K237">
        <v>4</v>
      </c>
      <c r="L237">
        <v>39955.800000000003</v>
      </c>
      <c r="M237">
        <v>10</v>
      </c>
      <c r="N237">
        <v>143840.87</v>
      </c>
      <c r="O237" t="s">
        <v>47</v>
      </c>
    </row>
    <row r="238" spans="1:15" x14ac:dyDescent="0.3">
      <c r="A238" t="s">
        <v>306</v>
      </c>
      <c r="B238" s="2">
        <v>45528</v>
      </c>
      <c r="C238" t="s">
        <v>15</v>
      </c>
      <c r="D238" t="str">
        <f t="shared" si="3"/>
        <v>August</v>
      </c>
      <c r="E238" t="s">
        <v>39</v>
      </c>
      <c r="F238" t="s">
        <v>53</v>
      </c>
      <c r="G238" t="s">
        <v>129</v>
      </c>
      <c r="H238" t="s">
        <v>45</v>
      </c>
      <c r="I238" t="s">
        <v>20</v>
      </c>
      <c r="J238" t="s">
        <v>21</v>
      </c>
      <c r="K238">
        <v>2</v>
      </c>
      <c r="L238">
        <v>38959.54</v>
      </c>
      <c r="M238">
        <v>5</v>
      </c>
      <c r="N238">
        <v>74023.12</v>
      </c>
      <c r="O238" t="s">
        <v>22</v>
      </c>
    </row>
    <row r="239" spans="1:15" x14ac:dyDescent="0.3">
      <c r="A239" t="s">
        <v>307</v>
      </c>
      <c r="B239" s="2">
        <v>45529</v>
      </c>
      <c r="C239" t="s">
        <v>58</v>
      </c>
      <c r="D239" t="str">
        <f t="shared" si="3"/>
        <v>August</v>
      </c>
      <c r="E239" t="s">
        <v>39</v>
      </c>
      <c r="F239" t="s">
        <v>25</v>
      </c>
      <c r="G239" t="s">
        <v>92</v>
      </c>
      <c r="H239" t="s">
        <v>27</v>
      </c>
      <c r="I239" t="s">
        <v>34</v>
      </c>
      <c r="J239" t="s">
        <v>46</v>
      </c>
      <c r="K239">
        <v>5</v>
      </c>
      <c r="L239">
        <v>2296.92</v>
      </c>
      <c r="M239">
        <v>5</v>
      </c>
      <c r="N239">
        <v>10910.38</v>
      </c>
      <c r="O239" t="s">
        <v>36</v>
      </c>
    </row>
    <row r="240" spans="1:15" x14ac:dyDescent="0.3">
      <c r="A240" t="s">
        <v>308</v>
      </c>
      <c r="B240" s="2">
        <v>45530</v>
      </c>
      <c r="C240" t="s">
        <v>31</v>
      </c>
      <c r="D240" t="str">
        <f t="shared" si="3"/>
        <v>August</v>
      </c>
      <c r="E240" t="s">
        <v>16</v>
      </c>
      <c r="F240" t="s">
        <v>40</v>
      </c>
      <c r="G240" t="s">
        <v>118</v>
      </c>
      <c r="H240" t="s">
        <v>19</v>
      </c>
      <c r="I240" t="s">
        <v>42</v>
      </c>
      <c r="J240" t="s">
        <v>46</v>
      </c>
      <c r="K240">
        <v>2</v>
      </c>
      <c r="L240">
        <v>6326.36</v>
      </c>
      <c r="M240">
        <v>10</v>
      </c>
      <c r="N240">
        <v>11387.45</v>
      </c>
      <c r="O240" t="s">
        <v>36</v>
      </c>
    </row>
    <row r="241" spans="1:15" x14ac:dyDescent="0.3">
      <c r="A241" t="s">
        <v>309</v>
      </c>
      <c r="B241" s="2">
        <v>45531</v>
      </c>
      <c r="C241" t="s">
        <v>58</v>
      </c>
      <c r="D241" t="str">
        <f t="shared" si="3"/>
        <v>August</v>
      </c>
      <c r="E241" t="s">
        <v>100</v>
      </c>
      <c r="F241" t="s">
        <v>25</v>
      </c>
      <c r="G241" t="s">
        <v>92</v>
      </c>
      <c r="H241" t="s">
        <v>45</v>
      </c>
      <c r="I241" t="s">
        <v>42</v>
      </c>
      <c r="J241" t="s">
        <v>21</v>
      </c>
      <c r="K241">
        <v>4</v>
      </c>
      <c r="L241">
        <v>2931.15</v>
      </c>
      <c r="M241">
        <v>20</v>
      </c>
      <c r="N241">
        <v>9379.68</v>
      </c>
      <c r="O241" t="s">
        <v>22</v>
      </c>
    </row>
    <row r="242" spans="1:15" x14ac:dyDescent="0.3">
      <c r="A242" t="s">
        <v>310</v>
      </c>
      <c r="B242" s="2">
        <v>45532</v>
      </c>
      <c r="C242" t="s">
        <v>15</v>
      </c>
      <c r="D242" t="str">
        <f t="shared" si="3"/>
        <v>August</v>
      </c>
      <c r="E242" t="s">
        <v>32</v>
      </c>
      <c r="F242" t="s">
        <v>25</v>
      </c>
      <c r="G242" t="s">
        <v>92</v>
      </c>
      <c r="H242" t="s">
        <v>27</v>
      </c>
      <c r="I242" t="s">
        <v>20</v>
      </c>
      <c r="J242" t="s">
        <v>21</v>
      </c>
      <c r="K242">
        <v>1</v>
      </c>
      <c r="L242">
        <v>2660.59</v>
      </c>
      <c r="M242">
        <v>0</v>
      </c>
      <c r="N242">
        <v>2660.59</v>
      </c>
      <c r="O242" t="s">
        <v>29</v>
      </c>
    </row>
    <row r="243" spans="1:15" x14ac:dyDescent="0.3">
      <c r="A243" t="s">
        <v>311</v>
      </c>
      <c r="B243" s="2">
        <v>45533</v>
      </c>
      <c r="C243" t="s">
        <v>38</v>
      </c>
      <c r="D243" t="str">
        <f t="shared" si="3"/>
        <v>August</v>
      </c>
      <c r="E243" t="s">
        <v>50</v>
      </c>
      <c r="F243" t="s">
        <v>60</v>
      </c>
      <c r="G243" t="s">
        <v>78</v>
      </c>
      <c r="H243" t="s">
        <v>27</v>
      </c>
      <c r="I243" t="s">
        <v>20</v>
      </c>
      <c r="J243" t="s">
        <v>28</v>
      </c>
      <c r="K243">
        <v>2</v>
      </c>
      <c r="L243">
        <v>35962.32</v>
      </c>
      <c r="M243">
        <v>0</v>
      </c>
      <c r="N243">
        <v>71924.63</v>
      </c>
      <c r="O243" t="s">
        <v>29</v>
      </c>
    </row>
    <row r="244" spans="1:15" x14ac:dyDescent="0.3">
      <c r="A244" t="s">
        <v>312</v>
      </c>
      <c r="B244" s="2">
        <v>45534</v>
      </c>
      <c r="C244" t="s">
        <v>58</v>
      </c>
      <c r="D244" t="str">
        <f t="shared" si="3"/>
        <v>August</v>
      </c>
      <c r="E244" t="s">
        <v>77</v>
      </c>
      <c r="F244" t="s">
        <v>25</v>
      </c>
      <c r="G244" t="s">
        <v>92</v>
      </c>
      <c r="H244" t="s">
        <v>19</v>
      </c>
      <c r="I244" t="s">
        <v>20</v>
      </c>
      <c r="J244" t="s">
        <v>21</v>
      </c>
      <c r="K244">
        <v>1</v>
      </c>
      <c r="L244">
        <v>3021.08</v>
      </c>
      <c r="M244">
        <v>15</v>
      </c>
      <c r="N244">
        <v>2567.92</v>
      </c>
      <c r="O244" t="s">
        <v>29</v>
      </c>
    </row>
    <row r="245" spans="1:15" x14ac:dyDescent="0.3">
      <c r="A245" t="s">
        <v>313</v>
      </c>
      <c r="B245" s="2">
        <v>45535</v>
      </c>
      <c r="C245" t="s">
        <v>58</v>
      </c>
      <c r="D245" t="str">
        <f t="shared" si="3"/>
        <v>August</v>
      </c>
      <c r="E245" t="s">
        <v>24</v>
      </c>
      <c r="F245" t="s">
        <v>17</v>
      </c>
      <c r="G245" t="s">
        <v>123</v>
      </c>
      <c r="H245" t="s">
        <v>45</v>
      </c>
      <c r="I245" t="s">
        <v>42</v>
      </c>
      <c r="J245" t="s">
        <v>35</v>
      </c>
      <c r="K245">
        <v>5</v>
      </c>
      <c r="L245">
        <v>55778.01</v>
      </c>
      <c r="M245">
        <v>20</v>
      </c>
      <c r="N245">
        <v>223112.04</v>
      </c>
      <c r="O245" t="s">
        <v>29</v>
      </c>
    </row>
    <row r="246" spans="1:15" x14ac:dyDescent="0.3">
      <c r="A246" t="s">
        <v>314</v>
      </c>
      <c r="B246" s="2">
        <v>45536</v>
      </c>
      <c r="C246" t="s">
        <v>38</v>
      </c>
      <c r="D246" t="str">
        <f t="shared" si="3"/>
        <v>September</v>
      </c>
      <c r="E246" t="s">
        <v>39</v>
      </c>
      <c r="F246" t="s">
        <v>53</v>
      </c>
      <c r="G246" t="s">
        <v>105</v>
      </c>
      <c r="H246" t="s">
        <v>27</v>
      </c>
      <c r="I246" t="s">
        <v>34</v>
      </c>
      <c r="J246" t="s">
        <v>35</v>
      </c>
      <c r="K246">
        <v>1</v>
      </c>
      <c r="L246">
        <v>24546.38</v>
      </c>
      <c r="M246">
        <v>15</v>
      </c>
      <c r="N246">
        <v>20864.43</v>
      </c>
      <c r="O246" t="s">
        <v>47</v>
      </c>
    </row>
    <row r="247" spans="1:15" x14ac:dyDescent="0.3">
      <c r="A247" t="s">
        <v>315</v>
      </c>
      <c r="B247" s="2">
        <v>45537</v>
      </c>
      <c r="C247" t="s">
        <v>58</v>
      </c>
      <c r="D247" t="str">
        <f t="shared" si="3"/>
        <v>September</v>
      </c>
      <c r="E247" t="s">
        <v>24</v>
      </c>
      <c r="F247" t="s">
        <v>53</v>
      </c>
      <c r="G247" t="s">
        <v>129</v>
      </c>
      <c r="H247" t="s">
        <v>33</v>
      </c>
      <c r="I247" t="s">
        <v>34</v>
      </c>
      <c r="J247" t="s">
        <v>21</v>
      </c>
      <c r="K247">
        <v>2</v>
      </c>
      <c r="L247">
        <v>27821.95</v>
      </c>
      <c r="M247">
        <v>20</v>
      </c>
      <c r="N247">
        <v>44515.11</v>
      </c>
      <c r="O247" t="s">
        <v>47</v>
      </c>
    </row>
    <row r="248" spans="1:15" x14ac:dyDescent="0.3">
      <c r="A248" t="s">
        <v>316</v>
      </c>
      <c r="B248" s="2">
        <v>45538</v>
      </c>
      <c r="C248" t="s">
        <v>38</v>
      </c>
      <c r="D248" t="str">
        <f t="shared" si="3"/>
        <v>September</v>
      </c>
      <c r="E248" t="s">
        <v>77</v>
      </c>
      <c r="F248" t="s">
        <v>40</v>
      </c>
      <c r="G248" t="s">
        <v>41</v>
      </c>
      <c r="H248" t="s">
        <v>33</v>
      </c>
      <c r="I248" t="s">
        <v>42</v>
      </c>
      <c r="J248" t="s">
        <v>28</v>
      </c>
      <c r="K248">
        <v>3</v>
      </c>
      <c r="L248">
        <v>7385.48</v>
      </c>
      <c r="M248">
        <v>5</v>
      </c>
      <c r="N248">
        <v>21048.62</v>
      </c>
      <c r="O248" t="s">
        <v>47</v>
      </c>
    </row>
    <row r="249" spans="1:15" x14ac:dyDescent="0.3">
      <c r="A249" t="s">
        <v>317</v>
      </c>
      <c r="B249" s="2">
        <v>45539</v>
      </c>
      <c r="C249" t="s">
        <v>58</v>
      </c>
      <c r="D249" t="str">
        <f t="shared" si="3"/>
        <v>September</v>
      </c>
      <c r="E249" t="s">
        <v>100</v>
      </c>
      <c r="F249" t="s">
        <v>53</v>
      </c>
      <c r="G249" t="s">
        <v>54</v>
      </c>
      <c r="H249" t="s">
        <v>27</v>
      </c>
      <c r="I249" t="s">
        <v>42</v>
      </c>
      <c r="J249" t="s">
        <v>28</v>
      </c>
      <c r="K249">
        <v>3</v>
      </c>
      <c r="L249">
        <v>34090.82</v>
      </c>
      <c r="M249">
        <v>10</v>
      </c>
      <c r="N249">
        <v>92045.2</v>
      </c>
      <c r="O249" t="s">
        <v>36</v>
      </c>
    </row>
    <row r="250" spans="1:15" x14ac:dyDescent="0.3">
      <c r="A250" t="s">
        <v>318</v>
      </c>
      <c r="B250" s="2">
        <v>45540</v>
      </c>
      <c r="C250" t="s">
        <v>49</v>
      </c>
      <c r="D250" t="str">
        <f t="shared" si="3"/>
        <v>September</v>
      </c>
      <c r="E250" t="s">
        <v>100</v>
      </c>
      <c r="F250" t="s">
        <v>53</v>
      </c>
      <c r="G250" t="s">
        <v>105</v>
      </c>
      <c r="H250" t="s">
        <v>33</v>
      </c>
      <c r="I250" t="s">
        <v>42</v>
      </c>
      <c r="J250" t="s">
        <v>21</v>
      </c>
      <c r="K250">
        <v>5</v>
      </c>
      <c r="L250">
        <v>39378.050000000003</v>
      </c>
      <c r="M250">
        <v>0</v>
      </c>
      <c r="N250">
        <v>196890.26</v>
      </c>
      <c r="O250" t="s">
        <v>29</v>
      </c>
    </row>
    <row r="251" spans="1:15" x14ac:dyDescent="0.3">
      <c r="A251" t="s">
        <v>319</v>
      </c>
      <c r="B251" s="2">
        <v>45541</v>
      </c>
      <c r="C251" t="s">
        <v>15</v>
      </c>
      <c r="D251" t="str">
        <f t="shared" si="3"/>
        <v>September</v>
      </c>
      <c r="E251" t="s">
        <v>24</v>
      </c>
      <c r="F251" t="s">
        <v>17</v>
      </c>
      <c r="G251" t="s">
        <v>18</v>
      </c>
      <c r="H251" t="s">
        <v>19</v>
      </c>
      <c r="I251" t="s">
        <v>20</v>
      </c>
      <c r="J251" t="s">
        <v>46</v>
      </c>
      <c r="K251">
        <v>1</v>
      </c>
      <c r="L251">
        <v>51099.7</v>
      </c>
      <c r="M251">
        <v>5</v>
      </c>
      <c r="N251">
        <v>48544.71</v>
      </c>
      <c r="O251" t="s">
        <v>36</v>
      </c>
    </row>
    <row r="252" spans="1:15" x14ac:dyDescent="0.3">
      <c r="A252" t="s">
        <v>320</v>
      </c>
      <c r="B252" s="2">
        <v>45542</v>
      </c>
      <c r="C252" t="s">
        <v>38</v>
      </c>
      <c r="D252" t="str">
        <f t="shared" si="3"/>
        <v>September</v>
      </c>
      <c r="E252" t="s">
        <v>72</v>
      </c>
      <c r="F252" t="s">
        <v>17</v>
      </c>
      <c r="G252" t="s">
        <v>67</v>
      </c>
      <c r="H252" t="s">
        <v>45</v>
      </c>
      <c r="I252" t="s">
        <v>34</v>
      </c>
      <c r="J252" t="s">
        <v>28</v>
      </c>
      <c r="K252">
        <v>1</v>
      </c>
      <c r="L252">
        <v>71033.3</v>
      </c>
      <c r="M252">
        <v>5</v>
      </c>
      <c r="N252">
        <v>67481.63</v>
      </c>
      <c r="O252" t="s">
        <v>22</v>
      </c>
    </row>
    <row r="253" spans="1:15" x14ac:dyDescent="0.3">
      <c r="A253" t="s">
        <v>321</v>
      </c>
      <c r="B253" s="2">
        <v>45543</v>
      </c>
      <c r="C253" t="s">
        <v>58</v>
      </c>
      <c r="D253" t="str">
        <f t="shared" si="3"/>
        <v>September</v>
      </c>
      <c r="E253" t="s">
        <v>16</v>
      </c>
      <c r="F253" t="s">
        <v>40</v>
      </c>
      <c r="G253" t="s">
        <v>115</v>
      </c>
      <c r="H253" t="s">
        <v>19</v>
      </c>
      <c r="I253" t="s">
        <v>42</v>
      </c>
      <c r="J253" t="s">
        <v>43</v>
      </c>
      <c r="K253">
        <v>5</v>
      </c>
      <c r="L253">
        <v>7969.02</v>
      </c>
      <c r="M253">
        <v>10</v>
      </c>
      <c r="N253">
        <v>35860.589999999997</v>
      </c>
      <c r="O253" t="s">
        <v>47</v>
      </c>
    </row>
    <row r="254" spans="1:15" x14ac:dyDescent="0.3">
      <c r="A254" t="s">
        <v>322</v>
      </c>
      <c r="B254" s="2">
        <v>45544</v>
      </c>
      <c r="C254" t="s">
        <v>15</v>
      </c>
      <c r="D254" t="str">
        <f t="shared" si="3"/>
        <v>September</v>
      </c>
      <c r="E254" t="s">
        <v>52</v>
      </c>
      <c r="F254" t="s">
        <v>60</v>
      </c>
      <c r="G254" t="s">
        <v>78</v>
      </c>
      <c r="H254" t="s">
        <v>27</v>
      </c>
      <c r="I254" t="s">
        <v>20</v>
      </c>
      <c r="J254" t="s">
        <v>43</v>
      </c>
      <c r="K254">
        <v>5</v>
      </c>
      <c r="L254">
        <v>33347.449999999997</v>
      </c>
      <c r="M254">
        <v>0</v>
      </c>
      <c r="N254">
        <v>166737.23000000001</v>
      </c>
      <c r="O254" t="s">
        <v>29</v>
      </c>
    </row>
    <row r="255" spans="1:15" x14ac:dyDescent="0.3">
      <c r="A255" t="s">
        <v>323</v>
      </c>
      <c r="B255" s="2">
        <v>45545</v>
      </c>
      <c r="C255" t="s">
        <v>49</v>
      </c>
      <c r="D255" t="str">
        <f t="shared" si="3"/>
        <v>September</v>
      </c>
      <c r="E255" t="s">
        <v>100</v>
      </c>
      <c r="F255" t="s">
        <v>25</v>
      </c>
      <c r="G255" t="s">
        <v>92</v>
      </c>
      <c r="H255" t="s">
        <v>27</v>
      </c>
      <c r="I255" t="s">
        <v>42</v>
      </c>
      <c r="J255" t="s">
        <v>28</v>
      </c>
      <c r="K255">
        <v>5</v>
      </c>
      <c r="L255">
        <v>3037.46</v>
      </c>
      <c r="M255">
        <v>15</v>
      </c>
      <c r="N255">
        <v>12909.19</v>
      </c>
      <c r="O255" t="s">
        <v>36</v>
      </c>
    </row>
    <row r="256" spans="1:15" x14ac:dyDescent="0.3">
      <c r="A256" t="s">
        <v>324</v>
      </c>
      <c r="B256" s="2">
        <v>45546</v>
      </c>
      <c r="C256" t="s">
        <v>31</v>
      </c>
      <c r="D256" t="str">
        <f t="shared" si="3"/>
        <v>September</v>
      </c>
      <c r="E256" t="s">
        <v>39</v>
      </c>
      <c r="F256" t="s">
        <v>40</v>
      </c>
      <c r="G256" t="s">
        <v>115</v>
      </c>
      <c r="H256" t="s">
        <v>45</v>
      </c>
      <c r="I256" t="s">
        <v>20</v>
      </c>
      <c r="J256" t="s">
        <v>46</v>
      </c>
      <c r="K256">
        <v>3</v>
      </c>
      <c r="L256">
        <v>5252.39</v>
      </c>
      <c r="M256">
        <v>15</v>
      </c>
      <c r="N256">
        <v>13393.6</v>
      </c>
      <c r="O256" t="s">
        <v>47</v>
      </c>
    </row>
    <row r="257" spans="1:15" x14ac:dyDescent="0.3">
      <c r="A257" t="s">
        <v>325</v>
      </c>
      <c r="B257" s="2">
        <v>45547</v>
      </c>
      <c r="C257" t="s">
        <v>38</v>
      </c>
      <c r="D257" t="str">
        <f t="shared" si="3"/>
        <v>September</v>
      </c>
      <c r="E257" t="s">
        <v>39</v>
      </c>
      <c r="F257" t="s">
        <v>40</v>
      </c>
      <c r="G257" t="s">
        <v>75</v>
      </c>
      <c r="H257" t="s">
        <v>19</v>
      </c>
      <c r="I257" t="s">
        <v>42</v>
      </c>
      <c r="J257" t="s">
        <v>28</v>
      </c>
      <c r="K257">
        <v>5</v>
      </c>
      <c r="L257">
        <v>5018.03</v>
      </c>
      <c r="M257">
        <v>10</v>
      </c>
      <c r="N257">
        <v>22581.15</v>
      </c>
      <c r="O257" t="s">
        <v>47</v>
      </c>
    </row>
    <row r="258" spans="1:15" x14ac:dyDescent="0.3">
      <c r="A258" t="s">
        <v>326</v>
      </c>
      <c r="B258" s="2">
        <v>45548</v>
      </c>
      <c r="C258" t="s">
        <v>38</v>
      </c>
      <c r="D258" t="str">
        <f t="shared" si="3"/>
        <v>September</v>
      </c>
      <c r="E258" t="s">
        <v>50</v>
      </c>
      <c r="F258" t="s">
        <v>40</v>
      </c>
      <c r="G258" t="s">
        <v>118</v>
      </c>
      <c r="H258" t="s">
        <v>33</v>
      </c>
      <c r="I258" t="s">
        <v>42</v>
      </c>
      <c r="J258" t="s">
        <v>28</v>
      </c>
      <c r="K258">
        <v>3</v>
      </c>
      <c r="L258">
        <v>7984.93</v>
      </c>
      <c r="M258">
        <v>0</v>
      </c>
      <c r="N258">
        <v>23954.799999999999</v>
      </c>
      <c r="O258" t="s">
        <v>36</v>
      </c>
    </row>
    <row r="259" spans="1:15" x14ac:dyDescent="0.3">
      <c r="A259" t="s">
        <v>327</v>
      </c>
      <c r="B259" s="2">
        <v>45549</v>
      </c>
      <c r="C259" t="s">
        <v>31</v>
      </c>
      <c r="D259" t="str">
        <f t="shared" ref="D259:D322" si="4">TEXT(B259,"mmmm")</f>
        <v>September</v>
      </c>
      <c r="E259" t="s">
        <v>50</v>
      </c>
      <c r="F259" t="s">
        <v>40</v>
      </c>
      <c r="G259" t="s">
        <v>118</v>
      </c>
      <c r="H259" t="s">
        <v>45</v>
      </c>
      <c r="I259" t="s">
        <v>42</v>
      </c>
      <c r="J259" t="s">
        <v>46</v>
      </c>
      <c r="K259">
        <v>4</v>
      </c>
      <c r="L259">
        <v>5656.6</v>
      </c>
      <c r="M259">
        <v>15</v>
      </c>
      <c r="N259">
        <v>19232.43</v>
      </c>
      <c r="O259" t="s">
        <v>29</v>
      </c>
    </row>
    <row r="260" spans="1:15" x14ac:dyDescent="0.3">
      <c r="A260" t="s">
        <v>328</v>
      </c>
      <c r="B260" s="2">
        <v>45550</v>
      </c>
      <c r="C260" t="s">
        <v>58</v>
      </c>
      <c r="D260" t="str">
        <f t="shared" si="4"/>
        <v>September</v>
      </c>
      <c r="E260" t="s">
        <v>72</v>
      </c>
      <c r="F260" t="s">
        <v>40</v>
      </c>
      <c r="G260" t="s">
        <v>118</v>
      </c>
      <c r="H260" t="s">
        <v>19</v>
      </c>
      <c r="I260" t="s">
        <v>34</v>
      </c>
      <c r="J260" t="s">
        <v>35</v>
      </c>
      <c r="K260">
        <v>2</v>
      </c>
      <c r="L260">
        <v>7576.86</v>
      </c>
      <c r="M260">
        <v>10</v>
      </c>
      <c r="N260">
        <v>13638.35</v>
      </c>
      <c r="O260" t="s">
        <v>47</v>
      </c>
    </row>
    <row r="261" spans="1:15" x14ac:dyDescent="0.3">
      <c r="A261" t="s">
        <v>329</v>
      </c>
      <c r="B261" s="2">
        <v>45551</v>
      </c>
      <c r="C261" t="s">
        <v>49</v>
      </c>
      <c r="D261" t="str">
        <f t="shared" si="4"/>
        <v>September</v>
      </c>
      <c r="E261" t="s">
        <v>16</v>
      </c>
      <c r="F261" t="s">
        <v>40</v>
      </c>
      <c r="G261" t="s">
        <v>41</v>
      </c>
      <c r="H261" t="s">
        <v>45</v>
      </c>
      <c r="I261" t="s">
        <v>20</v>
      </c>
      <c r="J261" t="s">
        <v>35</v>
      </c>
      <c r="K261">
        <v>5</v>
      </c>
      <c r="L261">
        <v>5578.88</v>
      </c>
      <c r="M261">
        <v>5</v>
      </c>
      <c r="N261">
        <v>26499.66</v>
      </c>
      <c r="O261" t="s">
        <v>36</v>
      </c>
    </row>
    <row r="262" spans="1:15" x14ac:dyDescent="0.3">
      <c r="A262" t="s">
        <v>330</v>
      </c>
      <c r="B262" s="2">
        <v>45552</v>
      </c>
      <c r="C262" t="s">
        <v>31</v>
      </c>
      <c r="D262" t="str">
        <f t="shared" si="4"/>
        <v>September</v>
      </c>
      <c r="E262" t="s">
        <v>39</v>
      </c>
      <c r="F262" t="s">
        <v>60</v>
      </c>
      <c r="G262" t="s">
        <v>78</v>
      </c>
      <c r="H262" t="s">
        <v>45</v>
      </c>
      <c r="I262" t="s">
        <v>34</v>
      </c>
      <c r="J262" t="s">
        <v>35</v>
      </c>
      <c r="K262">
        <v>4</v>
      </c>
      <c r="L262">
        <v>41620.26</v>
      </c>
      <c r="M262">
        <v>15</v>
      </c>
      <c r="N262">
        <v>141508.87</v>
      </c>
      <c r="O262" t="s">
        <v>47</v>
      </c>
    </row>
    <row r="263" spans="1:15" x14ac:dyDescent="0.3">
      <c r="A263" t="s">
        <v>331</v>
      </c>
      <c r="B263" s="2">
        <v>45553</v>
      </c>
      <c r="C263" t="s">
        <v>38</v>
      </c>
      <c r="D263" t="str">
        <f t="shared" si="4"/>
        <v>September</v>
      </c>
      <c r="E263" t="s">
        <v>24</v>
      </c>
      <c r="F263" t="s">
        <v>60</v>
      </c>
      <c r="G263" t="s">
        <v>61</v>
      </c>
      <c r="H263" t="s">
        <v>45</v>
      </c>
      <c r="I263" t="s">
        <v>34</v>
      </c>
      <c r="J263" t="s">
        <v>21</v>
      </c>
      <c r="K263">
        <v>3</v>
      </c>
      <c r="L263">
        <v>38046.639999999999</v>
      </c>
      <c r="M263">
        <v>0</v>
      </c>
      <c r="N263">
        <v>114139.92</v>
      </c>
      <c r="O263" t="s">
        <v>36</v>
      </c>
    </row>
    <row r="264" spans="1:15" x14ac:dyDescent="0.3">
      <c r="A264" t="s">
        <v>332</v>
      </c>
      <c r="B264" s="2">
        <v>45554</v>
      </c>
      <c r="C264" t="s">
        <v>31</v>
      </c>
      <c r="D264" t="str">
        <f t="shared" si="4"/>
        <v>September</v>
      </c>
      <c r="E264" t="s">
        <v>32</v>
      </c>
      <c r="F264" t="s">
        <v>25</v>
      </c>
      <c r="G264" t="s">
        <v>26</v>
      </c>
      <c r="H264" t="s">
        <v>33</v>
      </c>
      <c r="I264" t="s">
        <v>42</v>
      </c>
      <c r="J264" t="s">
        <v>43</v>
      </c>
      <c r="K264">
        <v>5</v>
      </c>
      <c r="L264">
        <v>2521.6999999999998</v>
      </c>
      <c r="M264">
        <v>10</v>
      </c>
      <c r="N264">
        <v>11347.65</v>
      </c>
      <c r="O264" t="s">
        <v>22</v>
      </c>
    </row>
    <row r="265" spans="1:15" x14ac:dyDescent="0.3">
      <c r="A265" t="s">
        <v>333</v>
      </c>
      <c r="B265" s="2">
        <v>45555</v>
      </c>
      <c r="C265" t="s">
        <v>38</v>
      </c>
      <c r="D265" t="str">
        <f t="shared" si="4"/>
        <v>September</v>
      </c>
      <c r="E265" t="s">
        <v>100</v>
      </c>
      <c r="F265" t="s">
        <v>40</v>
      </c>
      <c r="G265" t="s">
        <v>75</v>
      </c>
      <c r="H265" t="s">
        <v>45</v>
      </c>
      <c r="I265" t="s">
        <v>42</v>
      </c>
      <c r="J265" t="s">
        <v>21</v>
      </c>
      <c r="K265">
        <v>1</v>
      </c>
      <c r="L265">
        <v>8037.6</v>
      </c>
      <c r="M265">
        <v>15</v>
      </c>
      <c r="N265">
        <v>6831.96</v>
      </c>
      <c r="O265" t="s">
        <v>47</v>
      </c>
    </row>
    <row r="266" spans="1:15" x14ac:dyDescent="0.3">
      <c r="A266" t="s">
        <v>334</v>
      </c>
      <c r="B266" s="2">
        <v>45556</v>
      </c>
      <c r="C266" t="s">
        <v>49</v>
      </c>
      <c r="D266" t="str">
        <f t="shared" si="4"/>
        <v>September</v>
      </c>
      <c r="E266" t="s">
        <v>24</v>
      </c>
      <c r="F266" t="s">
        <v>60</v>
      </c>
      <c r="G266" t="s">
        <v>61</v>
      </c>
      <c r="H266" t="s">
        <v>27</v>
      </c>
      <c r="I266" t="s">
        <v>20</v>
      </c>
      <c r="J266" t="s">
        <v>43</v>
      </c>
      <c r="K266">
        <v>2</v>
      </c>
      <c r="L266">
        <v>50237.62</v>
      </c>
      <c r="M266">
        <v>5</v>
      </c>
      <c r="N266">
        <v>95451.47</v>
      </c>
      <c r="O266" t="s">
        <v>36</v>
      </c>
    </row>
    <row r="267" spans="1:15" x14ac:dyDescent="0.3">
      <c r="A267" t="s">
        <v>335</v>
      </c>
      <c r="B267" s="2">
        <v>45557</v>
      </c>
      <c r="C267" t="s">
        <v>58</v>
      </c>
      <c r="D267" t="str">
        <f t="shared" si="4"/>
        <v>September</v>
      </c>
      <c r="E267" t="s">
        <v>16</v>
      </c>
      <c r="F267" t="s">
        <v>40</v>
      </c>
      <c r="G267" t="s">
        <v>118</v>
      </c>
      <c r="H267" t="s">
        <v>33</v>
      </c>
      <c r="I267" t="s">
        <v>20</v>
      </c>
      <c r="J267" t="s">
        <v>46</v>
      </c>
      <c r="K267">
        <v>4</v>
      </c>
      <c r="L267">
        <v>7084.92</v>
      </c>
      <c r="M267">
        <v>15</v>
      </c>
      <c r="N267">
        <v>24088.73</v>
      </c>
      <c r="O267" t="s">
        <v>36</v>
      </c>
    </row>
    <row r="268" spans="1:15" x14ac:dyDescent="0.3">
      <c r="A268" t="s">
        <v>336</v>
      </c>
      <c r="B268" s="2">
        <v>45558</v>
      </c>
      <c r="C268" t="s">
        <v>38</v>
      </c>
      <c r="D268" t="str">
        <f t="shared" si="4"/>
        <v>September</v>
      </c>
      <c r="E268" t="s">
        <v>77</v>
      </c>
      <c r="F268" t="s">
        <v>60</v>
      </c>
      <c r="G268" t="s">
        <v>61</v>
      </c>
      <c r="H268" t="s">
        <v>45</v>
      </c>
      <c r="I268" t="s">
        <v>34</v>
      </c>
      <c r="J268" t="s">
        <v>21</v>
      </c>
      <c r="K268">
        <v>5</v>
      </c>
      <c r="L268">
        <v>45069.82</v>
      </c>
      <c r="M268">
        <v>0</v>
      </c>
      <c r="N268">
        <v>225349.12</v>
      </c>
      <c r="O268" t="s">
        <v>47</v>
      </c>
    </row>
    <row r="269" spans="1:15" x14ac:dyDescent="0.3">
      <c r="A269" t="s">
        <v>337</v>
      </c>
      <c r="B269" s="2">
        <v>45559</v>
      </c>
      <c r="C269" t="s">
        <v>15</v>
      </c>
      <c r="D269" t="str">
        <f t="shared" si="4"/>
        <v>September</v>
      </c>
      <c r="E269" t="s">
        <v>24</v>
      </c>
      <c r="F269" t="s">
        <v>60</v>
      </c>
      <c r="G269" t="s">
        <v>78</v>
      </c>
      <c r="H269" t="s">
        <v>33</v>
      </c>
      <c r="I269" t="s">
        <v>34</v>
      </c>
      <c r="J269" t="s">
        <v>28</v>
      </c>
      <c r="K269">
        <v>1</v>
      </c>
      <c r="L269">
        <v>45014.46</v>
      </c>
      <c r="M269">
        <v>5</v>
      </c>
      <c r="N269">
        <v>42763.74</v>
      </c>
      <c r="O269" t="s">
        <v>36</v>
      </c>
    </row>
    <row r="270" spans="1:15" x14ac:dyDescent="0.3">
      <c r="A270" t="s">
        <v>338</v>
      </c>
      <c r="B270" s="2">
        <v>45560</v>
      </c>
      <c r="C270" t="s">
        <v>49</v>
      </c>
      <c r="D270" t="str">
        <f t="shared" si="4"/>
        <v>September</v>
      </c>
      <c r="E270" t="s">
        <v>100</v>
      </c>
      <c r="F270" t="s">
        <v>53</v>
      </c>
      <c r="G270" t="s">
        <v>54</v>
      </c>
      <c r="H270" t="s">
        <v>33</v>
      </c>
      <c r="I270" t="s">
        <v>42</v>
      </c>
      <c r="J270" t="s">
        <v>43</v>
      </c>
      <c r="K270">
        <v>3</v>
      </c>
      <c r="L270">
        <v>38377.040000000001</v>
      </c>
      <c r="M270">
        <v>20</v>
      </c>
      <c r="N270">
        <v>92104.9</v>
      </c>
      <c r="O270" t="s">
        <v>47</v>
      </c>
    </row>
    <row r="271" spans="1:15" x14ac:dyDescent="0.3">
      <c r="A271" t="s">
        <v>339</v>
      </c>
      <c r="B271" s="2">
        <v>45561</v>
      </c>
      <c r="C271" t="s">
        <v>15</v>
      </c>
      <c r="D271" t="str">
        <f t="shared" si="4"/>
        <v>September</v>
      </c>
      <c r="E271" t="s">
        <v>50</v>
      </c>
      <c r="F271" t="s">
        <v>53</v>
      </c>
      <c r="G271" t="s">
        <v>54</v>
      </c>
      <c r="H271" t="s">
        <v>19</v>
      </c>
      <c r="I271" t="s">
        <v>42</v>
      </c>
      <c r="J271" t="s">
        <v>21</v>
      </c>
      <c r="K271">
        <v>3</v>
      </c>
      <c r="L271">
        <v>30851.83</v>
      </c>
      <c r="M271">
        <v>20</v>
      </c>
      <c r="N271">
        <v>74044.39</v>
      </c>
      <c r="O271" t="s">
        <v>22</v>
      </c>
    </row>
    <row r="272" spans="1:15" x14ac:dyDescent="0.3">
      <c r="A272" t="s">
        <v>340</v>
      </c>
      <c r="B272" s="2">
        <v>45562</v>
      </c>
      <c r="C272" t="s">
        <v>15</v>
      </c>
      <c r="D272" t="str">
        <f t="shared" si="4"/>
        <v>September</v>
      </c>
      <c r="E272" t="s">
        <v>16</v>
      </c>
      <c r="F272" t="s">
        <v>40</v>
      </c>
      <c r="G272" t="s">
        <v>118</v>
      </c>
      <c r="H272" t="s">
        <v>33</v>
      </c>
      <c r="I272" t="s">
        <v>42</v>
      </c>
      <c r="J272" t="s">
        <v>43</v>
      </c>
      <c r="K272">
        <v>2</v>
      </c>
      <c r="L272">
        <v>8019.51</v>
      </c>
      <c r="M272">
        <v>15</v>
      </c>
      <c r="N272">
        <v>13633.17</v>
      </c>
      <c r="O272" t="s">
        <v>47</v>
      </c>
    </row>
    <row r="273" spans="1:15" x14ac:dyDescent="0.3">
      <c r="A273" t="s">
        <v>341</v>
      </c>
      <c r="B273" s="2">
        <v>45563</v>
      </c>
      <c r="C273" t="s">
        <v>15</v>
      </c>
      <c r="D273" t="str">
        <f t="shared" si="4"/>
        <v>September</v>
      </c>
      <c r="E273" t="s">
        <v>100</v>
      </c>
      <c r="F273" t="s">
        <v>17</v>
      </c>
      <c r="G273" t="s">
        <v>67</v>
      </c>
      <c r="H273" t="s">
        <v>33</v>
      </c>
      <c r="I273" t="s">
        <v>20</v>
      </c>
      <c r="J273" t="s">
        <v>35</v>
      </c>
      <c r="K273">
        <v>3</v>
      </c>
      <c r="L273">
        <v>51849.65</v>
      </c>
      <c r="M273">
        <v>10</v>
      </c>
      <c r="N273">
        <v>139994.06</v>
      </c>
      <c r="O273" t="s">
        <v>47</v>
      </c>
    </row>
    <row r="274" spans="1:15" x14ac:dyDescent="0.3">
      <c r="A274" t="s">
        <v>342</v>
      </c>
      <c r="B274" s="2">
        <v>45564</v>
      </c>
      <c r="C274" t="s">
        <v>38</v>
      </c>
      <c r="D274" t="str">
        <f t="shared" si="4"/>
        <v>September</v>
      </c>
      <c r="E274" t="s">
        <v>32</v>
      </c>
      <c r="F274" t="s">
        <v>25</v>
      </c>
      <c r="G274" t="s">
        <v>26</v>
      </c>
      <c r="H274" t="s">
        <v>33</v>
      </c>
      <c r="I274" t="s">
        <v>34</v>
      </c>
      <c r="J274" t="s">
        <v>43</v>
      </c>
      <c r="K274">
        <v>2</v>
      </c>
      <c r="L274">
        <v>2983.08</v>
      </c>
      <c r="M274">
        <v>5</v>
      </c>
      <c r="N274">
        <v>5667.85</v>
      </c>
      <c r="O274" t="s">
        <v>47</v>
      </c>
    </row>
    <row r="275" spans="1:15" x14ac:dyDescent="0.3">
      <c r="A275" t="s">
        <v>343</v>
      </c>
      <c r="B275" s="2">
        <v>45565</v>
      </c>
      <c r="C275" t="s">
        <v>31</v>
      </c>
      <c r="D275" t="str">
        <f t="shared" si="4"/>
        <v>September</v>
      </c>
      <c r="E275" t="s">
        <v>16</v>
      </c>
      <c r="F275" t="s">
        <v>25</v>
      </c>
      <c r="G275" t="s">
        <v>81</v>
      </c>
      <c r="H275" t="s">
        <v>27</v>
      </c>
      <c r="I275" t="s">
        <v>34</v>
      </c>
      <c r="J275" t="s">
        <v>21</v>
      </c>
      <c r="K275">
        <v>3</v>
      </c>
      <c r="L275">
        <v>2895.46</v>
      </c>
      <c r="M275">
        <v>0</v>
      </c>
      <c r="N275">
        <v>8686.3799999999992</v>
      </c>
      <c r="O275" t="s">
        <v>22</v>
      </c>
    </row>
    <row r="276" spans="1:15" x14ac:dyDescent="0.3">
      <c r="A276" t="s">
        <v>344</v>
      </c>
      <c r="B276" s="2">
        <v>45566</v>
      </c>
      <c r="C276" t="s">
        <v>49</v>
      </c>
      <c r="D276" t="str">
        <f t="shared" si="4"/>
        <v>October</v>
      </c>
      <c r="E276" t="s">
        <v>77</v>
      </c>
      <c r="F276" t="s">
        <v>25</v>
      </c>
      <c r="G276" t="s">
        <v>81</v>
      </c>
      <c r="H276" t="s">
        <v>33</v>
      </c>
      <c r="I276" t="s">
        <v>20</v>
      </c>
      <c r="J276" t="s">
        <v>21</v>
      </c>
      <c r="K276">
        <v>4</v>
      </c>
      <c r="L276">
        <v>2194.59</v>
      </c>
      <c r="M276">
        <v>0</v>
      </c>
      <c r="N276">
        <v>8778.36</v>
      </c>
      <c r="O276" t="s">
        <v>29</v>
      </c>
    </row>
    <row r="277" spans="1:15" x14ac:dyDescent="0.3">
      <c r="A277" t="s">
        <v>345</v>
      </c>
      <c r="B277" s="2">
        <v>45567</v>
      </c>
      <c r="C277" t="s">
        <v>49</v>
      </c>
      <c r="D277" t="str">
        <f t="shared" si="4"/>
        <v>October</v>
      </c>
      <c r="E277" t="s">
        <v>39</v>
      </c>
      <c r="F277" t="s">
        <v>53</v>
      </c>
      <c r="G277" t="s">
        <v>54</v>
      </c>
      <c r="H277" t="s">
        <v>19</v>
      </c>
      <c r="I277" t="s">
        <v>34</v>
      </c>
      <c r="J277" t="s">
        <v>28</v>
      </c>
      <c r="K277">
        <v>3</v>
      </c>
      <c r="L277">
        <v>36859.050000000003</v>
      </c>
      <c r="M277">
        <v>20</v>
      </c>
      <c r="N277">
        <v>88461.72</v>
      </c>
      <c r="O277" t="s">
        <v>29</v>
      </c>
    </row>
    <row r="278" spans="1:15" x14ac:dyDescent="0.3">
      <c r="A278" t="s">
        <v>346</v>
      </c>
      <c r="B278" s="2">
        <v>45568</v>
      </c>
      <c r="C278" t="s">
        <v>58</v>
      </c>
      <c r="D278" t="str">
        <f t="shared" si="4"/>
        <v>October</v>
      </c>
      <c r="E278" t="s">
        <v>16</v>
      </c>
      <c r="F278" t="s">
        <v>17</v>
      </c>
      <c r="G278" t="s">
        <v>63</v>
      </c>
      <c r="H278" t="s">
        <v>19</v>
      </c>
      <c r="I278" t="s">
        <v>20</v>
      </c>
      <c r="J278" t="s">
        <v>46</v>
      </c>
      <c r="K278">
        <v>3</v>
      </c>
      <c r="L278">
        <v>56658.68</v>
      </c>
      <c r="M278">
        <v>5</v>
      </c>
      <c r="N278">
        <v>161477.24</v>
      </c>
      <c r="O278" t="s">
        <v>29</v>
      </c>
    </row>
    <row r="279" spans="1:15" x14ac:dyDescent="0.3">
      <c r="A279" t="s">
        <v>347</v>
      </c>
      <c r="B279" s="2">
        <v>45569</v>
      </c>
      <c r="C279" t="s">
        <v>49</v>
      </c>
      <c r="D279" t="str">
        <f t="shared" si="4"/>
        <v>October</v>
      </c>
      <c r="E279" t="s">
        <v>16</v>
      </c>
      <c r="F279" t="s">
        <v>17</v>
      </c>
      <c r="G279" t="s">
        <v>63</v>
      </c>
      <c r="H279" t="s">
        <v>19</v>
      </c>
      <c r="I279" t="s">
        <v>34</v>
      </c>
      <c r="J279" t="s">
        <v>21</v>
      </c>
      <c r="K279">
        <v>1</v>
      </c>
      <c r="L279">
        <v>67170.98</v>
      </c>
      <c r="M279">
        <v>15</v>
      </c>
      <c r="N279">
        <v>57095.33</v>
      </c>
      <c r="O279" t="s">
        <v>47</v>
      </c>
    </row>
    <row r="280" spans="1:15" x14ac:dyDescent="0.3">
      <c r="A280" t="s">
        <v>348</v>
      </c>
      <c r="B280" s="2">
        <v>45570</v>
      </c>
      <c r="C280" t="s">
        <v>38</v>
      </c>
      <c r="D280" t="str">
        <f t="shared" si="4"/>
        <v>October</v>
      </c>
      <c r="E280" t="s">
        <v>52</v>
      </c>
      <c r="F280" t="s">
        <v>60</v>
      </c>
      <c r="G280" t="s">
        <v>61</v>
      </c>
      <c r="H280" t="s">
        <v>45</v>
      </c>
      <c r="I280" t="s">
        <v>34</v>
      </c>
      <c r="J280" t="s">
        <v>21</v>
      </c>
      <c r="K280">
        <v>3</v>
      </c>
      <c r="L280">
        <v>31973.61</v>
      </c>
      <c r="M280">
        <v>15</v>
      </c>
      <c r="N280">
        <v>81532.710000000006</v>
      </c>
      <c r="O280" t="s">
        <v>22</v>
      </c>
    </row>
    <row r="281" spans="1:15" x14ac:dyDescent="0.3">
      <c r="A281" t="s">
        <v>349</v>
      </c>
      <c r="B281" s="2">
        <v>45571</v>
      </c>
      <c r="C281" t="s">
        <v>58</v>
      </c>
      <c r="D281" t="str">
        <f t="shared" si="4"/>
        <v>October</v>
      </c>
      <c r="E281" t="s">
        <v>69</v>
      </c>
      <c r="F281" t="s">
        <v>40</v>
      </c>
      <c r="G281" t="s">
        <v>41</v>
      </c>
      <c r="H281" t="s">
        <v>19</v>
      </c>
      <c r="I281" t="s">
        <v>20</v>
      </c>
      <c r="J281" t="s">
        <v>28</v>
      </c>
      <c r="K281">
        <v>5</v>
      </c>
      <c r="L281">
        <v>7833</v>
      </c>
      <c r="M281">
        <v>10</v>
      </c>
      <c r="N281">
        <v>35248.519999999997</v>
      </c>
      <c r="O281" t="s">
        <v>47</v>
      </c>
    </row>
    <row r="282" spans="1:15" x14ac:dyDescent="0.3">
      <c r="A282" t="s">
        <v>350</v>
      </c>
      <c r="B282" s="2">
        <v>45572</v>
      </c>
      <c r="C282" t="s">
        <v>38</v>
      </c>
      <c r="D282" t="str">
        <f t="shared" si="4"/>
        <v>October</v>
      </c>
      <c r="E282" t="s">
        <v>72</v>
      </c>
      <c r="F282" t="s">
        <v>25</v>
      </c>
      <c r="G282" t="s">
        <v>81</v>
      </c>
      <c r="H282" t="s">
        <v>45</v>
      </c>
      <c r="I282" t="s">
        <v>20</v>
      </c>
      <c r="J282" t="s">
        <v>43</v>
      </c>
      <c r="K282">
        <v>4</v>
      </c>
      <c r="L282">
        <v>2807.9</v>
      </c>
      <c r="M282">
        <v>0</v>
      </c>
      <c r="N282">
        <v>11231.62</v>
      </c>
      <c r="O282" t="s">
        <v>47</v>
      </c>
    </row>
    <row r="283" spans="1:15" x14ac:dyDescent="0.3">
      <c r="A283" t="s">
        <v>351</v>
      </c>
      <c r="B283" s="2">
        <v>45573</v>
      </c>
      <c r="C283" t="s">
        <v>49</v>
      </c>
      <c r="D283" t="str">
        <f t="shared" si="4"/>
        <v>October</v>
      </c>
      <c r="E283" t="s">
        <v>100</v>
      </c>
      <c r="F283" t="s">
        <v>17</v>
      </c>
      <c r="G283" t="s">
        <v>63</v>
      </c>
      <c r="H283" t="s">
        <v>45</v>
      </c>
      <c r="I283" t="s">
        <v>34</v>
      </c>
      <c r="J283" t="s">
        <v>43</v>
      </c>
      <c r="K283">
        <v>2</v>
      </c>
      <c r="L283">
        <v>61299.19</v>
      </c>
      <c r="M283">
        <v>10</v>
      </c>
      <c r="N283">
        <v>110338.54</v>
      </c>
      <c r="O283" t="s">
        <v>29</v>
      </c>
    </row>
    <row r="284" spans="1:15" x14ac:dyDescent="0.3">
      <c r="A284" t="s">
        <v>352</v>
      </c>
      <c r="B284" s="2">
        <v>45574</v>
      </c>
      <c r="C284" t="s">
        <v>15</v>
      </c>
      <c r="D284" t="str">
        <f t="shared" si="4"/>
        <v>October</v>
      </c>
      <c r="E284" t="s">
        <v>100</v>
      </c>
      <c r="F284" t="s">
        <v>40</v>
      </c>
      <c r="G284" t="s">
        <v>41</v>
      </c>
      <c r="H284" t="s">
        <v>45</v>
      </c>
      <c r="I284" t="s">
        <v>42</v>
      </c>
      <c r="J284" t="s">
        <v>43</v>
      </c>
      <c r="K284">
        <v>3</v>
      </c>
      <c r="L284">
        <v>7360.51</v>
      </c>
      <c r="M284">
        <v>5</v>
      </c>
      <c r="N284">
        <v>20977.439999999999</v>
      </c>
      <c r="O284" t="s">
        <v>36</v>
      </c>
    </row>
    <row r="285" spans="1:15" x14ac:dyDescent="0.3">
      <c r="A285" t="s">
        <v>353</v>
      </c>
      <c r="B285" s="2">
        <v>45575</v>
      </c>
      <c r="C285" t="s">
        <v>49</v>
      </c>
      <c r="D285" t="str">
        <f t="shared" si="4"/>
        <v>October</v>
      </c>
      <c r="E285" t="s">
        <v>50</v>
      </c>
      <c r="F285" t="s">
        <v>40</v>
      </c>
      <c r="G285" t="s">
        <v>41</v>
      </c>
      <c r="H285" t="s">
        <v>19</v>
      </c>
      <c r="I285" t="s">
        <v>34</v>
      </c>
      <c r="J285" t="s">
        <v>35</v>
      </c>
      <c r="K285">
        <v>5</v>
      </c>
      <c r="L285">
        <v>7060.03</v>
      </c>
      <c r="M285">
        <v>0</v>
      </c>
      <c r="N285">
        <v>35300.15</v>
      </c>
      <c r="O285" t="s">
        <v>47</v>
      </c>
    </row>
    <row r="286" spans="1:15" x14ac:dyDescent="0.3">
      <c r="A286" t="s">
        <v>354</v>
      </c>
      <c r="B286" s="2">
        <v>45576</v>
      </c>
      <c r="C286" t="s">
        <v>31</v>
      </c>
      <c r="D286" t="str">
        <f t="shared" si="4"/>
        <v>October</v>
      </c>
      <c r="E286" t="s">
        <v>39</v>
      </c>
      <c r="F286" t="s">
        <v>40</v>
      </c>
      <c r="G286" t="s">
        <v>118</v>
      </c>
      <c r="H286" t="s">
        <v>19</v>
      </c>
      <c r="I286" t="s">
        <v>34</v>
      </c>
      <c r="J286" t="s">
        <v>21</v>
      </c>
      <c r="K286">
        <v>1</v>
      </c>
      <c r="L286">
        <v>4904.3500000000004</v>
      </c>
      <c r="M286">
        <v>10</v>
      </c>
      <c r="N286">
        <v>4413.91</v>
      </c>
      <c r="O286" t="s">
        <v>22</v>
      </c>
    </row>
    <row r="287" spans="1:15" x14ac:dyDescent="0.3">
      <c r="A287" t="s">
        <v>355</v>
      </c>
      <c r="B287" s="2">
        <v>45577</v>
      </c>
      <c r="C287" t="s">
        <v>15</v>
      </c>
      <c r="D287" t="str">
        <f t="shared" si="4"/>
        <v>October</v>
      </c>
      <c r="E287" t="s">
        <v>77</v>
      </c>
      <c r="F287" t="s">
        <v>40</v>
      </c>
      <c r="G287" t="s">
        <v>75</v>
      </c>
      <c r="H287" t="s">
        <v>45</v>
      </c>
      <c r="I287" t="s">
        <v>42</v>
      </c>
      <c r="J287" t="s">
        <v>46</v>
      </c>
      <c r="K287">
        <v>3</v>
      </c>
      <c r="L287">
        <v>7924.3</v>
      </c>
      <c r="M287">
        <v>15</v>
      </c>
      <c r="N287">
        <v>20206.95</v>
      </c>
      <c r="O287" t="s">
        <v>47</v>
      </c>
    </row>
    <row r="288" spans="1:15" x14ac:dyDescent="0.3">
      <c r="A288" t="s">
        <v>356</v>
      </c>
      <c r="B288" s="2">
        <v>45578</v>
      </c>
      <c r="C288" t="s">
        <v>38</v>
      </c>
      <c r="D288" t="str">
        <f t="shared" si="4"/>
        <v>October</v>
      </c>
      <c r="E288" t="s">
        <v>69</v>
      </c>
      <c r="F288" t="s">
        <v>60</v>
      </c>
      <c r="G288" t="s">
        <v>73</v>
      </c>
      <c r="H288" t="s">
        <v>45</v>
      </c>
      <c r="I288" t="s">
        <v>34</v>
      </c>
      <c r="J288" t="s">
        <v>21</v>
      </c>
      <c r="K288">
        <v>1</v>
      </c>
      <c r="L288">
        <v>34422.910000000003</v>
      </c>
      <c r="M288">
        <v>0</v>
      </c>
      <c r="N288">
        <v>34422.910000000003</v>
      </c>
      <c r="O288" t="s">
        <v>36</v>
      </c>
    </row>
    <row r="289" spans="1:15" x14ac:dyDescent="0.3">
      <c r="A289" t="s">
        <v>357</v>
      </c>
      <c r="B289" s="2">
        <v>45579</v>
      </c>
      <c r="C289" t="s">
        <v>49</v>
      </c>
      <c r="D289" t="str">
        <f t="shared" si="4"/>
        <v>October</v>
      </c>
      <c r="E289" t="s">
        <v>24</v>
      </c>
      <c r="F289" t="s">
        <v>53</v>
      </c>
      <c r="G289" t="s">
        <v>129</v>
      </c>
      <c r="H289" t="s">
        <v>33</v>
      </c>
      <c r="I289" t="s">
        <v>42</v>
      </c>
      <c r="J289" t="s">
        <v>43</v>
      </c>
      <c r="K289">
        <v>2</v>
      </c>
      <c r="L289">
        <v>37875.19</v>
      </c>
      <c r="M289">
        <v>15</v>
      </c>
      <c r="N289">
        <v>64387.82</v>
      </c>
      <c r="O289" t="s">
        <v>47</v>
      </c>
    </row>
    <row r="290" spans="1:15" x14ac:dyDescent="0.3">
      <c r="A290" t="s">
        <v>358</v>
      </c>
      <c r="B290" s="2">
        <v>45580</v>
      </c>
      <c r="C290" t="s">
        <v>49</v>
      </c>
      <c r="D290" t="str">
        <f t="shared" si="4"/>
        <v>October</v>
      </c>
      <c r="E290" t="s">
        <v>52</v>
      </c>
      <c r="F290" t="s">
        <v>40</v>
      </c>
      <c r="G290" t="s">
        <v>118</v>
      </c>
      <c r="H290" t="s">
        <v>45</v>
      </c>
      <c r="I290" t="s">
        <v>34</v>
      </c>
      <c r="J290" t="s">
        <v>43</v>
      </c>
      <c r="K290">
        <v>3</v>
      </c>
      <c r="L290">
        <v>6702.96</v>
      </c>
      <c r="M290">
        <v>5</v>
      </c>
      <c r="N290">
        <v>19103.43</v>
      </c>
      <c r="O290" t="s">
        <v>47</v>
      </c>
    </row>
    <row r="291" spans="1:15" x14ac:dyDescent="0.3">
      <c r="A291" t="s">
        <v>359</v>
      </c>
      <c r="B291" s="2">
        <v>45581</v>
      </c>
      <c r="C291" t="s">
        <v>31</v>
      </c>
      <c r="D291" t="str">
        <f t="shared" si="4"/>
        <v>October</v>
      </c>
      <c r="E291" t="s">
        <v>77</v>
      </c>
      <c r="F291" t="s">
        <v>40</v>
      </c>
      <c r="G291" t="s">
        <v>115</v>
      </c>
      <c r="H291" t="s">
        <v>33</v>
      </c>
      <c r="I291" t="s">
        <v>34</v>
      </c>
      <c r="J291" t="s">
        <v>28</v>
      </c>
      <c r="K291">
        <v>3</v>
      </c>
      <c r="L291">
        <v>5323.89</v>
      </c>
      <c r="M291">
        <v>20</v>
      </c>
      <c r="N291">
        <v>12777.34</v>
      </c>
      <c r="O291" t="s">
        <v>29</v>
      </c>
    </row>
    <row r="292" spans="1:15" x14ac:dyDescent="0.3">
      <c r="A292" t="s">
        <v>360</v>
      </c>
      <c r="B292" s="2">
        <v>45582</v>
      </c>
      <c r="C292" t="s">
        <v>38</v>
      </c>
      <c r="D292" t="str">
        <f t="shared" si="4"/>
        <v>October</v>
      </c>
      <c r="E292" t="s">
        <v>16</v>
      </c>
      <c r="F292" t="s">
        <v>25</v>
      </c>
      <c r="G292" t="s">
        <v>26</v>
      </c>
      <c r="H292" t="s">
        <v>33</v>
      </c>
      <c r="I292" t="s">
        <v>42</v>
      </c>
      <c r="J292" t="s">
        <v>46</v>
      </c>
      <c r="K292">
        <v>3</v>
      </c>
      <c r="L292">
        <v>2681.7</v>
      </c>
      <c r="M292">
        <v>10</v>
      </c>
      <c r="N292">
        <v>7240.6</v>
      </c>
      <c r="O292" t="s">
        <v>47</v>
      </c>
    </row>
    <row r="293" spans="1:15" x14ac:dyDescent="0.3">
      <c r="A293" t="s">
        <v>361</v>
      </c>
      <c r="B293" s="2">
        <v>45583</v>
      </c>
      <c r="C293" t="s">
        <v>15</v>
      </c>
      <c r="D293" t="str">
        <f t="shared" si="4"/>
        <v>October</v>
      </c>
      <c r="E293" t="s">
        <v>52</v>
      </c>
      <c r="F293" t="s">
        <v>53</v>
      </c>
      <c r="G293" t="s">
        <v>129</v>
      </c>
      <c r="H293" t="s">
        <v>45</v>
      </c>
      <c r="I293" t="s">
        <v>34</v>
      </c>
      <c r="J293" t="s">
        <v>28</v>
      </c>
      <c r="K293">
        <v>2</v>
      </c>
      <c r="L293">
        <v>33911.760000000002</v>
      </c>
      <c r="M293">
        <v>10</v>
      </c>
      <c r="N293">
        <v>61041.17</v>
      </c>
      <c r="O293" t="s">
        <v>36</v>
      </c>
    </row>
    <row r="294" spans="1:15" x14ac:dyDescent="0.3">
      <c r="A294" t="s">
        <v>362</v>
      </c>
      <c r="B294" s="2">
        <v>45584</v>
      </c>
      <c r="C294" t="s">
        <v>58</v>
      </c>
      <c r="D294" t="str">
        <f t="shared" si="4"/>
        <v>October</v>
      </c>
      <c r="E294" t="s">
        <v>77</v>
      </c>
      <c r="F294" t="s">
        <v>53</v>
      </c>
      <c r="G294" t="s">
        <v>65</v>
      </c>
      <c r="H294" t="s">
        <v>33</v>
      </c>
      <c r="I294" t="s">
        <v>20</v>
      </c>
      <c r="J294" t="s">
        <v>35</v>
      </c>
      <c r="K294">
        <v>3</v>
      </c>
      <c r="L294">
        <v>28195.47</v>
      </c>
      <c r="M294">
        <v>0</v>
      </c>
      <c r="N294">
        <v>84586.4</v>
      </c>
      <c r="O294" t="s">
        <v>47</v>
      </c>
    </row>
    <row r="295" spans="1:15" x14ac:dyDescent="0.3">
      <c r="A295" t="s">
        <v>363</v>
      </c>
      <c r="B295" s="2">
        <v>45585</v>
      </c>
      <c r="C295" t="s">
        <v>58</v>
      </c>
      <c r="D295" t="str">
        <f t="shared" si="4"/>
        <v>October</v>
      </c>
      <c r="E295" t="s">
        <v>24</v>
      </c>
      <c r="F295" t="s">
        <v>17</v>
      </c>
      <c r="G295" t="s">
        <v>18</v>
      </c>
      <c r="H295" t="s">
        <v>45</v>
      </c>
      <c r="I295" t="s">
        <v>42</v>
      </c>
      <c r="J295" t="s">
        <v>35</v>
      </c>
      <c r="K295">
        <v>1</v>
      </c>
      <c r="L295">
        <v>66775.839999999997</v>
      </c>
      <c r="M295">
        <v>5</v>
      </c>
      <c r="N295">
        <v>63437.04</v>
      </c>
      <c r="O295" t="s">
        <v>47</v>
      </c>
    </row>
    <row r="296" spans="1:15" x14ac:dyDescent="0.3">
      <c r="A296" t="s">
        <v>364</v>
      </c>
      <c r="B296" s="2">
        <v>45586</v>
      </c>
      <c r="C296" t="s">
        <v>15</v>
      </c>
      <c r="D296" t="str">
        <f t="shared" si="4"/>
        <v>October</v>
      </c>
      <c r="E296" t="s">
        <v>50</v>
      </c>
      <c r="F296" t="s">
        <v>40</v>
      </c>
      <c r="G296" t="s">
        <v>115</v>
      </c>
      <c r="H296" t="s">
        <v>33</v>
      </c>
      <c r="I296" t="s">
        <v>20</v>
      </c>
      <c r="J296" t="s">
        <v>46</v>
      </c>
      <c r="K296">
        <v>2</v>
      </c>
      <c r="L296">
        <v>7695.55</v>
      </c>
      <c r="M296">
        <v>10</v>
      </c>
      <c r="N296">
        <v>13851.99</v>
      </c>
      <c r="O296" t="s">
        <v>36</v>
      </c>
    </row>
    <row r="297" spans="1:15" x14ac:dyDescent="0.3">
      <c r="A297" t="s">
        <v>365</v>
      </c>
      <c r="B297" s="2">
        <v>45587</v>
      </c>
      <c r="C297" t="s">
        <v>31</v>
      </c>
      <c r="D297" t="str">
        <f t="shared" si="4"/>
        <v>October</v>
      </c>
      <c r="E297" t="s">
        <v>52</v>
      </c>
      <c r="F297" t="s">
        <v>40</v>
      </c>
      <c r="G297" t="s">
        <v>118</v>
      </c>
      <c r="H297" t="s">
        <v>19</v>
      </c>
      <c r="I297" t="s">
        <v>34</v>
      </c>
      <c r="J297" t="s">
        <v>46</v>
      </c>
      <c r="K297">
        <v>3</v>
      </c>
      <c r="L297">
        <v>6578.71</v>
      </c>
      <c r="M297">
        <v>0</v>
      </c>
      <c r="N297">
        <v>19736.13</v>
      </c>
      <c r="O297" t="s">
        <v>47</v>
      </c>
    </row>
    <row r="298" spans="1:15" x14ac:dyDescent="0.3">
      <c r="A298" t="s">
        <v>366</v>
      </c>
      <c r="B298" s="2">
        <v>45588</v>
      </c>
      <c r="C298" t="s">
        <v>31</v>
      </c>
      <c r="D298" t="str">
        <f t="shared" si="4"/>
        <v>October</v>
      </c>
      <c r="E298" t="s">
        <v>32</v>
      </c>
      <c r="F298" t="s">
        <v>17</v>
      </c>
      <c r="G298" t="s">
        <v>63</v>
      </c>
      <c r="H298" t="s">
        <v>45</v>
      </c>
      <c r="I298" t="s">
        <v>42</v>
      </c>
      <c r="J298" t="s">
        <v>21</v>
      </c>
      <c r="K298">
        <v>4</v>
      </c>
      <c r="L298">
        <v>67024.479999999996</v>
      </c>
      <c r="M298">
        <v>0</v>
      </c>
      <c r="N298">
        <v>268097.94</v>
      </c>
      <c r="O298" t="s">
        <v>22</v>
      </c>
    </row>
    <row r="299" spans="1:15" x14ac:dyDescent="0.3">
      <c r="A299" t="s">
        <v>367</v>
      </c>
      <c r="B299" s="2">
        <v>45589</v>
      </c>
      <c r="C299" t="s">
        <v>31</v>
      </c>
      <c r="D299" t="str">
        <f t="shared" si="4"/>
        <v>October</v>
      </c>
      <c r="E299" t="s">
        <v>16</v>
      </c>
      <c r="F299" t="s">
        <v>53</v>
      </c>
      <c r="G299" t="s">
        <v>65</v>
      </c>
      <c r="H299" t="s">
        <v>33</v>
      </c>
      <c r="I299" t="s">
        <v>34</v>
      </c>
      <c r="J299" t="s">
        <v>21</v>
      </c>
      <c r="K299">
        <v>5</v>
      </c>
      <c r="L299">
        <v>34082.93</v>
      </c>
      <c r="M299">
        <v>15</v>
      </c>
      <c r="N299">
        <v>144852.47</v>
      </c>
      <c r="O299" t="s">
        <v>47</v>
      </c>
    </row>
    <row r="300" spans="1:15" x14ac:dyDescent="0.3">
      <c r="A300" t="s">
        <v>368</v>
      </c>
      <c r="B300" s="2">
        <v>45590</v>
      </c>
      <c r="C300" t="s">
        <v>15</v>
      </c>
      <c r="D300" t="str">
        <f t="shared" si="4"/>
        <v>October</v>
      </c>
      <c r="E300" t="s">
        <v>39</v>
      </c>
      <c r="F300" t="s">
        <v>17</v>
      </c>
      <c r="G300" t="s">
        <v>67</v>
      </c>
      <c r="H300" t="s">
        <v>27</v>
      </c>
      <c r="I300" t="s">
        <v>34</v>
      </c>
      <c r="J300" t="s">
        <v>46</v>
      </c>
      <c r="K300">
        <v>5</v>
      </c>
      <c r="L300">
        <v>45215.57</v>
      </c>
      <c r="M300">
        <v>20</v>
      </c>
      <c r="N300">
        <v>180862.29</v>
      </c>
      <c r="O300" t="s">
        <v>29</v>
      </c>
    </row>
    <row r="301" spans="1:15" x14ac:dyDescent="0.3">
      <c r="A301" t="s">
        <v>369</v>
      </c>
      <c r="B301" s="2">
        <v>45591</v>
      </c>
      <c r="C301" t="s">
        <v>15</v>
      </c>
      <c r="D301" t="str">
        <f t="shared" si="4"/>
        <v>October</v>
      </c>
      <c r="E301" t="s">
        <v>39</v>
      </c>
      <c r="F301" t="s">
        <v>60</v>
      </c>
      <c r="G301" t="s">
        <v>78</v>
      </c>
      <c r="H301" t="s">
        <v>27</v>
      </c>
      <c r="I301" t="s">
        <v>20</v>
      </c>
      <c r="J301" t="s">
        <v>43</v>
      </c>
      <c r="K301">
        <v>5</v>
      </c>
      <c r="L301">
        <v>39560.42</v>
      </c>
      <c r="M301">
        <v>10</v>
      </c>
      <c r="N301">
        <v>178021.88</v>
      </c>
      <c r="O301" t="s">
        <v>47</v>
      </c>
    </row>
    <row r="302" spans="1:15" x14ac:dyDescent="0.3">
      <c r="A302" t="s">
        <v>370</v>
      </c>
      <c r="B302" s="2">
        <v>45592</v>
      </c>
      <c r="C302" t="s">
        <v>49</v>
      </c>
      <c r="D302" t="str">
        <f t="shared" si="4"/>
        <v>October</v>
      </c>
      <c r="E302" t="s">
        <v>69</v>
      </c>
      <c r="F302" t="s">
        <v>17</v>
      </c>
      <c r="G302" t="s">
        <v>63</v>
      </c>
      <c r="H302" t="s">
        <v>27</v>
      </c>
      <c r="I302" t="s">
        <v>20</v>
      </c>
      <c r="J302" t="s">
        <v>21</v>
      </c>
      <c r="K302">
        <v>5</v>
      </c>
      <c r="L302">
        <v>52687.88</v>
      </c>
      <c r="M302">
        <v>5</v>
      </c>
      <c r="N302">
        <v>250267.42</v>
      </c>
      <c r="O302" t="s">
        <v>47</v>
      </c>
    </row>
    <row r="303" spans="1:15" x14ac:dyDescent="0.3">
      <c r="A303" t="s">
        <v>371</v>
      </c>
      <c r="B303" s="2">
        <v>45593</v>
      </c>
      <c r="C303" t="s">
        <v>49</v>
      </c>
      <c r="D303" t="str">
        <f t="shared" si="4"/>
        <v>October</v>
      </c>
      <c r="E303" t="s">
        <v>77</v>
      </c>
      <c r="F303" t="s">
        <v>40</v>
      </c>
      <c r="G303" t="s">
        <v>118</v>
      </c>
      <c r="H303" t="s">
        <v>45</v>
      </c>
      <c r="I303" t="s">
        <v>42</v>
      </c>
      <c r="J303" t="s">
        <v>21</v>
      </c>
      <c r="K303">
        <v>4</v>
      </c>
      <c r="L303">
        <v>5373.85</v>
      </c>
      <c r="M303">
        <v>5</v>
      </c>
      <c r="N303">
        <v>20420.63</v>
      </c>
      <c r="O303" t="s">
        <v>29</v>
      </c>
    </row>
    <row r="304" spans="1:15" x14ac:dyDescent="0.3">
      <c r="A304" t="s">
        <v>372</v>
      </c>
      <c r="B304" s="2">
        <v>45594</v>
      </c>
      <c r="C304" t="s">
        <v>49</v>
      </c>
      <c r="D304" t="str">
        <f t="shared" si="4"/>
        <v>October</v>
      </c>
      <c r="E304" t="s">
        <v>39</v>
      </c>
      <c r="F304" t="s">
        <v>17</v>
      </c>
      <c r="G304" t="s">
        <v>18</v>
      </c>
      <c r="H304" t="s">
        <v>19</v>
      </c>
      <c r="I304" t="s">
        <v>34</v>
      </c>
      <c r="J304" t="s">
        <v>35</v>
      </c>
      <c r="K304">
        <v>5</v>
      </c>
      <c r="L304">
        <v>59128.75</v>
      </c>
      <c r="M304">
        <v>5</v>
      </c>
      <c r="N304">
        <v>280861.57</v>
      </c>
      <c r="O304" t="s">
        <v>29</v>
      </c>
    </row>
    <row r="305" spans="1:15" x14ac:dyDescent="0.3">
      <c r="A305" t="s">
        <v>373</v>
      </c>
      <c r="B305" s="2">
        <v>45595</v>
      </c>
      <c r="C305" t="s">
        <v>58</v>
      </c>
      <c r="D305" t="str">
        <f t="shared" si="4"/>
        <v>October</v>
      </c>
      <c r="E305" t="s">
        <v>32</v>
      </c>
      <c r="F305" t="s">
        <v>25</v>
      </c>
      <c r="G305" t="s">
        <v>56</v>
      </c>
      <c r="H305" t="s">
        <v>33</v>
      </c>
      <c r="I305" t="s">
        <v>42</v>
      </c>
      <c r="J305" t="s">
        <v>21</v>
      </c>
      <c r="K305">
        <v>3</v>
      </c>
      <c r="L305">
        <v>2954.17</v>
      </c>
      <c r="M305">
        <v>0</v>
      </c>
      <c r="N305">
        <v>8862.52</v>
      </c>
      <c r="O305" t="s">
        <v>22</v>
      </c>
    </row>
    <row r="306" spans="1:15" x14ac:dyDescent="0.3">
      <c r="A306" t="s">
        <v>374</v>
      </c>
      <c r="B306" s="2">
        <v>45596</v>
      </c>
      <c r="C306" t="s">
        <v>49</v>
      </c>
      <c r="D306" t="str">
        <f t="shared" si="4"/>
        <v>October</v>
      </c>
      <c r="E306" t="s">
        <v>16</v>
      </c>
      <c r="F306" t="s">
        <v>40</v>
      </c>
      <c r="G306" t="s">
        <v>118</v>
      </c>
      <c r="H306" t="s">
        <v>33</v>
      </c>
      <c r="I306" t="s">
        <v>42</v>
      </c>
      <c r="J306" t="s">
        <v>46</v>
      </c>
      <c r="K306">
        <v>3</v>
      </c>
      <c r="L306">
        <v>6972.16</v>
      </c>
      <c r="M306">
        <v>10</v>
      </c>
      <c r="N306">
        <v>18824.830000000002</v>
      </c>
      <c r="O306" t="s">
        <v>36</v>
      </c>
    </row>
    <row r="307" spans="1:15" x14ac:dyDescent="0.3">
      <c r="A307" t="s">
        <v>375</v>
      </c>
      <c r="B307" s="2">
        <v>45597</v>
      </c>
      <c r="C307" t="s">
        <v>38</v>
      </c>
      <c r="D307" t="str">
        <f t="shared" si="4"/>
        <v>November</v>
      </c>
      <c r="E307" t="s">
        <v>69</v>
      </c>
      <c r="F307" t="s">
        <v>60</v>
      </c>
      <c r="G307" t="s">
        <v>73</v>
      </c>
      <c r="H307" t="s">
        <v>27</v>
      </c>
      <c r="I307" t="s">
        <v>34</v>
      </c>
      <c r="J307" t="s">
        <v>21</v>
      </c>
      <c r="K307">
        <v>1</v>
      </c>
      <c r="L307">
        <v>40562.85</v>
      </c>
      <c r="M307">
        <v>5</v>
      </c>
      <c r="N307">
        <v>38534.699999999997</v>
      </c>
      <c r="O307" t="s">
        <v>22</v>
      </c>
    </row>
    <row r="308" spans="1:15" x14ac:dyDescent="0.3">
      <c r="A308" t="s">
        <v>376</v>
      </c>
      <c r="B308" s="2">
        <v>45598</v>
      </c>
      <c r="C308" t="s">
        <v>31</v>
      </c>
      <c r="D308" t="str">
        <f t="shared" si="4"/>
        <v>November</v>
      </c>
      <c r="E308" t="s">
        <v>16</v>
      </c>
      <c r="F308" t="s">
        <v>17</v>
      </c>
      <c r="G308" t="s">
        <v>123</v>
      </c>
      <c r="H308" t="s">
        <v>45</v>
      </c>
      <c r="I308" t="s">
        <v>20</v>
      </c>
      <c r="J308" t="s">
        <v>28</v>
      </c>
      <c r="K308">
        <v>3</v>
      </c>
      <c r="L308">
        <v>52003.97</v>
      </c>
      <c r="M308">
        <v>0</v>
      </c>
      <c r="N308">
        <v>156011.91</v>
      </c>
      <c r="O308" t="s">
        <v>29</v>
      </c>
    </row>
    <row r="309" spans="1:15" x14ac:dyDescent="0.3">
      <c r="A309" t="s">
        <v>377</v>
      </c>
      <c r="B309" s="2">
        <v>45599</v>
      </c>
      <c r="C309" t="s">
        <v>31</v>
      </c>
      <c r="D309" t="str">
        <f t="shared" si="4"/>
        <v>November</v>
      </c>
      <c r="E309" t="s">
        <v>77</v>
      </c>
      <c r="F309" t="s">
        <v>25</v>
      </c>
      <c r="G309" t="s">
        <v>81</v>
      </c>
      <c r="H309" t="s">
        <v>27</v>
      </c>
      <c r="I309" t="s">
        <v>20</v>
      </c>
      <c r="J309" t="s">
        <v>35</v>
      </c>
      <c r="K309">
        <v>4</v>
      </c>
      <c r="L309">
        <v>3094.57</v>
      </c>
      <c r="M309">
        <v>0</v>
      </c>
      <c r="N309">
        <v>12378.29</v>
      </c>
      <c r="O309" t="s">
        <v>47</v>
      </c>
    </row>
    <row r="310" spans="1:15" x14ac:dyDescent="0.3">
      <c r="A310" t="s">
        <v>378</v>
      </c>
      <c r="B310" s="2">
        <v>45600</v>
      </c>
      <c r="C310" t="s">
        <v>58</v>
      </c>
      <c r="D310" t="str">
        <f t="shared" si="4"/>
        <v>November</v>
      </c>
      <c r="E310" t="s">
        <v>16</v>
      </c>
      <c r="F310" t="s">
        <v>60</v>
      </c>
      <c r="G310" t="s">
        <v>61</v>
      </c>
      <c r="H310" t="s">
        <v>33</v>
      </c>
      <c r="I310" t="s">
        <v>34</v>
      </c>
      <c r="J310" t="s">
        <v>28</v>
      </c>
      <c r="K310">
        <v>3</v>
      </c>
      <c r="L310">
        <v>43444.38</v>
      </c>
      <c r="M310">
        <v>20</v>
      </c>
      <c r="N310">
        <v>104266.52</v>
      </c>
      <c r="O310" t="s">
        <v>29</v>
      </c>
    </row>
    <row r="311" spans="1:15" x14ac:dyDescent="0.3">
      <c r="A311" t="s">
        <v>379</v>
      </c>
      <c r="B311" s="2">
        <v>45601</v>
      </c>
      <c r="C311" t="s">
        <v>49</v>
      </c>
      <c r="D311" t="str">
        <f t="shared" si="4"/>
        <v>November</v>
      </c>
      <c r="E311" t="s">
        <v>50</v>
      </c>
      <c r="F311" t="s">
        <v>53</v>
      </c>
      <c r="G311" t="s">
        <v>105</v>
      </c>
      <c r="H311" t="s">
        <v>33</v>
      </c>
      <c r="I311" t="s">
        <v>42</v>
      </c>
      <c r="J311" t="s">
        <v>46</v>
      </c>
      <c r="K311">
        <v>4</v>
      </c>
      <c r="L311">
        <v>31997.39</v>
      </c>
      <c r="M311">
        <v>10</v>
      </c>
      <c r="N311">
        <v>115190.6</v>
      </c>
      <c r="O311" t="s">
        <v>29</v>
      </c>
    </row>
    <row r="312" spans="1:15" x14ac:dyDescent="0.3">
      <c r="A312" t="s">
        <v>380</v>
      </c>
      <c r="B312" s="2">
        <v>45602</v>
      </c>
      <c r="C312" t="s">
        <v>31</v>
      </c>
      <c r="D312" t="str">
        <f t="shared" si="4"/>
        <v>November</v>
      </c>
      <c r="E312" t="s">
        <v>69</v>
      </c>
      <c r="F312" t="s">
        <v>40</v>
      </c>
      <c r="G312" t="s">
        <v>115</v>
      </c>
      <c r="H312" t="s">
        <v>19</v>
      </c>
      <c r="I312" t="s">
        <v>42</v>
      </c>
      <c r="J312" t="s">
        <v>21</v>
      </c>
      <c r="K312">
        <v>1</v>
      </c>
      <c r="L312">
        <v>5977.11</v>
      </c>
      <c r="M312">
        <v>0</v>
      </c>
      <c r="N312">
        <v>5977.11</v>
      </c>
      <c r="O312" t="s">
        <v>36</v>
      </c>
    </row>
    <row r="313" spans="1:15" x14ac:dyDescent="0.3">
      <c r="A313" t="s">
        <v>381</v>
      </c>
      <c r="B313" s="2">
        <v>45603</v>
      </c>
      <c r="C313" t="s">
        <v>15</v>
      </c>
      <c r="D313" t="str">
        <f t="shared" si="4"/>
        <v>November</v>
      </c>
      <c r="E313" t="s">
        <v>72</v>
      </c>
      <c r="F313" t="s">
        <v>17</v>
      </c>
      <c r="G313" t="s">
        <v>67</v>
      </c>
      <c r="H313" t="s">
        <v>45</v>
      </c>
      <c r="I313" t="s">
        <v>20</v>
      </c>
      <c r="J313" t="s">
        <v>35</v>
      </c>
      <c r="K313">
        <v>5</v>
      </c>
      <c r="L313">
        <v>58115.47</v>
      </c>
      <c r="M313">
        <v>15</v>
      </c>
      <c r="N313">
        <v>246990.73</v>
      </c>
      <c r="O313" t="s">
        <v>47</v>
      </c>
    </row>
    <row r="314" spans="1:15" x14ac:dyDescent="0.3">
      <c r="A314" t="s">
        <v>382</v>
      </c>
      <c r="B314" s="2">
        <v>45604</v>
      </c>
      <c r="C314" t="s">
        <v>49</v>
      </c>
      <c r="D314" t="str">
        <f t="shared" si="4"/>
        <v>November</v>
      </c>
      <c r="E314" t="s">
        <v>50</v>
      </c>
      <c r="F314" t="s">
        <v>25</v>
      </c>
      <c r="G314" t="s">
        <v>56</v>
      </c>
      <c r="H314" t="s">
        <v>45</v>
      </c>
      <c r="I314" t="s">
        <v>34</v>
      </c>
      <c r="J314" t="s">
        <v>21</v>
      </c>
      <c r="K314">
        <v>2</v>
      </c>
      <c r="L314">
        <v>1934.48</v>
      </c>
      <c r="M314">
        <v>15</v>
      </c>
      <c r="N314">
        <v>3288.62</v>
      </c>
      <c r="O314" t="s">
        <v>36</v>
      </c>
    </row>
    <row r="315" spans="1:15" x14ac:dyDescent="0.3">
      <c r="A315" t="s">
        <v>383</v>
      </c>
      <c r="B315" s="2">
        <v>45605</v>
      </c>
      <c r="C315" t="s">
        <v>31</v>
      </c>
      <c r="D315" t="str">
        <f t="shared" si="4"/>
        <v>November</v>
      </c>
      <c r="E315" t="s">
        <v>69</v>
      </c>
      <c r="F315" t="s">
        <v>53</v>
      </c>
      <c r="G315" t="s">
        <v>54</v>
      </c>
      <c r="H315" t="s">
        <v>45</v>
      </c>
      <c r="I315" t="s">
        <v>34</v>
      </c>
      <c r="J315" t="s">
        <v>35</v>
      </c>
      <c r="K315">
        <v>2</v>
      </c>
      <c r="L315">
        <v>26996.55</v>
      </c>
      <c r="M315">
        <v>15</v>
      </c>
      <c r="N315">
        <v>45894.14</v>
      </c>
      <c r="O315" t="s">
        <v>47</v>
      </c>
    </row>
    <row r="316" spans="1:15" x14ac:dyDescent="0.3">
      <c r="A316" t="s">
        <v>384</v>
      </c>
      <c r="B316" s="2">
        <v>45606</v>
      </c>
      <c r="C316" t="s">
        <v>15</v>
      </c>
      <c r="D316" t="str">
        <f t="shared" si="4"/>
        <v>November</v>
      </c>
      <c r="E316" t="s">
        <v>72</v>
      </c>
      <c r="F316" t="s">
        <v>25</v>
      </c>
      <c r="G316" t="s">
        <v>81</v>
      </c>
      <c r="H316" t="s">
        <v>27</v>
      </c>
      <c r="I316" t="s">
        <v>20</v>
      </c>
      <c r="J316" t="s">
        <v>35</v>
      </c>
      <c r="K316">
        <v>4</v>
      </c>
      <c r="L316">
        <v>2254.11</v>
      </c>
      <c r="M316">
        <v>5</v>
      </c>
      <c r="N316">
        <v>8565.6200000000008</v>
      </c>
      <c r="O316" t="s">
        <v>36</v>
      </c>
    </row>
    <row r="317" spans="1:15" x14ac:dyDescent="0.3">
      <c r="A317" t="s">
        <v>385</v>
      </c>
      <c r="B317" s="2">
        <v>45607</v>
      </c>
      <c r="C317" t="s">
        <v>58</v>
      </c>
      <c r="D317" t="str">
        <f t="shared" si="4"/>
        <v>November</v>
      </c>
      <c r="E317" t="s">
        <v>77</v>
      </c>
      <c r="F317" t="s">
        <v>17</v>
      </c>
      <c r="G317" t="s">
        <v>63</v>
      </c>
      <c r="H317" t="s">
        <v>27</v>
      </c>
      <c r="I317" t="s">
        <v>20</v>
      </c>
      <c r="J317" t="s">
        <v>46</v>
      </c>
      <c r="K317">
        <v>1</v>
      </c>
      <c r="L317">
        <v>62539.09</v>
      </c>
      <c r="M317">
        <v>5</v>
      </c>
      <c r="N317">
        <v>59412.13</v>
      </c>
      <c r="O317" t="s">
        <v>36</v>
      </c>
    </row>
    <row r="318" spans="1:15" x14ac:dyDescent="0.3">
      <c r="A318" t="s">
        <v>386</v>
      </c>
      <c r="B318" s="2">
        <v>45608</v>
      </c>
      <c r="C318" t="s">
        <v>31</v>
      </c>
      <c r="D318" t="str">
        <f t="shared" si="4"/>
        <v>November</v>
      </c>
      <c r="E318" t="s">
        <v>16</v>
      </c>
      <c r="F318" t="s">
        <v>40</v>
      </c>
      <c r="G318" t="s">
        <v>75</v>
      </c>
      <c r="H318" t="s">
        <v>19</v>
      </c>
      <c r="I318" t="s">
        <v>20</v>
      </c>
      <c r="J318" t="s">
        <v>43</v>
      </c>
      <c r="K318">
        <v>1</v>
      </c>
      <c r="L318">
        <v>5712.58</v>
      </c>
      <c r="M318">
        <v>15</v>
      </c>
      <c r="N318">
        <v>4855.6899999999996</v>
      </c>
      <c r="O318" t="s">
        <v>29</v>
      </c>
    </row>
    <row r="319" spans="1:15" x14ac:dyDescent="0.3">
      <c r="A319" t="s">
        <v>387</v>
      </c>
      <c r="B319" s="2">
        <v>45609</v>
      </c>
      <c r="C319" t="s">
        <v>38</v>
      </c>
      <c r="D319" t="str">
        <f t="shared" si="4"/>
        <v>November</v>
      </c>
      <c r="E319" t="s">
        <v>16</v>
      </c>
      <c r="F319" t="s">
        <v>25</v>
      </c>
      <c r="G319" t="s">
        <v>26</v>
      </c>
      <c r="H319" t="s">
        <v>27</v>
      </c>
      <c r="I319" t="s">
        <v>42</v>
      </c>
      <c r="J319" t="s">
        <v>43</v>
      </c>
      <c r="K319">
        <v>1</v>
      </c>
      <c r="L319">
        <v>2897.52</v>
      </c>
      <c r="M319">
        <v>5</v>
      </c>
      <c r="N319">
        <v>2752.65</v>
      </c>
      <c r="O319" t="s">
        <v>47</v>
      </c>
    </row>
    <row r="320" spans="1:15" x14ac:dyDescent="0.3">
      <c r="A320" t="s">
        <v>388</v>
      </c>
      <c r="B320" s="2">
        <v>45610</v>
      </c>
      <c r="C320" t="s">
        <v>38</v>
      </c>
      <c r="D320" t="str">
        <f t="shared" si="4"/>
        <v>November</v>
      </c>
      <c r="E320" t="s">
        <v>77</v>
      </c>
      <c r="F320" t="s">
        <v>25</v>
      </c>
      <c r="G320" t="s">
        <v>26</v>
      </c>
      <c r="H320" t="s">
        <v>27</v>
      </c>
      <c r="I320" t="s">
        <v>20</v>
      </c>
      <c r="J320" t="s">
        <v>21</v>
      </c>
      <c r="K320">
        <v>2</v>
      </c>
      <c r="L320">
        <v>2869.7</v>
      </c>
      <c r="M320">
        <v>0</v>
      </c>
      <c r="N320">
        <v>5739.41</v>
      </c>
      <c r="O320" t="s">
        <v>47</v>
      </c>
    </row>
    <row r="321" spans="1:15" x14ac:dyDescent="0.3">
      <c r="A321" t="s">
        <v>389</v>
      </c>
      <c r="B321" s="2">
        <v>45611</v>
      </c>
      <c r="C321" t="s">
        <v>15</v>
      </c>
      <c r="D321" t="str">
        <f t="shared" si="4"/>
        <v>November</v>
      </c>
      <c r="E321" t="s">
        <v>52</v>
      </c>
      <c r="F321" t="s">
        <v>40</v>
      </c>
      <c r="G321" t="s">
        <v>118</v>
      </c>
      <c r="H321" t="s">
        <v>45</v>
      </c>
      <c r="I321" t="s">
        <v>34</v>
      </c>
      <c r="J321" t="s">
        <v>28</v>
      </c>
      <c r="K321">
        <v>5</v>
      </c>
      <c r="L321">
        <v>5902.4</v>
      </c>
      <c r="M321">
        <v>0</v>
      </c>
      <c r="N321">
        <v>29512.02</v>
      </c>
      <c r="O321" t="s">
        <v>47</v>
      </c>
    </row>
    <row r="322" spans="1:15" x14ac:dyDescent="0.3">
      <c r="A322" t="s">
        <v>390</v>
      </c>
      <c r="B322" s="2">
        <v>45612</v>
      </c>
      <c r="C322" t="s">
        <v>49</v>
      </c>
      <c r="D322" t="str">
        <f t="shared" si="4"/>
        <v>November</v>
      </c>
      <c r="E322" t="s">
        <v>24</v>
      </c>
      <c r="F322" t="s">
        <v>40</v>
      </c>
      <c r="G322" t="s">
        <v>115</v>
      </c>
      <c r="H322" t="s">
        <v>27</v>
      </c>
      <c r="I322" t="s">
        <v>34</v>
      </c>
      <c r="J322" t="s">
        <v>28</v>
      </c>
      <c r="K322">
        <v>1</v>
      </c>
      <c r="L322">
        <v>5258.68</v>
      </c>
      <c r="M322">
        <v>15</v>
      </c>
      <c r="N322">
        <v>4469.88</v>
      </c>
      <c r="O322" t="s">
        <v>36</v>
      </c>
    </row>
    <row r="323" spans="1:15" x14ac:dyDescent="0.3">
      <c r="A323" t="s">
        <v>391</v>
      </c>
      <c r="B323" s="2">
        <v>45613</v>
      </c>
      <c r="C323" t="s">
        <v>49</v>
      </c>
      <c r="D323" t="str">
        <f t="shared" ref="D323:D386" si="5">TEXT(B323,"mmmm")</f>
        <v>November</v>
      </c>
      <c r="E323" t="s">
        <v>69</v>
      </c>
      <c r="F323" t="s">
        <v>40</v>
      </c>
      <c r="G323" t="s">
        <v>41</v>
      </c>
      <c r="H323" t="s">
        <v>33</v>
      </c>
      <c r="I323" t="s">
        <v>34</v>
      </c>
      <c r="J323" t="s">
        <v>28</v>
      </c>
      <c r="K323">
        <v>4</v>
      </c>
      <c r="L323">
        <v>8094.03</v>
      </c>
      <c r="M323">
        <v>10</v>
      </c>
      <c r="N323">
        <v>29138.51</v>
      </c>
      <c r="O323" t="s">
        <v>22</v>
      </c>
    </row>
    <row r="324" spans="1:15" x14ac:dyDescent="0.3">
      <c r="A324" t="s">
        <v>392</v>
      </c>
      <c r="B324" s="2">
        <v>45614</v>
      </c>
      <c r="C324" t="s">
        <v>15</v>
      </c>
      <c r="D324" t="str">
        <f t="shared" si="5"/>
        <v>November</v>
      </c>
      <c r="E324" t="s">
        <v>52</v>
      </c>
      <c r="F324" t="s">
        <v>17</v>
      </c>
      <c r="G324" t="s">
        <v>67</v>
      </c>
      <c r="H324" t="s">
        <v>45</v>
      </c>
      <c r="I324" t="s">
        <v>42</v>
      </c>
      <c r="J324" t="s">
        <v>28</v>
      </c>
      <c r="K324">
        <v>1</v>
      </c>
      <c r="L324">
        <v>60598.38</v>
      </c>
      <c r="M324">
        <v>0</v>
      </c>
      <c r="N324">
        <v>60598.38</v>
      </c>
      <c r="O324" t="s">
        <v>47</v>
      </c>
    </row>
    <row r="325" spans="1:15" x14ac:dyDescent="0.3">
      <c r="A325" t="s">
        <v>393</v>
      </c>
      <c r="B325" s="2">
        <v>45615</v>
      </c>
      <c r="C325" t="s">
        <v>58</v>
      </c>
      <c r="D325" t="str">
        <f t="shared" si="5"/>
        <v>November</v>
      </c>
      <c r="E325" t="s">
        <v>72</v>
      </c>
      <c r="F325" t="s">
        <v>17</v>
      </c>
      <c r="G325" t="s">
        <v>18</v>
      </c>
      <c r="H325" t="s">
        <v>27</v>
      </c>
      <c r="I325" t="s">
        <v>20</v>
      </c>
      <c r="J325" t="s">
        <v>28</v>
      </c>
      <c r="K325">
        <v>5</v>
      </c>
      <c r="L325">
        <v>49792.47</v>
      </c>
      <c r="M325">
        <v>20</v>
      </c>
      <c r="N325">
        <v>199169.89</v>
      </c>
      <c r="O325" t="s">
        <v>47</v>
      </c>
    </row>
    <row r="326" spans="1:15" x14ac:dyDescent="0.3">
      <c r="A326" t="s">
        <v>394</v>
      </c>
      <c r="B326" s="2">
        <v>45616</v>
      </c>
      <c r="C326" t="s">
        <v>49</v>
      </c>
      <c r="D326" t="str">
        <f t="shared" si="5"/>
        <v>November</v>
      </c>
      <c r="E326" t="s">
        <v>32</v>
      </c>
      <c r="F326" t="s">
        <v>60</v>
      </c>
      <c r="G326" t="s">
        <v>73</v>
      </c>
      <c r="H326" t="s">
        <v>45</v>
      </c>
      <c r="I326" t="s">
        <v>34</v>
      </c>
      <c r="J326" t="s">
        <v>21</v>
      </c>
      <c r="K326">
        <v>1</v>
      </c>
      <c r="L326">
        <v>36639.279999999999</v>
      </c>
      <c r="M326">
        <v>10</v>
      </c>
      <c r="N326">
        <v>32975.35</v>
      </c>
      <c r="O326" t="s">
        <v>47</v>
      </c>
    </row>
    <row r="327" spans="1:15" x14ac:dyDescent="0.3">
      <c r="A327" t="s">
        <v>395</v>
      </c>
      <c r="B327" s="2">
        <v>45617</v>
      </c>
      <c r="C327" t="s">
        <v>38</v>
      </c>
      <c r="D327" t="str">
        <f t="shared" si="5"/>
        <v>November</v>
      </c>
      <c r="E327" t="s">
        <v>50</v>
      </c>
      <c r="F327" t="s">
        <v>53</v>
      </c>
      <c r="G327" t="s">
        <v>65</v>
      </c>
      <c r="H327" t="s">
        <v>27</v>
      </c>
      <c r="I327" t="s">
        <v>20</v>
      </c>
      <c r="J327" t="s">
        <v>46</v>
      </c>
      <c r="K327">
        <v>3</v>
      </c>
      <c r="L327">
        <v>33886.14</v>
      </c>
      <c r="M327">
        <v>0</v>
      </c>
      <c r="N327">
        <v>101658.41</v>
      </c>
      <c r="O327" t="s">
        <v>47</v>
      </c>
    </row>
    <row r="328" spans="1:15" x14ac:dyDescent="0.3">
      <c r="A328" t="s">
        <v>396</v>
      </c>
      <c r="B328" s="2">
        <v>45618</v>
      </c>
      <c r="C328" t="s">
        <v>38</v>
      </c>
      <c r="D328" t="str">
        <f t="shared" si="5"/>
        <v>November</v>
      </c>
      <c r="E328" t="s">
        <v>16</v>
      </c>
      <c r="F328" t="s">
        <v>40</v>
      </c>
      <c r="G328" t="s">
        <v>41</v>
      </c>
      <c r="H328" t="s">
        <v>45</v>
      </c>
      <c r="I328" t="s">
        <v>42</v>
      </c>
      <c r="J328" t="s">
        <v>46</v>
      </c>
      <c r="K328">
        <v>5</v>
      </c>
      <c r="L328">
        <v>5142.1000000000004</v>
      </c>
      <c r="M328">
        <v>5</v>
      </c>
      <c r="N328">
        <v>24424.959999999999</v>
      </c>
      <c r="O328" t="s">
        <v>47</v>
      </c>
    </row>
    <row r="329" spans="1:15" x14ac:dyDescent="0.3">
      <c r="A329" t="s">
        <v>397</v>
      </c>
      <c r="B329" s="2">
        <v>45619</v>
      </c>
      <c r="C329" t="s">
        <v>58</v>
      </c>
      <c r="D329" t="str">
        <f t="shared" si="5"/>
        <v>November</v>
      </c>
      <c r="E329" t="s">
        <v>100</v>
      </c>
      <c r="F329" t="s">
        <v>60</v>
      </c>
      <c r="G329" t="s">
        <v>78</v>
      </c>
      <c r="H329" t="s">
        <v>27</v>
      </c>
      <c r="I329" t="s">
        <v>34</v>
      </c>
      <c r="J329" t="s">
        <v>28</v>
      </c>
      <c r="K329">
        <v>2</v>
      </c>
      <c r="L329">
        <v>36477.54</v>
      </c>
      <c r="M329">
        <v>20</v>
      </c>
      <c r="N329">
        <v>58364.06</v>
      </c>
      <c r="O329" t="s">
        <v>47</v>
      </c>
    </row>
    <row r="330" spans="1:15" x14ac:dyDescent="0.3">
      <c r="A330" t="s">
        <v>398</v>
      </c>
      <c r="B330" s="2">
        <v>45620</v>
      </c>
      <c r="C330" t="s">
        <v>38</v>
      </c>
      <c r="D330" t="str">
        <f t="shared" si="5"/>
        <v>November</v>
      </c>
      <c r="E330" t="s">
        <v>100</v>
      </c>
      <c r="F330" t="s">
        <v>53</v>
      </c>
      <c r="G330" t="s">
        <v>105</v>
      </c>
      <c r="H330" t="s">
        <v>45</v>
      </c>
      <c r="I330" t="s">
        <v>42</v>
      </c>
      <c r="J330" t="s">
        <v>28</v>
      </c>
      <c r="K330">
        <v>3</v>
      </c>
      <c r="L330">
        <v>26242.73</v>
      </c>
      <c r="M330">
        <v>20</v>
      </c>
      <c r="N330">
        <v>62982.559999999998</v>
      </c>
      <c r="O330" t="s">
        <v>29</v>
      </c>
    </row>
    <row r="331" spans="1:15" x14ac:dyDescent="0.3">
      <c r="A331" t="s">
        <v>399</v>
      </c>
      <c r="B331" s="2">
        <v>45621</v>
      </c>
      <c r="C331" t="s">
        <v>31</v>
      </c>
      <c r="D331" t="str">
        <f t="shared" si="5"/>
        <v>November</v>
      </c>
      <c r="E331" t="s">
        <v>16</v>
      </c>
      <c r="F331" t="s">
        <v>40</v>
      </c>
      <c r="G331" t="s">
        <v>75</v>
      </c>
      <c r="H331" t="s">
        <v>33</v>
      </c>
      <c r="I331" t="s">
        <v>34</v>
      </c>
      <c r="J331" t="s">
        <v>43</v>
      </c>
      <c r="K331">
        <v>4</v>
      </c>
      <c r="L331">
        <v>6423.02</v>
      </c>
      <c r="M331">
        <v>0</v>
      </c>
      <c r="N331">
        <v>25692.07</v>
      </c>
      <c r="O331" t="s">
        <v>22</v>
      </c>
    </row>
    <row r="332" spans="1:15" x14ac:dyDescent="0.3">
      <c r="A332" t="s">
        <v>400</v>
      </c>
      <c r="B332" s="2">
        <v>45622</v>
      </c>
      <c r="C332" t="s">
        <v>31</v>
      </c>
      <c r="D332" t="str">
        <f t="shared" si="5"/>
        <v>November</v>
      </c>
      <c r="E332" t="s">
        <v>50</v>
      </c>
      <c r="F332" t="s">
        <v>40</v>
      </c>
      <c r="G332" t="s">
        <v>118</v>
      </c>
      <c r="H332" t="s">
        <v>45</v>
      </c>
      <c r="I332" t="s">
        <v>42</v>
      </c>
      <c r="J332" t="s">
        <v>43</v>
      </c>
      <c r="K332">
        <v>2</v>
      </c>
      <c r="L332">
        <v>6744.34</v>
      </c>
      <c r="M332">
        <v>5</v>
      </c>
      <c r="N332">
        <v>12814.24</v>
      </c>
      <c r="O332" t="s">
        <v>47</v>
      </c>
    </row>
    <row r="333" spans="1:15" x14ac:dyDescent="0.3">
      <c r="A333" t="s">
        <v>401</v>
      </c>
      <c r="B333" s="2">
        <v>45623</v>
      </c>
      <c r="C333" t="s">
        <v>58</v>
      </c>
      <c r="D333" t="str">
        <f t="shared" si="5"/>
        <v>November</v>
      </c>
      <c r="E333" t="s">
        <v>77</v>
      </c>
      <c r="F333" t="s">
        <v>40</v>
      </c>
      <c r="G333" t="s">
        <v>41</v>
      </c>
      <c r="H333" t="s">
        <v>27</v>
      </c>
      <c r="I333" t="s">
        <v>34</v>
      </c>
      <c r="J333" t="s">
        <v>43</v>
      </c>
      <c r="K333">
        <v>4</v>
      </c>
      <c r="L333">
        <v>6070.65</v>
      </c>
      <c r="M333">
        <v>15</v>
      </c>
      <c r="N333">
        <v>20640.2</v>
      </c>
      <c r="O333" t="s">
        <v>47</v>
      </c>
    </row>
    <row r="334" spans="1:15" x14ac:dyDescent="0.3">
      <c r="A334" t="s">
        <v>402</v>
      </c>
      <c r="B334" s="2">
        <v>45624</v>
      </c>
      <c r="C334" t="s">
        <v>58</v>
      </c>
      <c r="D334" t="str">
        <f t="shared" si="5"/>
        <v>November</v>
      </c>
      <c r="E334" t="s">
        <v>77</v>
      </c>
      <c r="F334" t="s">
        <v>25</v>
      </c>
      <c r="G334" t="s">
        <v>56</v>
      </c>
      <c r="H334" t="s">
        <v>33</v>
      </c>
      <c r="I334" t="s">
        <v>42</v>
      </c>
      <c r="J334" t="s">
        <v>43</v>
      </c>
      <c r="K334">
        <v>1</v>
      </c>
      <c r="L334">
        <v>2871.89</v>
      </c>
      <c r="M334">
        <v>0</v>
      </c>
      <c r="N334">
        <v>2871.89</v>
      </c>
      <c r="O334" t="s">
        <v>36</v>
      </c>
    </row>
    <row r="335" spans="1:15" x14ac:dyDescent="0.3">
      <c r="A335" t="s">
        <v>403</v>
      </c>
      <c r="B335" s="2">
        <v>45625</v>
      </c>
      <c r="C335" t="s">
        <v>58</v>
      </c>
      <c r="D335" t="str">
        <f t="shared" si="5"/>
        <v>November</v>
      </c>
      <c r="E335" t="s">
        <v>52</v>
      </c>
      <c r="F335" t="s">
        <v>25</v>
      </c>
      <c r="G335" t="s">
        <v>81</v>
      </c>
      <c r="H335" t="s">
        <v>33</v>
      </c>
      <c r="I335" t="s">
        <v>34</v>
      </c>
      <c r="J335" t="s">
        <v>46</v>
      </c>
      <c r="K335">
        <v>2</v>
      </c>
      <c r="L335">
        <v>2928.84</v>
      </c>
      <c r="M335">
        <v>0</v>
      </c>
      <c r="N335">
        <v>5857.67</v>
      </c>
      <c r="O335" t="s">
        <v>47</v>
      </c>
    </row>
    <row r="336" spans="1:15" x14ac:dyDescent="0.3">
      <c r="A336" t="s">
        <v>404</v>
      </c>
      <c r="B336" s="2">
        <v>45626</v>
      </c>
      <c r="C336" t="s">
        <v>15</v>
      </c>
      <c r="D336" t="str">
        <f t="shared" si="5"/>
        <v>November</v>
      </c>
      <c r="E336" t="s">
        <v>52</v>
      </c>
      <c r="F336" t="s">
        <v>40</v>
      </c>
      <c r="G336" t="s">
        <v>118</v>
      </c>
      <c r="H336" t="s">
        <v>45</v>
      </c>
      <c r="I336" t="s">
        <v>42</v>
      </c>
      <c r="J336" t="s">
        <v>21</v>
      </c>
      <c r="K336">
        <v>5</v>
      </c>
      <c r="L336">
        <v>5234.05</v>
      </c>
      <c r="M336">
        <v>10</v>
      </c>
      <c r="N336">
        <v>23553.23</v>
      </c>
      <c r="O336" t="s">
        <v>22</v>
      </c>
    </row>
    <row r="337" spans="1:15" x14ac:dyDescent="0.3">
      <c r="A337" t="s">
        <v>405</v>
      </c>
      <c r="B337" s="2">
        <v>45627</v>
      </c>
      <c r="C337" t="s">
        <v>49</v>
      </c>
      <c r="D337" t="str">
        <f t="shared" si="5"/>
        <v>December</v>
      </c>
      <c r="E337" t="s">
        <v>72</v>
      </c>
      <c r="F337" t="s">
        <v>60</v>
      </c>
      <c r="G337" t="s">
        <v>70</v>
      </c>
      <c r="H337" t="s">
        <v>33</v>
      </c>
      <c r="I337" t="s">
        <v>42</v>
      </c>
      <c r="J337" t="s">
        <v>28</v>
      </c>
      <c r="K337">
        <v>1</v>
      </c>
      <c r="L337">
        <v>48033.27</v>
      </c>
      <c r="M337">
        <v>0</v>
      </c>
      <c r="N337">
        <v>48033.27</v>
      </c>
      <c r="O337" t="s">
        <v>47</v>
      </c>
    </row>
    <row r="338" spans="1:15" x14ac:dyDescent="0.3">
      <c r="A338" t="s">
        <v>406</v>
      </c>
      <c r="B338" s="2">
        <v>45628</v>
      </c>
      <c r="C338" t="s">
        <v>15</v>
      </c>
      <c r="D338" t="str">
        <f t="shared" si="5"/>
        <v>December</v>
      </c>
      <c r="E338" t="s">
        <v>32</v>
      </c>
      <c r="F338" t="s">
        <v>17</v>
      </c>
      <c r="G338" t="s">
        <v>123</v>
      </c>
      <c r="H338" t="s">
        <v>33</v>
      </c>
      <c r="I338" t="s">
        <v>20</v>
      </c>
      <c r="J338" t="s">
        <v>43</v>
      </c>
      <c r="K338">
        <v>3</v>
      </c>
      <c r="L338">
        <v>48273.05</v>
      </c>
      <c r="M338">
        <v>10</v>
      </c>
      <c r="N338">
        <v>130337.24</v>
      </c>
      <c r="O338" t="s">
        <v>36</v>
      </c>
    </row>
    <row r="339" spans="1:15" x14ac:dyDescent="0.3">
      <c r="A339" t="s">
        <v>407</v>
      </c>
      <c r="B339" s="2">
        <v>45629</v>
      </c>
      <c r="C339" t="s">
        <v>58</v>
      </c>
      <c r="D339" t="str">
        <f t="shared" si="5"/>
        <v>December</v>
      </c>
      <c r="E339" t="s">
        <v>32</v>
      </c>
      <c r="F339" t="s">
        <v>17</v>
      </c>
      <c r="G339" t="s">
        <v>63</v>
      </c>
      <c r="H339" t="s">
        <v>33</v>
      </c>
      <c r="I339" t="s">
        <v>42</v>
      </c>
      <c r="J339" t="s">
        <v>21</v>
      </c>
      <c r="K339">
        <v>3</v>
      </c>
      <c r="L339">
        <v>59528.28</v>
      </c>
      <c r="M339">
        <v>5</v>
      </c>
      <c r="N339">
        <v>169655.59</v>
      </c>
      <c r="O339" t="s">
        <v>22</v>
      </c>
    </row>
    <row r="340" spans="1:15" x14ac:dyDescent="0.3">
      <c r="A340" t="s">
        <v>408</v>
      </c>
      <c r="B340" s="2">
        <v>45630</v>
      </c>
      <c r="C340" t="s">
        <v>38</v>
      </c>
      <c r="D340" t="str">
        <f t="shared" si="5"/>
        <v>December</v>
      </c>
      <c r="E340" t="s">
        <v>52</v>
      </c>
      <c r="F340" t="s">
        <v>53</v>
      </c>
      <c r="G340" t="s">
        <v>65</v>
      </c>
      <c r="H340" t="s">
        <v>27</v>
      </c>
      <c r="I340" t="s">
        <v>42</v>
      </c>
      <c r="J340" t="s">
        <v>35</v>
      </c>
      <c r="K340">
        <v>3</v>
      </c>
      <c r="L340">
        <v>29064.81</v>
      </c>
      <c r="M340">
        <v>5</v>
      </c>
      <c r="N340">
        <v>82834.710000000006</v>
      </c>
      <c r="O340" t="s">
        <v>47</v>
      </c>
    </row>
    <row r="341" spans="1:15" x14ac:dyDescent="0.3">
      <c r="A341" t="s">
        <v>409</v>
      </c>
      <c r="B341" s="2">
        <v>45631</v>
      </c>
      <c r="C341" t="s">
        <v>38</v>
      </c>
      <c r="D341" t="str">
        <f t="shared" si="5"/>
        <v>December</v>
      </c>
      <c r="E341" t="s">
        <v>24</v>
      </c>
      <c r="F341" t="s">
        <v>25</v>
      </c>
      <c r="G341" t="s">
        <v>92</v>
      </c>
      <c r="H341" t="s">
        <v>33</v>
      </c>
      <c r="I341" t="s">
        <v>34</v>
      </c>
      <c r="J341" t="s">
        <v>43</v>
      </c>
      <c r="K341">
        <v>1</v>
      </c>
      <c r="L341">
        <v>2469.12</v>
      </c>
      <c r="M341">
        <v>20</v>
      </c>
      <c r="N341">
        <v>1975.3</v>
      </c>
      <c r="O341" t="s">
        <v>29</v>
      </c>
    </row>
    <row r="342" spans="1:15" x14ac:dyDescent="0.3">
      <c r="A342" t="s">
        <v>410</v>
      </c>
      <c r="B342" s="2">
        <v>45632</v>
      </c>
      <c r="C342" t="s">
        <v>15</v>
      </c>
      <c r="D342" t="str">
        <f t="shared" si="5"/>
        <v>December</v>
      </c>
      <c r="E342" t="s">
        <v>69</v>
      </c>
      <c r="F342" t="s">
        <v>53</v>
      </c>
      <c r="G342" t="s">
        <v>65</v>
      </c>
      <c r="H342" t="s">
        <v>45</v>
      </c>
      <c r="I342" t="s">
        <v>20</v>
      </c>
      <c r="J342" t="s">
        <v>46</v>
      </c>
      <c r="K342">
        <v>4</v>
      </c>
      <c r="L342">
        <v>27824.19</v>
      </c>
      <c r="M342">
        <v>20</v>
      </c>
      <c r="N342">
        <v>89037.42</v>
      </c>
      <c r="O342" t="s">
        <v>29</v>
      </c>
    </row>
    <row r="343" spans="1:15" x14ac:dyDescent="0.3">
      <c r="A343" t="s">
        <v>411</v>
      </c>
      <c r="B343" s="2">
        <v>45633</v>
      </c>
      <c r="C343" t="s">
        <v>38</v>
      </c>
      <c r="D343" t="str">
        <f t="shared" si="5"/>
        <v>December</v>
      </c>
      <c r="E343" t="s">
        <v>32</v>
      </c>
      <c r="F343" t="s">
        <v>17</v>
      </c>
      <c r="G343" t="s">
        <v>63</v>
      </c>
      <c r="H343" t="s">
        <v>33</v>
      </c>
      <c r="I343" t="s">
        <v>34</v>
      </c>
      <c r="J343" t="s">
        <v>21</v>
      </c>
      <c r="K343">
        <v>2</v>
      </c>
      <c r="L343">
        <v>55772.22</v>
      </c>
      <c r="M343">
        <v>20</v>
      </c>
      <c r="N343">
        <v>89235.55</v>
      </c>
      <c r="O343" t="s">
        <v>47</v>
      </c>
    </row>
    <row r="344" spans="1:15" x14ac:dyDescent="0.3">
      <c r="A344" t="s">
        <v>412</v>
      </c>
      <c r="B344" s="2">
        <v>45634</v>
      </c>
      <c r="C344" t="s">
        <v>38</v>
      </c>
      <c r="D344" t="str">
        <f t="shared" si="5"/>
        <v>December</v>
      </c>
      <c r="E344" t="s">
        <v>69</v>
      </c>
      <c r="F344" t="s">
        <v>40</v>
      </c>
      <c r="G344" t="s">
        <v>115</v>
      </c>
      <c r="H344" t="s">
        <v>19</v>
      </c>
      <c r="I344" t="s">
        <v>20</v>
      </c>
      <c r="J344" t="s">
        <v>46</v>
      </c>
      <c r="K344">
        <v>1</v>
      </c>
      <c r="L344">
        <v>5838.12</v>
      </c>
      <c r="M344">
        <v>10</v>
      </c>
      <c r="N344">
        <v>5254.31</v>
      </c>
      <c r="O344" t="s">
        <v>29</v>
      </c>
    </row>
    <row r="345" spans="1:15" x14ac:dyDescent="0.3">
      <c r="A345" t="s">
        <v>413</v>
      </c>
      <c r="B345" s="2">
        <v>45635</v>
      </c>
      <c r="C345" t="s">
        <v>31</v>
      </c>
      <c r="D345" t="str">
        <f t="shared" si="5"/>
        <v>December</v>
      </c>
      <c r="E345" t="s">
        <v>24</v>
      </c>
      <c r="F345" t="s">
        <v>53</v>
      </c>
      <c r="G345" t="s">
        <v>54</v>
      </c>
      <c r="H345" t="s">
        <v>33</v>
      </c>
      <c r="I345" t="s">
        <v>34</v>
      </c>
      <c r="J345" t="s">
        <v>21</v>
      </c>
      <c r="K345">
        <v>4</v>
      </c>
      <c r="L345">
        <v>34158.74</v>
      </c>
      <c r="M345">
        <v>10</v>
      </c>
      <c r="N345">
        <v>122971.46</v>
      </c>
      <c r="O345" t="s">
        <v>47</v>
      </c>
    </row>
    <row r="346" spans="1:15" x14ac:dyDescent="0.3">
      <c r="A346" t="s">
        <v>414</v>
      </c>
      <c r="B346" s="2">
        <v>45636</v>
      </c>
      <c r="C346" t="s">
        <v>15</v>
      </c>
      <c r="D346" t="str">
        <f t="shared" si="5"/>
        <v>December</v>
      </c>
      <c r="E346" t="s">
        <v>52</v>
      </c>
      <c r="F346" t="s">
        <v>17</v>
      </c>
      <c r="G346" t="s">
        <v>67</v>
      </c>
      <c r="H346" t="s">
        <v>27</v>
      </c>
      <c r="I346" t="s">
        <v>20</v>
      </c>
      <c r="J346" t="s">
        <v>43</v>
      </c>
      <c r="K346">
        <v>5</v>
      </c>
      <c r="L346">
        <v>62955.41</v>
      </c>
      <c r="M346">
        <v>0</v>
      </c>
      <c r="N346">
        <v>314777.07</v>
      </c>
      <c r="O346" t="s">
        <v>36</v>
      </c>
    </row>
    <row r="347" spans="1:15" x14ac:dyDescent="0.3">
      <c r="A347" t="s">
        <v>415</v>
      </c>
      <c r="B347" s="2">
        <v>45637</v>
      </c>
      <c r="C347" t="s">
        <v>15</v>
      </c>
      <c r="D347" t="str">
        <f t="shared" si="5"/>
        <v>December</v>
      </c>
      <c r="E347" t="s">
        <v>50</v>
      </c>
      <c r="F347" t="s">
        <v>40</v>
      </c>
      <c r="G347" t="s">
        <v>75</v>
      </c>
      <c r="H347" t="s">
        <v>27</v>
      </c>
      <c r="I347" t="s">
        <v>42</v>
      </c>
      <c r="J347" t="s">
        <v>43</v>
      </c>
      <c r="K347">
        <v>3</v>
      </c>
      <c r="L347">
        <v>5459.98</v>
      </c>
      <c r="M347">
        <v>5</v>
      </c>
      <c r="N347">
        <v>15560.95</v>
      </c>
      <c r="O347" t="s">
        <v>47</v>
      </c>
    </row>
    <row r="348" spans="1:15" x14ac:dyDescent="0.3">
      <c r="A348" t="s">
        <v>416</v>
      </c>
      <c r="B348" s="2">
        <v>45638</v>
      </c>
      <c r="C348" t="s">
        <v>38</v>
      </c>
      <c r="D348" t="str">
        <f t="shared" si="5"/>
        <v>December</v>
      </c>
      <c r="E348" t="s">
        <v>52</v>
      </c>
      <c r="F348" t="s">
        <v>60</v>
      </c>
      <c r="G348" t="s">
        <v>73</v>
      </c>
      <c r="H348" t="s">
        <v>33</v>
      </c>
      <c r="I348" t="s">
        <v>42</v>
      </c>
      <c r="J348" t="s">
        <v>43</v>
      </c>
      <c r="K348">
        <v>1</v>
      </c>
      <c r="L348">
        <v>34533.120000000003</v>
      </c>
      <c r="M348">
        <v>0</v>
      </c>
      <c r="N348">
        <v>34533.120000000003</v>
      </c>
      <c r="O348" t="s">
        <v>22</v>
      </c>
    </row>
    <row r="349" spans="1:15" x14ac:dyDescent="0.3">
      <c r="A349" t="s">
        <v>417</v>
      </c>
      <c r="B349" s="2">
        <v>45639</v>
      </c>
      <c r="C349" t="s">
        <v>49</v>
      </c>
      <c r="D349" t="str">
        <f t="shared" si="5"/>
        <v>December</v>
      </c>
      <c r="E349" t="s">
        <v>100</v>
      </c>
      <c r="F349" t="s">
        <v>17</v>
      </c>
      <c r="G349" t="s">
        <v>123</v>
      </c>
      <c r="H349" t="s">
        <v>45</v>
      </c>
      <c r="I349" t="s">
        <v>20</v>
      </c>
      <c r="J349" t="s">
        <v>43</v>
      </c>
      <c r="K349">
        <v>3</v>
      </c>
      <c r="L349">
        <v>70755.679999999993</v>
      </c>
      <c r="M349">
        <v>10</v>
      </c>
      <c r="N349">
        <v>191040.34</v>
      </c>
      <c r="O349" t="s">
        <v>36</v>
      </c>
    </row>
    <row r="350" spans="1:15" x14ac:dyDescent="0.3">
      <c r="A350" t="s">
        <v>418</v>
      </c>
      <c r="B350" s="2">
        <v>45640</v>
      </c>
      <c r="C350" t="s">
        <v>15</v>
      </c>
      <c r="D350" t="str">
        <f t="shared" si="5"/>
        <v>December</v>
      </c>
      <c r="E350" t="s">
        <v>16</v>
      </c>
      <c r="F350" t="s">
        <v>25</v>
      </c>
      <c r="G350" t="s">
        <v>92</v>
      </c>
      <c r="H350" t="s">
        <v>27</v>
      </c>
      <c r="I350" t="s">
        <v>34</v>
      </c>
      <c r="J350" t="s">
        <v>43</v>
      </c>
      <c r="K350">
        <v>2</v>
      </c>
      <c r="L350">
        <v>2294.2800000000002</v>
      </c>
      <c r="M350">
        <v>20</v>
      </c>
      <c r="N350">
        <v>3670.85</v>
      </c>
      <c r="O350" t="s">
        <v>47</v>
      </c>
    </row>
    <row r="351" spans="1:15" x14ac:dyDescent="0.3">
      <c r="A351" t="s">
        <v>419</v>
      </c>
      <c r="B351" s="2">
        <v>45641</v>
      </c>
      <c r="C351" t="s">
        <v>38</v>
      </c>
      <c r="D351" t="str">
        <f t="shared" si="5"/>
        <v>December</v>
      </c>
      <c r="E351" t="s">
        <v>32</v>
      </c>
      <c r="F351" t="s">
        <v>53</v>
      </c>
      <c r="G351" t="s">
        <v>105</v>
      </c>
      <c r="H351" t="s">
        <v>27</v>
      </c>
      <c r="I351" t="s">
        <v>20</v>
      </c>
      <c r="J351" t="s">
        <v>46</v>
      </c>
      <c r="K351">
        <v>5</v>
      </c>
      <c r="L351">
        <v>37189.599999999999</v>
      </c>
      <c r="M351">
        <v>5</v>
      </c>
      <c r="N351">
        <v>176650.58</v>
      </c>
      <c r="O351" t="s">
        <v>47</v>
      </c>
    </row>
    <row r="352" spans="1:15" x14ac:dyDescent="0.3">
      <c r="A352" t="s">
        <v>420</v>
      </c>
      <c r="B352" s="2">
        <v>45642</v>
      </c>
      <c r="C352" t="s">
        <v>49</v>
      </c>
      <c r="D352" t="str">
        <f t="shared" si="5"/>
        <v>December</v>
      </c>
      <c r="E352" t="s">
        <v>77</v>
      </c>
      <c r="F352" t="s">
        <v>53</v>
      </c>
      <c r="G352" t="s">
        <v>129</v>
      </c>
      <c r="H352" t="s">
        <v>19</v>
      </c>
      <c r="I352" t="s">
        <v>42</v>
      </c>
      <c r="J352" t="s">
        <v>46</v>
      </c>
      <c r="K352">
        <v>4</v>
      </c>
      <c r="L352">
        <v>33932.17</v>
      </c>
      <c r="M352">
        <v>10</v>
      </c>
      <c r="N352">
        <v>122155.82</v>
      </c>
      <c r="O352" t="s">
        <v>29</v>
      </c>
    </row>
    <row r="353" spans="1:15" x14ac:dyDescent="0.3">
      <c r="A353" t="s">
        <v>421</v>
      </c>
      <c r="B353" s="2">
        <v>45643</v>
      </c>
      <c r="C353" t="s">
        <v>58</v>
      </c>
      <c r="D353" t="str">
        <f t="shared" si="5"/>
        <v>December</v>
      </c>
      <c r="E353" t="s">
        <v>100</v>
      </c>
      <c r="F353" t="s">
        <v>25</v>
      </c>
      <c r="G353" t="s">
        <v>81</v>
      </c>
      <c r="H353" t="s">
        <v>27</v>
      </c>
      <c r="I353" t="s">
        <v>34</v>
      </c>
      <c r="J353" t="s">
        <v>35</v>
      </c>
      <c r="K353">
        <v>1</v>
      </c>
      <c r="L353">
        <v>2903.89</v>
      </c>
      <c r="M353">
        <v>5</v>
      </c>
      <c r="N353">
        <v>2758.69</v>
      </c>
      <c r="O353" t="s">
        <v>22</v>
      </c>
    </row>
    <row r="354" spans="1:15" x14ac:dyDescent="0.3">
      <c r="A354" t="s">
        <v>422</v>
      </c>
      <c r="B354" s="2">
        <v>45644</v>
      </c>
      <c r="C354" t="s">
        <v>15</v>
      </c>
      <c r="D354" t="str">
        <f t="shared" si="5"/>
        <v>December</v>
      </c>
      <c r="E354" t="s">
        <v>32</v>
      </c>
      <c r="F354" t="s">
        <v>17</v>
      </c>
      <c r="G354" t="s">
        <v>123</v>
      </c>
      <c r="H354" t="s">
        <v>33</v>
      </c>
      <c r="I354" t="s">
        <v>42</v>
      </c>
      <c r="J354" t="s">
        <v>21</v>
      </c>
      <c r="K354">
        <v>4</v>
      </c>
      <c r="L354">
        <v>59280.08</v>
      </c>
      <c r="M354">
        <v>10</v>
      </c>
      <c r="N354">
        <v>213408.28</v>
      </c>
      <c r="O354" t="s">
        <v>47</v>
      </c>
    </row>
    <row r="355" spans="1:15" x14ac:dyDescent="0.3">
      <c r="A355" t="s">
        <v>423</v>
      </c>
      <c r="B355" s="2">
        <v>45645</v>
      </c>
      <c r="C355" t="s">
        <v>38</v>
      </c>
      <c r="D355" t="str">
        <f t="shared" si="5"/>
        <v>December</v>
      </c>
      <c r="E355" t="s">
        <v>24</v>
      </c>
      <c r="F355" t="s">
        <v>40</v>
      </c>
      <c r="G355" t="s">
        <v>118</v>
      </c>
      <c r="H355" t="s">
        <v>27</v>
      </c>
      <c r="I355" t="s">
        <v>34</v>
      </c>
      <c r="J355" t="s">
        <v>43</v>
      </c>
      <c r="K355">
        <v>1</v>
      </c>
      <c r="L355">
        <v>7342.45</v>
      </c>
      <c r="M355">
        <v>15</v>
      </c>
      <c r="N355">
        <v>6241.08</v>
      </c>
      <c r="O355" t="s">
        <v>47</v>
      </c>
    </row>
    <row r="356" spans="1:15" x14ac:dyDescent="0.3">
      <c r="A356" t="s">
        <v>424</v>
      </c>
      <c r="B356" s="2">
        <v>45646</v>
      </c>
      <c r="C356" t="s">
        <v>49</v>
      </c>
      <c r="D356" t="str">
        <f t="shared" si="5"/>
        <v>December</v>
      </c>
      <c r="E356" t="s">
        <v>100</v>
      </c>
      <c r="F356" t="s">
        <v>40</v>
      </c>
      <c r="G356" t="s">
        <v>118</v>
      </c>
      <c r="H356" t="s">
        <v>33</v>
      </c>
      <c r="I356" t="s">
        <v>34</v>
      </c>
      <c r="J356" t="s">
        <v>35</v>
      </c>
      <c r="K356">
        <v>4</v>
      </c>
      <c r="L356">
        <v>7436.89</v>
      </c>
      <c r="M356">
        <v>15</v>
      </c>
      <c r="N356">
        <v>25285.42</v>
      </c>
      <c r="O356" t="s">
        <v>29</v>
      </c>
    </row>
    <row r="357" spans="1:15" x14ac:dyDescent="0.3">
      <c r="A357" t="s">
        <v>425</v>
      </c>
      <c r="B357" s="2">
        <v>45647</v>
      </c>
      <c r="C357" t="s">
        <v>15</v>
      </c>
      <c r="D357" t="str">
        <f t="shared" si="5"/>
        <v>December</v>
      </c>
      <c r="E357" t="s">
        <v>24</v>
      </c>
      <c r="F357" t="s">
        <v>60</v>
      </c>
      <c r="G357" t="s">
        <v>78</v>
      </c>
      <c r="H357" t="s">
        <v>19</v>
      </c>
      <c r="I357" t="s">
        <v>34</v>
      </c>
      <c r="J357" t="s">
        <v>35</v>
      </c>
      <c r="K357">
        <v>3</v>
      </c>
      <c r="L357">
        <v>38728.85</v>
      </c>
      <c r="M357">
        <v>5</v>
      </c>
      <c r="N357">
        <v>110377.22</v>
      </c>
      <c r="O357" t="s">
        <v>29</v>
      </c>
    </row>
    <row r="358" spans="1:15" x14ac:dyDescent="0.3">
      <c r="A358" t="s">
        <v>426</v>
      </c>
      <c r="B358" s="2">
        <v>45648</v>
      </c>
      <c r="C358" t="s">
        <v>58</v>
      </c>
      <c r="D358" t="str">
        <f t="shared" si="5"/>
        <v>December</v>
      </c>
      <c r="E358" t="s">
        <v>16</v>
      </c>
      <c r="F358" t="s">
        <v>60</v>
      </c>
      <c r="G358" t="s">
        <v>73</v>
      </c>
      <c r="H358" t="s">
        <v>33</v>
      </c>
      <c r="I358" t="s">
        <v>34</v>
      </c>
      <c r="J358" t="s">
        <v>43</v>
      </c>
      <c r="K358">
        <v>2</v>
      </c>
      <c r="L358">
        <v>41966.75</v>
      </c>
      <c r="M358">
        <v>15</v>
      </c>
      <c r="N358">
        <v>71343.47</v>
      </c>
      <c r="O358" t="s">
        <v>47</v>
      </c>
    </row>
    <row r="359" spans="1:15" x14ac:dyDescent="0.3">
      <c r="A359" t="s">
        <v>427</v>
      </c>
      <c r="B359" s="2">
        <v>45649</v>
      </c>
      <c r="C359" t="s">
        <v>38</v>
      </c>
      <c r="D359" t="str">
        <f t="shared" si="5"/>
        <v>December</v>
      </c>
      <c r="E359" t="s">
        <v>16</v>
      </c>
      <c r="F359" t="s">
        <v>53</v>
      </c>
      <c r="G359" t="s">
        <v>129</v>
      </c>
      <c r="H359" t="s">
        <v>45</v>
      </c>
      <c r="I359" t="s">
        <v>34</v>
      </c>
      <c r="J359" t="s">
        <v>43</v>
      </c>
      <c r="K359">
        <v>3</v>
      </c>
      <c r="L359">
        <v>31576.27</v>
      </c>
      <c r="M359">
        <v>15</v>
      </c>
      <c r="N359">
        <v>80519.490000000005</v>
      </c>
      <c r="O359" t="s">
        <v>22</v>
      </c>
    </row>
    <row r="360" spans="1:15" x14ac:dyDescent="0.3">
      <c r="A360" t="s">
        <v>428</v>
      </c>
      <c r="B360" s="2">
        <v>45650</v>
      </c>
      <c r="C360" t="s">
        <v>31</v>
      </c>
      <c r="D360" t="str">
        <f t="shared" si="5"/>
        <v>December</v>
      </c>
      <c r="E360" t="s">
        <v>72</v>
      </c>
      <c r="F360" t="s">
        <v>25</v>
      </c>
      <c r="G360" t="s">
        <v>92</v>
      </c>
      <c r="H360" t="s">
        <v>27</v>
      </c>
      <c r="I360" t="s">
        <v>34</v>
      </c>
      <c r="J360" t="s">
        <v>35</v>
      </c>
      <c r="K360">
        <v>4</v>
      </c>
      <c r="L360">
        <v>2108.13</v>
      </c>
      <c r="M360">
        <v>20</v>
      </c>
      <c r="N360">
        <v>6746.02</v>
      </c>
      <c r="O360" t="s">
        <v>22</v>
      </c>
    </row>
    <row r="361" spans="1:15" x14ac:dyDescent="0.3">
      <c r="A361" t="s">
        <v>429</v>
      </c>
      <c r="B361" s="2">
        <v>45651</v>
      </c>
      <c r="C361" t="s">
        <v>49</v>
      </c>
      <c r="D361" t="str">
        <f t="shared" si="5"/>
        <v>December</v>
      </c>
      <c r="E361" t="s">
        <v>77</v>
      </c>
      <c r="F361" t="s">
        <v>40</v>
      </c>
      <c r="G361" t="s">
        <v>75</v>
      </c>
      <c r="H361" t="s">
        <v>33</v>
      </c>
      <c r="I361" t="s">
        <v>42</v>
      </c>
      <c r="J361" t="s">
        <v>46</v>
      </c>
      <c r="K361">
        <v>2</v>
      </c>
      <c r="L361">
        <v>7497.89</v>
      </c>
      <c r="M361">
        <v>10</v>
      </c>
      <c r="N361">
        <v>13496.21</v>
      </c>
      <c r="O361" t="s">
        <v>29</v>
      </c>
    </row>
    <row r="362" spans="1:15" x14ac:dyDescent="0.3">
      <c r="A362" t="s">
        <v>430</v>
      </c>
      <c r="B362" s="2">
        <v>45652</v>
      </c>
      <c r="C362" t="s">
        <v>31</v>
      </c>
      <c r="D362" t="str">
        <f t="shared" si="5"/>
        <v>December</v>
      </c>
      <c r="E362" t="s">
        <v>32</v>
      </c>
      <c r="F362" t="s">
        <v>40</v>
      </c>
      <c r="G362" t="s">
        <v>118</v>
      </c>
      <c r="H362" t="s">
        <v>33</v>
      </c>
      <c r="I362" t="s">
        <v>34</v>
      </c>
      <c r="J362" t="s">
        <v>46</v>
      </c>
      <c r="K362">
        <v>2</v>
      </c>
      <c r="L362">
        <v>6019.21</v>
      </c>
      <c r="M362">
        <v>5</v>
      </c>
      <c r="N362">
        <v>11436.49</v>
      </c>
      <c r="O362" t="s">
        <v>22</v>
      </c>
    </row>
    <row r="363" spans="1:15" x14ac:dyDescent="0.3">
      <c r="A363" t="s">
        <v>431</v>
      </c>
      <c r="B363" s="2">
        <v>45653</v>
      </c>
      <c r="C363" t="s">
        <v>49</v>
      </c>
      <c r="D363" t="str">
        <f t="shared" si="5"/>
        <v>December</v>
      </c>
      <c r="E363" t="s">
        <v>32</v>
      </c>
      <c r="F363" t="s">
        <v>60</v>
      </c>
      <c r="G363" t="s">
        <v>70</v>
      </c>
      <c r="H363" t="s">
        <v>45</v>
      </c>
      <c r="I363" t="s">
        <v>34</v>
      </c>
      <c r="J363" t="s">
        <v>28</v>
      </c>
      <c r="K363">
        <v>5</v>
      </c>
      <c r="L363">
        <v>51286.65</v>
      </c>
      <c r="M363">
        <v>15</v>
      </c>
      <c r="N363">
        <v>217968.28</v>
      </c>
      <c r="O363" t="s">
        <v>22</v>
      </c>
    </row>
    <row r="364" spans="1:15" x14ac:dyDescent="0.3">
      <c r="A364" t="s">
        <v>432</v>
      </c>
      <c r="B364" s="2">
        <v>45654</v>
      </c>
      <c r="C364" t="s">
        <v>15</v>
      </c>
      <c r="D364" t="str">
        <f t="shared" si="5"/>
        <v>December</v>
      </c>
      <c r="E364" t="s">
        <v>72</v>
      </c>
      <c r="F364" t="s">
        <v>60</v>
      </c>
      <c r="G364" t="s">
        <v>78</v>
      </c>
      <c r="H364" t="s">
        <v>45</v>
      </c>
      <c r="I364" t="s">
        <v>34</v>
      </c>
      <c r="J364" t="s">
        <v>35</v>
      </c>
      <c r="K364">
        <v>5</v>
      </c>
      <c r="L364">
        <v>43788.45</v>
      </c>
      <c r="M364">
        <v>5</v>
      </c>
      <c r="N364">
        <v>207995.14</v>
      </c>
      <c r="O364" t="s">
        <v>36</v>
      </c>
    </row>
    <row r="365" spans="1:15" x14ac:dyDescent="0.3">
      <c r="A365" t="s">
        <v>433</v>
      </c>
      <c r="B365" s="2">
        <v>45655</v>
      </c>
      <c r="C365" t="s">
        <v>58</v>
      </c>
      <c r="D365" t="str">
        <f t="shared" si="5"/>
        <v>December</v>
      </c>
      <c r="E365" t="s">
        <v>52</v>
      </c>
      <c r="F365" t="s">
        <v>40</v>
      </c>
      <c r="G365" t="s">
        <v>41</v>
      </c>
      <c r="H365" t="s">
        <v>19</v>
      </c>
      <c r="I365" t="s">
        <v>42</v>
      </c>
      <c r="J365" t="s">
        <v>43</v>
      </c>
      <c r="K365">
        <v>4</v>
      </c>
      <c r="L365">
        <v>5108.92</v>
      </c>
      <c r="M365">
        <v>10</v>
      </c>
      <c r="N365">
        <v>18392.099999999999</v>
      </c>
      <c r="O365" t="s">
        <v>47</v>
      </c>
    </row>
    <row r="366" spans="1:15" x14ac:dyDescent="0.3">
      <c r="A366" t="s">
        <v>434</v>
      </c>
      <c r="B366" s="2">
        <v>45656</v>
      </c>
      <c r="C366" t="s">
        <v>31</v>
      </c>
      <c r="D366" t="str">
        <f t="shared" si="5"/>
        <v>December</v>
      </c>
      <c r="E366" t="s">
        <v>77</v>
      </c>
      <c r="F366" t="s">
        <v>60</v>
      </c>
      <c r="G366" t="s">
        <v>73</v>
      </c>
      <c r="H366" t="s">
        <v>33</v>
      </c>
      <c r="I366" t="s">
        <v>34</v>
      </c>
      <c r="J366" t="s">
        <v>21</v>
      </c>
      <c r="K366">
        <v>3</v>
      </c>
      <c r="L366">
        <v>45033.43</v>
      </c>
      <c r="M366">
        <v>0</v>
      </c>
      <c r="N366">
        <v>135100.29</v>
      </c>
      <c r="O366" t="s">
        <v>29</v>
      </c>
    </row>
    <row r="367" spans="1:15" x14ac:dyDescent="0.3">
      <c r="A367" t="s">
        <v>435</v>
      </c>
      <c r="B367" s="2">
        <v>45657</v>
      </c>
      <c r="C367" t="s">
        <v>58</v>
      </c>
      <c r="D367" t="str">
        <f t="shared" si="5"/>
        <v>December</v>
      </c>
      <c r="E367" t="s">
        <v>32</v>
      </c>
      <c r="F367" t="s">
        <v>60</v>
      </c>
      <c r="G367" t="s">
        <v>78</v>
      </c>
      <c r="H367" t="s">
        <v>45</v>
      </c>
      <c r="I367" t="s">
        <v>34</v>
      </c>
      <c r="J367" t="s">
        <v>35</v>
      </c>
      <c r="K367">
        <v>1</v>
      </c>
      <c r="L367">
        <v>44540.87</v>
      </c>
      <c r="M367">
        <v>5</v>
      </c>
      <c r="N367">
        <v>42313.83</v>
      </c>
      <c r="O367" t="s">
        <v>47</v>
      </c>
    </row>
    <row r="368" spans="1:15" x14ac:dyDescent="0.3">
      <c r="A368" t="s">
        <v>436</v>
      </c>
      <c r="B368" s="2">
        <v>45658</v>
      </c>
      <c r="C368" t="s">
        <v>31</v>
      </c>
      <c r="D368" t="str">
        <f t="shared" si="5"/>
        <v>January</v>
      </c>
      <c r="E368" t="s">
        <v>69</v>
      </c>
      <c r="F368" t="s">
        <v>40</v>
      </c>
      <c r="G368" t="s">
        <v>41</v>
      </c>
      <c r="H368" t="s">
        <v>45</v>
      </c>
      <c r="I368" t="s">
        <v>34</v>
      </c>
      <c r="J368" t="s">
        <v>46</v>
      </c>
      <c r="K368">
        <v>1</v>
      </c>
      <c r="L368">
        <v>6544.41</v>
      </c>
      <c r="M368">
        <v>5</v>
      </c>
      <c r="N368">
        <v>6217.19</v>
      </c>
      <c r="O368" t="s">
        <v>47</v>
      </c>
    </row>
    <row r="369" spans="1:15" x14ac:dyDescent="0.3">
      <c r="A369" t="s">
        <v>437</v>
      </c>
      <c r="B369" s="2">
        <v>45659</v>
      </c>
      <c r="C369" t="s">
        <v>38</v>
      </c>
      <c r="D369" t="str">
        <f t="shared" si="5"/>
        <v>January</v>
      </c>
      <c r="E369" t="s">
        <v>50</v>
      </c>
      <c r="F369" t="s">
        <v>60</v>
      </c>
      <c r="G369" t="s">
        <v>70</v>
      </c>
      <c r="H369" t="s">
        <v>33</v>
      </c>
      <c r="I369" t="s">
        <v>20</v>
      </c>
      <c r="J369" t="s">
        <v>46</v>
      </c>
      <c r="K369">
        <v>3</v>
      </c>
      <c r="L369">
        <v>44459.81</v>
      </c>
      <c r="M369">
        <v>0</v>
      </c>
      <c r="N369">
        <v>133379.43</v>
      </c>
      <c r="O369" t="s">
        <v>22</v>
      </c>
    </row>
    <row r="370" spans="1:15" x14ac:dyDescent="0.3">
      <c r="A370" t="s">
        <v>438</v>
      </c>
      <c r="B370" s="2">
        <v>45660</v>
      </c>
      <c r="C370" t="s">
        <v>31</v>
      </c>
      <c r="D370" t="str">
        <f t="shared" si="5"/>
        <v>January</v>
      </c>
      <c r="E370" t="s">
        <v>16</v>
      </c>
      <c r="F370" t="s">
        <v>60</v>
      </c>
      <c r="G370" t="s">
        <v>73</v>
      </c>
      <c r="H370" t="s">
        <v>27</v>
      </c>
      <c r="I370" t="s">
        <v>42</v>
      </c>
      <c r="J370" t="s">
        <v>35</v>
      </c>
      <c r="K370">
        <v>3</v>
      </c>
      <c r="L370">
        <v>47501.83</v>
      </c>
      <c r="M370">
        <v>15</v>
      </c>
      <c r="N370">
        <v>121129.67</v>
      </c>
      <c r="O370" t="s">
        <v>47</v>
      </c>
    </row>
    <row r="371" spans="1:15" x14ac:dyDescent="0.3">
      <c r="A371" t="s">
        <v>439</v>
      </c>
      <c r="B371" s="2">
        <v>45661</v>
      </c>
      <c r="C371" t="s">
        <v>38</v>
      </c>
      <c r="D371" t="str">
        <f t="shared" si="5"/>
        <v>January</v>
      </c>
      <c r="E371" t="s">
        <v>16</v>
      </c>
      <c r="F371" t="s">
        <v>60</v>
      </c>
      <c r="G371" t="s">
        <v>61</v>
      </c>
      <c r="H371" t="s">
        <v>45</v>
      </c>
      <c r="I371" t="s">
        <v>42</v>
      </c>
      <c r="J371" t="s">
        <v>46</v>
      </c>
      <c r="K371">
        <v>2</v>
      </c>
      <c r="L371">
        <v>32558.6</v>
      </c>
      <c r="M371">
        <v>20</v>
      </c>
      <c r="N371">
        <v>52093.760000000002</v>
      </c>
      <c r="O371" t="s">
        <v>47</v>
      </c>
    </row>
    <row r="372" spans="1:15" x14ac:dyDescent="0.3">
      <c r="A372" t="s">
        <v>440</v>
      </c>
      <c r="B372" s="2">
        <v>45662</v>
      </c>
      <c r="C372" t="s">
        <v>38</v>
      </c>
      <c r="D372" t="str">
        <f t="shared" si="5"/>
        <v>January</v>
      </c>
      <c r="E372" t="s">
        <v>100</v>
      </c>
      <c r="F372" t="s">
        <v>17</v>
      </c>
      <c r="G372" t="s">
        <v>123</v>
      </c>
      <c r="H372" t="s">
        <v>19</v>
      </c>
      <c r="I372" t="s">
        <v>42</v>
      </c>
      <c r="J372" t="s">
        <v>28</v>
      </c>
      <c r="K372">
        <v>3</v>
      </c>
      <c r="L372">
        <v>57251.34</v>
      </c>
      <c r="M372">
        <v>5</v>
      </c>
      <c r="N372">
        <v>163166.31</v>
      </c>
      <c r="O372" t="s">
        <v>47</v>
      </c>
    </row>
    <row r="373" spans="1:15" x14ac:dyDescent="0.3">
      <c r="A373" t="s">
        <v>441</v>
      </c>
      <c r="B373" s="2">
        <v>45663</v>
      </c>
      <c r="C373" t="s">
        <v>15</v>
      </c>
      <c r="D373" t="str">
        <f t="shared" si="5"/>
        <v>January</v>
      </c>
      <c r="E373" t="s">
        <v>24</v>
      </c>
      <c r="F373" t="s">
        <v>60</v>
      </c>
      <c r="G373" t="s">
        <v>78</v>
      </c>
      <c r="H373" t="s">
        <v>27</v>
      </c>
      <c r="I373" t="s">
        <v>42</v>
      </c>
      <c r="J373" t="s">
        <v>21</v>
      </c>
      <c r="K373">
        <v>4</v>
      </c>
      <c r="L373">
        <v>32889.980000000003</v>
      </c>
      <c r="M373">
        <v>5</v>
      </c>
      <c r="N373">
        <v>124981.91</v>
      </c>
      <c r="O373" t="s">
        <v>47</v>
      </c>
    </row>
    <row r="374" spans="1:15" x14ac:dyDescent="0.3">
      <c r="A374" t="s">
        <v>442</v>
      </c>
      <c r="B374" s="2">
        <v>45664</v>
      </c>
      <c r="C374" t="s">
        <v>31</v>
      </c>
      <c r="D374" t="str">
        <f t="shared" si="5"/>
        <v>January</v>
      </c>
      <c r="E374" t="s">
        <v>77</v>
      </c>
      <c r="F374" t="s">
        <v>25</v>
      </c>
      <c r="G374" t="s">
        <v>56</v>
      </c>
      <c r="H374" t="s">
        <v>33</v>
      </c>
      <c r="I374" t="s">
        <v>42</v>
      </c>
      <c r="J374" t="s">
        <v>46</v>
      </c>
      <c r="K374">
        <v>2</v>
      </c>
      <c r="L374">
        <v>2576.6799999999998</v>
      </c>
      <c r="M374">
        <v>10</v>
      </c>
      <c r="N374">
        <v>4638.0200000000004</v>
      </c>
      <c r="O374" t="s">
        <v>29</v>
      </c>
    </row>
    <row r="375" spans="1:15" x14ac:dyDescent="0.3">
      <c r="A375" t="s">
        <v>443</v>
      </c>
      <c r="B375" s="2">
        <v>45665</v>
      </c>
      <c r="C375" t="s">
        <v>58</v>
      </c>
      <c r="D375" t="str">
        <f t="shared" si="5"/>
        <v>January</v>
      </c>
      <c r="E375" t="s">
        <v>100</v>
      </c>
      <c r="F375" t="s">
        <v>60</v>
      </c>
      <c r="G375" t="s">
        <v>70</v>
      </c>
      <c r="H375" t="s">
        <v>33</v>
      </c>
      <c r="I375" t="s">
        <v>34</v>
      </c>
      <c r="J375" t="s">
        <v>43</v>
      </c>
      <c r="K375">
        <v>4</v>
      </c>
      <c r="L375">
        <v>39154.19</v>
      </c>
      <c r="M375">
        <v>20</v>
      </c>
      <c r="N375">
        <v>125293.4</v>
      </c>
      <c r="O375" t="s">
        <v>47</v>
      </c>
    </row>
    <row r="376" spans="1:15" x14ac:dyDescent="0.3">
      <c r="A376" t="s">
        <v>444</v>
      </c>
      <c r="B376" s="2">
        <v>45666</v>
      </c>
      <c r="C376" t="s">
        <v>49</v>
      </c>
      <c r="D376" t="str">
        <f t="shared" si="5"/>
        <v>January</v>
      </c>
      <c r="E376" t="s">
        <v>69</v>
      </c>
      <c r="F376" t="s">
        <v>53</v>
      </c>
      <c r="G376" t="s">
        <v>54</v>
      </c>
      <c r="H376" t="s">
        <v>33</v>
      </c>
      <c r="I376" t="s">
        <v>34</v>
      </c>
      <c r="J376" t="s">
        <v>21</v>
      </c>
      <c r="K376">
        <v>1</v>
      </c>
      <c r="L376">
        <v>36680.129999999997</v>
      </c>
      <c r="M376">
        <v>0</v>
      </c>
      <c r="N376">
        <v>36680.129999999997</v>
      </c>
      <c r="O376" t="s">
        <v>47</v>
      </c>
    </row>
    <row r="377" spans="1:15" x14ac:dyDescent="0.3">
      <c r="A377" t="s">
        <v>445</v>
      </c>
      <c r="B377" s="2">
        <v>45667</v>
      </c>
      <c r="C377" t="s">
        <v>38</v>
      </c>
      <c r="D377" t="str">
        <f t="shared" si="5"/>
        <v>January</v>
      </c>
      <c r="E377" t="s">
        <v>52</v>
      </c>
      <c r="F377" t="s">
        <v>17</v>
      </c>
      <c r="G377" t="s">
        <v>123</v>
      </c>
      <c r="H377" t="s">
        <v>27</v>
      </c>
      <c r="I377" t="s">
        <v>34</v>
      </c>
      <c r="J377" t="s">
        <v>35</v>
      </c>
      <c r="K377">
        <v>2</v>
      </c>
      <c r="L377">
        <v>65654.490000000005</v>
      </c>
      <c r="M377">
        <v>5</v>
      </c>
      <c r="N377">
        <v>124743.53</v>
      </c>
      <c r="O377" t="s">
        <v>36</v>
      </c>
    </row>
    <row r="378" spans="1:15" x14ac:dyDescent="0.3">
      <c r="A378" t="s">
        <v>446</v>
      </c>
      <c r="B378" s="2">
        <v>45668</v>
      </c>
      <c r="C378" t="s">
        <v>58</v>
      </c>
      <c r="D378" t="str">
        <f t="shared" si="5"/>
        <v>January</v>
      </c>
      <c r="E378" t="s">
        <v>32</v>
      </c>
      <c r="F378" t="s">
        <v>17</v>
      </c>
      <c r="G378" t="s">
        <v>18</v>
      </c>
      <c r="H378" t="s">
        <v>33</v>
      </c>
      <c r="I378" t="s">
        <v>42</v>
      </c>
      <c r="J378" t="s">
        <v>35</v>
      </c>
      <c r="K378">
        <v>4</v>
      </c>
      <c r="L378">
        <v>71760.47</v>
      </c>
      <c r="M378">
        <v>5</v>
      </c>
      <c r="N378">
        <v>272689.78000000003</v>
      </c>
      <c r="O378" t="s">
        <v>36</v>
      </c>
    </row>
    <row r="379" spans="1:15" x14ac:dyDescent="0.3">
      <c r="A379" t="s">
        <v>447</v>
      </c>
      <c r="B379" s="2">
        <v>45669</v>
      </c>
      <c r="C379" t="s">
        <v>58</v>
      </c>
      <c r="D379" t="str">
        <f t="shared" si="5"/>
        <v>January</v>
      </c>
      <c r="E379" t="s">
        <v>16</v>
      </c>
      <c r="F379" t="s">
        <v>40</v>
      </c>
      <c r="G379" t="s">
        <v>118</v>
      </c>
      <c r="H379" t="s">
        <v>45</v>
      </c>
      <c r="I379" t="s">
        <v>34</v>
      </c>
      <c r="J379" t="s">
        <v>46</v>
      </c>
      <c r="K379">
        <v>3</v>
      </c>
      <c r="L379">
        <v>6942.16</v>
      </c>
      <c r="M379">
        <v>0</v>
      </c>
      <c r="N379">
        <v>20826.47</v>
      </c>
      <c r="O379" t="s">
        <v>47</v>
      </c>
    </row>
    <row r="380" spans="1:15" x14ac:dyDescent="0.3">
      <c r="A380" t="s">
        <v>448</v>
      </c>
      <c r="B380" s="2">
        <v>45670</v>
      </c>
      <c r="C380" t="s">
        <v>49</v>
      </c>
      <c r="D380" t="str">
        <f t="shared" si="5"/>
        <v>January</v>
      </c>
      <c r="E380" t="s">
        <v>24</v>
      </c>
      <c r="F380" t="s">
        <v>53</v>
      </c>
      <c r="G380" t="s">
        <v>129</v>
      </c>
      <c r="H380" t="s">
        <v>45</v>
      </c>
      <c r="I380" t="s">
        <v>42</v>
      </c>
      <c r="J380" t="s">
        <v>35</v>
      </c>
      <c r="K380">
        <v>4</v>
      </c>
      <c r="L380">
        <v>30107.02</v>
      </c>
      <c r="M380">
        <v>5</v>
      </c>
      <c r="N380">
        <v>114406.69</v>
      </c>
      <c r="O380" t="s">
        <v>47</v>
      </c>
    </row>
    <row r="381" spans="1:15" x14ac:dyDescent="0.3">
      <c r="A381" t="s">
        <v>449</v>
      </c>
      <c r="B381" s="2">
        <v>45671</v>
      </c>
      <c r="C381" t="s">
        <v>15</v>
      </c>
      <c r="D381" t="str">
        <f t="shared" si="5"/>
        <v>January</v>
      </c>
      <c r="E381" t="s">
        <v>32</v>
      </c>
      <c r="F381" t="s">
        <v>60</v>
      </c>
      <c r="G381" t="s">
        <v>78</v>
      </c>
      <c r="H381" t="s">
        <v>33</v>
      </c>
      <c r="I381" t="s">
        <v>42</v>
      </c>
      <c r="J381" t="s">
        <v>46</v>
      </c>
      <c r="K381">
        <v>3</v>
      </c>
      <c r="L381">
        <v>47504.480000000003</v>
      </c>
      <c r="M381">
        <v>0</v>
      </c>
      <c r="N381">
        <v>142513.43</v>
      </c>
      <c r="O381" t="s">
        <v>47</v>
      </c>
    </row>
    <row r="382" spans="1:15" x14ac:dyDescent="0.3">
      <c r="A382" t="s">
        <v>450</v>
      </c>
      <c r="B382" s="2">
        <v>45672</v>
      </c>
      <c r="C382" t="s">
        <v>38</v>
      </c>
      <c r="D382" t="str">
        <f t="shared" si="5"/>
        <v>January</v>
      </c>
      <c r="E382" t="s">
        <v>32</v>
      </c>
      <c r="F382" t="s">
        <v>25</v>
      </c>
      <c r="G382" t="s">
        <v>92</v>
      </c>
      <c r="H382" t="s">
        <v>27</v>
      </c>
      <c r="I382" t="s">
        <v>42</v>
      </c>
      <c r="J382" t="s">
        <v>43</v>
      </c>
      <c r="K382">
        <v>3</v>
      </c>
      <c r="L382">
        <v>2298.36</v>
      </c>
      <c r="M382">
        <v>0</v>
      </c>
      <c r="N382">
        <v>6895.08</v>
      </c>
      <c r="O382" t="s">
        <v>29</v>
      </c>
    </row>
    <row r="383" spans="1:15" x14ac:dyDescent="0.3">
      <c r="A383" t="s">
        <v>451</v>
      </c>
      <c r="B383" s="2">
        <v>45673</v>
      </c>
      <c r="C383" t="s">
        <v>31</v>
      </c>
      <c r="D383" t="str">
        <f t="shared" si="5"/>
        <v>January</v>
      </c>
      <c r="E383" t="s">
        <v>24</v>
      </c>
      <c r="F383" t="s">
        <v>17</v>
      </c>
      <c r="G383" t="s">
        <v>63</v>
      </c>
      <c r="H383" t="s">
        <v>33</v>
      </c>
      <c r="I383" t="s">
        <v>20</v>
      </c>
      <c r="J383" t="s">
        <v>28</v>
      </c>
      <c r="K383">
        <v>4</v>
      </c>
      <c r="L383">
        <v>44027.02</v>
      </c>
      <c r="M383">
        <v>15</v>
      </c>
      <c r="N383">
        <v>149691.85999999999</v>
      </c>
      <c r="O383" t="s">
        <v>47</v>
      </c>
    </row>
    <row r="384" spans="1:15" x14ac:dyDescent="0.3">
      <c r="A384" t="s">
        <v>452</v>
      </c>
      <c r="B384" s="2">
        <v>45674</v>
      </c>
      <c r="C384" t="s">
        <v>15</v>
      </c>
      <c r="D384" t="str">
        <f t="shared" si="5"/>
        <v>January</v>
      </c>
      <c r="E384" t="s">
        <v>24</v>
      </c>
      <c r="F384" t="s">
        <v>17</v>
      </c>
      <c r="G384" t="s">
        <v>18</v>
      </c>
      <c r="H384" t="s">
        <v>45</v>
      </c>
      <c r="I384" t="s">
        <v>20</v>
      </c>
      <c r="J384" t="s">
        <v>46</v>
      </c>
      <c r="K384">
        <v>4</v>
      </c>
      <c r="L384">
        <v>49178.89</v>
      </c>
      <c r="M384">
        <v>15</v>
      </c>
      <c r="N384">
        <v>167208.23000000001</v>
      </c>
      <c r="O384" t="s">
        <v>47</v>
      </c>
    </row>
    <row r="385" spans="1:15" x14ac:dyDescent="0.3">
      <c r="A385" t="s">
        <v>453</v>
      </c>
      <c r="B385" s="2">
        <v>45675</v>
      </c>
      <c r="C385" t="s">
        <v>58</v>
      </c>
      <c r="D385" t="str">
        <f t="shared" si="5"/>
        <v>January</v>
      </c>
      <c r="E385" t="s">
        <v>39</v>
      </c>
      <c r="F385" t="s">
        <v>53</v>
      </c>
      <c r="G385" t="s">
        <v>105</v>
      </c>
      <c r="H385" t="s">
        <v>33</v>
      </c>
      <c r="I385" t="s">
        <v>20</v>
      </c>
      <c r="J385" t="s">
        <v>28</v>
      </c>
      <c r="K385">
        <v>4</v>
      </c>
      <c r="L385">
        <v>37123.339999999997</v>
      </c>
      <c r="M385">
        <v>10</v>
      </c>
      <c r="N385">
        <v>133644.01</v>
      </c>
      <c r="O385" t="s">
        <v>47</v>
      </c>
    </row>
    <row r="386" spans="1:15" x14ac:dyDescent="0.3">
      <c r="A386" t="s">
        <v>454</v>
      </c>
      <c r="B386" s="2">
        <v>45676</v>
      </c>
      <c r="C386" t="s">
        <v>49</v>
      </c>
      <c r="D386" t="str">
        <f t="shared" si="5"/>
        <v>January</v>
      </c>
      <c r="E386" t="s">
        <v>16</v>
      </c>
      <c r="F386" t="s">
        <v>53</v>
      </c>
      <c r="G386" t="s">
        <v>129</v>
      </c>
      <c r="H386" t="s">
        <v>33</v>
      </c>
      <c r="I386" t="s">
        <v>34</v>
      </c>
      <c r="J386" t="s">
        <v>35</v>
      </c>
      <c r="K386">
        <v>4</v>
      </c>
      <c r="L386">
        <v>32827.620000000003</v>
      </c>
      <c r="M386">
        <v>5</v>
      </c>
      <c r="N386">
        <v>124744.94</v>
      </c>
      <c r="O386" t="s">
        <v>22</v>
      </c>
    </row>
    <row r="387" spans="1:15" x14ac:dyDescent="0.3">
      <c r="A387" t="s">
        <v>455</v>
      </c>
      <c r="B387" s="2">
        <v>45677</v>
      </c>
      <c r="C387" t="s">
        <v>58</v>
      </c>
      <c r="D387" t="str">
        <f t="shared" ref="D387:D450" si="6">TEXT(B387,"mmmm")</f>
        <v>January</v>
      </c>
      <c r="E387" t="s">
        <v>32</v>
      </c>
      <c r="F387" t="s">
        <v>40</v>
      </c>
      <c r="G387" t="s">
        <v>115</v>
      </c>
      <c r="H387" t="s">
        <v>33</v>
      </c>
      <c r="I387" t="s">
        <v>42</v>
      </c>
      <c r="J387" t="s">
        <v>43</v>
      </c>
      <c r="K387">
        <v>4</v>
      </c>
      <c r="L387">
        <v>5081.26</v>
      </c>
      <c r="M387">
        <v>0</v>
      </c>
      <c r="N387">
        <v>20325.03</v>
      </c>
      <c r="O387" t="s">
        <v>36</v>
      </c>
    </row>
    <row r="388" spans="1:15" x14ac:dyDescent="0.3">
      <c r="A388" t="s">
        <v>456</v>
      </c>
      <c r="B388" s="2">
        <v>45678</v>
      </c>
      <c r="C388" t="s">
        <v>58</v>
      </c>
      <c r="D388" t="str">
        <f t="shared" si="6"/>
        <v>January</v>
      </c>
      <c r="E388" t="s">
        <v>69</v>
      </c>
      <c r="F388" t="s">
        <v>53</v>
      </c>
      <c r="G388" t="s">
        <v>65</v>
      </c>
      <c r="H388" t="s">
        <v>45</v>
      </c>
      <c r="I388" t="s">
        <v>20</v>
      </c>
      <c r="J388" t="s">
        <v>35</v>
      </c>
      <c r="K388">
        <v>3</v>
      </c>
      <c r="L388">
        <v>28769.23</v>
      </c>
      <c r="M388">
        <v>10</v>
      </c>
      <c r="N388">
        <v>77676.92</v>
      </c>
      <c r="O388" t="s">
        <v>47</v>
      </c>
    </row>
    <row r="389" spans="1:15" x14ac:dyDescent="0.3">
      <c r="A389" t="s">
        <v>457</v>
      </c>
      <c r="B389" s="2">
        <v>45679</v>
      </c>
      <c r="C389" t="s">
        <v>15</v>
      </c>
      <c r="D389" t="str">
        <f t="shared" si="6"/>
        <v>January</v>
      </c>
      <c r="E389" t="s">
        <v>52</v>
      </c>
      <c r="F389" t="s">
        <v>53</v>
      </c>
      <c r="G389" t="s">
        <v>54</v>
      </c>
      <c r="H389" t="s">
        <v>19</v>
      </c>
      <c r="I389" t="s">
        <v>42</v>
      </c>
      <c r="J389" t="s">
        <v>35</v>
      </c>
      <c r="K389">
        <v>2</v>
      </c>
      <c r="L389">
        <v>39618.910000000003</v>
      </c>
      <c r="M389">
        <v>15</v>
      </c>
      <c r="N389">
        <v>67352.149999999994</v>
      </c>
      <c r="O389" t="s">
        <v>47</v>
      </c>
    </row>
    <row r="390" spans="1:15" x14ac:dyDescent="0.3">
      <c r="A390" t="s">
        <v>458</v>
      </c>
      <c r="B390" s="2">
        <v>45680</v>
      </c>
      <c r="C390" t="s">
        <v>15</v>
      </c>
      <c r="D390" t="str">
        <f t="shared" si="6"/>
        <v>January</v>
      </c>
      <c r="E390" t="s">
        <v>69</v>
      </c>
      <c r="F390" t="s">
        <v>40</v>
      </c>
      <c r="G390" t="s">
        <v>75</v>
      </c>
      <c r="H390" t="s">
        <v>33</v>
      </c>
      <c r="I390" t="s">
        <v>20</v>
      </c>
      <c r="J390" t="s">
        <v>46</v>
      </c>
      <c r="K390">
        <v>5</v>
      </c>
      <c r="L390">
        <v>5444.82</v>
      </c>
      <c r="M390">
        <v>5</v>
      </c>
      <c r="N390">
        <v>25862.880000000001</v>
      </c>
      <c r="O390" t="s">
        <v>47</v>
      </c>
    </row>
    <row r="391" spans="1:15" x14ac:dyDescent="0.3">
      <c r="A391" t="s">
        <v>459</v>
      </c>
      <c r="B391" s="2">
        <v>45681</v>
      </c>
      <c r="C391" t="s">
        <v>38</v>
      </c>
      <c r="D391" t="str">
        <f t="shared" si="6"/>
        <v>January</v>
      </c>
      <c r="E391" t="s">
        <v>50</v>
      </c>
      <c r="F391" t="s">
        <v>17</v>
      </c>
      <c r="G391" t="s">
        <v>18</v>
      </c>
      <c r="H391" t="s">
        <v>19</v>
      </c>
      <c r="I391" t="s">
        <v>20</v>
      </c>
      <c r="J391" t="s">
        <v>28</v>
      </c>
      <c r="K391">
        <v>2</v>
      </c>
      <c r="L391">
        <v>68659.56</v>
      </c>
      <c r="M391">
        <v>0</v>
      </c>
      <c r="N391">
        <v>137319.10999999999</v>
      </c>
      <c r="O391" t="s">
        <v>36</v>
      </c>
    </row>
    <row r="392" spans="1:15" x14ac:dyDescent="0.3">
      <c r="A392" t="s">
        <v>460</v>
      </c>
      <c r="B392" s="2">
        <v>45682</v>
      </c>
      <c r="C392" t="s">
        <v>58</v>
      </c>
      <c r="D392" t="str">
        <f t="shared" si="6"/>
        <v>January</v>
      </c>
      <c r="E392" t="s">
        <v>69</v>
      </c>
      <c r="F392" t="s">
        <v>25</v>
      </c>
      <c r="G392" t="s">
        <v>56</v>
      </c>
      <c r="H392" t="s">
        <v>45</v>
      </c>
      <c r="I392" t="s">
        <v>34</v>
      </c>
      <c r="J392" t="s">
        <v>43</v>
      </c>
      <c r="K392">
        <v>5</v>
      </c>
      <c r="L392">
        <v>2188.11</v>
      </c>
      <c r="M392">
        <v>5</v>
      </c>
      <c r="N392">
        <v>10393.530000000001</v>
      </c>
      <c r="O392" t="s">
        <v>36</v>
      </c>
    </row>
    <row r="393" spans="1:15" x14ac:dyDescent="0.3">
      <c r="A393" t="s">
        <v>461</v>
      </c>
      <c r="B393" s="2">
        <v>45683</v>
      </c>
      <c r="C393" t="s">
        <v>38</v>
      </c>
      <c r="D393" t="str">
        <f t="shared" si="6"/>
        <v>January</v>
      </c>
      <c r="E393" t="s">
        <v>69</v>
      </c>
      <c r="F393" t="s">
        <v>25</v>
      </c>
      <c r="G393" t="s">
        <v>92</v>
      </c>
      <c r="H393" t="s">
        <v>27</v>
      </c>
      <c r="I393" t="s">
        <v>20</v>
      </c>
      <c r="J393" t="s">
        <v>35</v>
      </c>
      <c r="K393">
        <v>1</v>
      </c>
      <c r="L393">
        <v>2323.37</v>
      </c>
      <c r="M393">
        <v>0</v>
      </c>
      <c r="N393">
        <v>2323.37</v>
      </c>
      <c r="O393" t="s">
        <v>47</v>
      </c>
    </row>
    <row r="394" spans="1:15" x14ac:dyDescent="0.3">
      <c r="A394" t="s">
        <v>462</v>
      </c>
      <c r="B394" s="2">
        <v>45684</v>
      </c>
      <c r="C394" t="s">
        <v>58</v>
      </c>
      <c r="D394" t="str">
        <f t="shared" si="6"/>
        <v>January</v>
      </c>
      <c r="E394" t="s">
        <v>100</v>
      </c>
      <c r="F394" t="s">
        <v>53</v>
      </c>
      <c r="G394" t="s">
        <v>65</v>
      </c>
      <c r="H394" t="s">
        <v>27</v>
      </c>
      <c r="I394" t="s">
        <v>34</v>
      </c>
      <c r="J394" t="s">
        <v>28</v>
      </c>
      <c r="K394">
        <v>2</v>
      </c>
      <c r="L394">
        <v>35366.269999999997</v>
      </c>
      <c r="M394">
        <v>5</v>
      </c>
      <c r="N394">
        <v>67195.92</v>
      </c>
      <c r="O394" t="s">
        <v>47</v>
      </c>
    </row>
    <row r="395" spans="1:15" x14ac:dyDescent="0.3">
      <c r="A395" t="s">
        <v>463</v>
      </c>
      <c r="B395" s="2">
        <v>45685</v>
      </c>
      <c r="C395" t="s">
        <v>15</v>
      </c>
      <c r="D395" t="str">
        <f t="shared" si="6"/>
        <v>January</v>
      </c>
      <c r="E395" t="s">
        <v>100</v>
      </c>
      <c r="F395" t="s">
        <v>25</v>
      </c>
      <c r="G395" t="s">
        <v>56</v>
      </c>
      <c r="H395" t="s">
        <v>45</v>
      </c>
      <c r="I395" t="s">
        <v>20</v>
      </c>
      <c r="J395" t="s">
        <v>21</v>
      </c>
      <c r="K395">
        <v>5</v>
      </c>
      <c r="L395">
        <v>2037.48</v>
      </c>
      <c r="M395">
        <v>0</v>
      </c>
      <c r="N395">
        <v>10187.41</v>
      </c>
      <c r="O395" t="s">
        <v>22</v>
      </c>
    </row>
    <row r="396" spans="1:15" x14ac:dyDescent="0.3">
      <c r="A396" t="s">
        <v>464</v>
      </c>
      <c r="B396" s="2">
        <v>45686</v>
      </c>
      <c r="C396" t="s">
        <v>49</v>
      </c>
      <c r="D396" t="str">
        <f t="shared" si="6"/>
        <v>January</v>
      </c>
      <c r="E396" t="s">
        <v>72</v>
      </c>
      <c r="F396" t="s">
        <v>60</v>
      </c>
      <c r="G396" t="s">
        <v>78</v>
      </c>
      <c r="H396" t="s">
        <v>27</v>
      </c>
      <c r="I396" t="s">
        <v>20</v>
      </c>
      <c r="J396" t="s">
        <v>46</v>
      </c>
      <c r="K396">
        <v>3</v>
      </c>
      <c r="L396">
        <v>34467.199999999997</v>
      </c>
      <c r="M396">
        <v>5</v>
      </c>
      <c r="N396">
        <v>98231.52</v>
      </c>
      <c r="O396" t="s">
        <v>29</v>
      </c>
    </row>
    <row r="397" spans="1:15" x14ac:dyDescent="0.3">
      <c r="A397" t="s">
        <v>465</v>
      </c>
      <c r="B397" s="2">
        <v>45687</v>
      </c>
      <c r="C397" t="s">
        <v>31</v>
      </c>
      <c r="D397" t="str">
        <f t="shared" si="6"/>
        <v>January</v>
      </c>
      <c r="E397" t="s">
        <v>50</v>
      </c>
      <c r="F397" t="s">
        <v>25</v>
      </c>
      <c r="G397" t="s">
        <v>26</v>
      </c>
      <c r="H397" t="s">
        <v>45</v>
      </c>
      <c r="I397" t="s">
        <v>42</v>
      </c>
      <c r="J397" t="s">
        <v>28</v>
      </c>
      <c r="K397">
        <v>3</v>
      </c>
      <c r="L397">
        <v>2637.38</v>
      </c>
      <c r="M397">
        <v>15</v>
      </c>
      <c r="N397">
        <v>6725.32</v>
      </c>
      <c r="O397" t="s">
        <v>47</v>
      </c>
    </row>
    <row r="398" spans="1:15" x14ac:dyDescent="0.3">
      <c r="A398" t="s">
        <v>466</v>
      </c>
      <c r="B398" s="2">
        <v>45688</v>
      </c>
      <c r="C398" t="s">
        <v>38</v>
      </c>
      <c r="D398" t="str">
        <f t="shared" si="6"/>
        <v>January</v>
      </c>
      <c r="E398" t="s">
        <v>72</v>
      </c>
      <c r="F398" t="s">
        <v>60</v>
      </c>
      <c r="G398" t="s">
        <v>61</v>
      </c>
      <c r="H398" t="s">
        <v>45</v>
      </c>
      <c r="I398" t="s">
        <v>42</v>
      </c>
      <c r="J398" t="s">
        <v>21</v>
      </c>
      <c r="K398">
        <v>4</v>
      </c>
      <c r="L398">
        <v>32699.17</v>
      </c>
      <c r="M398">
        <v>10</v>
      </c>
      <c r="N398">
        <v>117717.02</v>
      </c>
      <c r="O398" t="s">
        <v>47</v>
      </c>
    </row>
    <row r="399" spans="1:15" x14ac:dyDescent="0.3">
      <c r="A399" t="s">
        <v>467</v>
      </c>
      <c r="B399" s="2">
        <v>45689</v>
      </c>
      <c r="C399" t="s">
        <v>58</v>
      </c>
      <c r="D399" t="str">
        <f t="shared" si="6"/>
        <v>February</v>
      </c>
      <c r="E399" t="s">
        <v>77</v>
      </c>
      <c r="F399" t="s">
        <v>25</v>
      </c>
      <c r="G399" t="s">
        <v>26</v>
      </c>
      <c r="H399" t="s">
        <v>45</v>
      </c>
      <c r="I399" t="s">
        <v>20</v>
      </c>
      <c r="J399" t="s">
        <v>43</v>
      </c>
      <c r="K399">
        <v>1</v>
      </c>
      <c r="L399">
        <v>3018.29</v>
      </c>
      <c r="M399">
        <v>10</v>
      </c>
      <c r="N399">
        <v>2716.46</v>
      </c>
      <c r="O399" t="s">
        <v>47</v>
      </c>
    </row>
    <row r="400" spans="1:15" x14ac:dyDescent="0.3">
      <c r="A400" t="s">
        <v>468</v>
      </c>
      <c r="B400" s="2">
        <v>45690</v>
      </c>
      <c r="C400" t="s">
        <v>15</v>
      </c>
      <c r="D400" t="str">
        <f t="shared" si="6"/>
        <v>February</v>
      </c>
      <c r="E400" t="s">
        <v>32</v>
      </c>
      <c r="F400" t="s">
        <v>53</v>
      </c>
      <c r="G400" t="s">
        <v>54</v>
      </c>
      <c r="H400" t="s">
        <v>19</v>
      </c>
      <c r="I400" t="s">
        <v>34</v>
      </c>
      <c r="J400" t="s">
        <v>43</v>
      </c>
      <c r="K400">
        <v>2</v>
      </c>
      <c r="L400">
        <v>28360.23</v>
      </c>
      <c r="M400">
        <v>5</v>
      </c>
      <c r="N400">
        <v>53884.43</v>
      </c>
      <c r="O400" t="s">
        <v>47</v>
      </c>
    </row>
    <row r="401" spans="1:15" x14ac:dyDescent="0.3">
      <c r="A401" t="s">
        <v>469</v>
      </c>
      <c r="B401" s="2">
        <v>45691</v>
      </c>
      <c r="C401" t="s">
        <v>15</v>
      </c>
      <c r="D401" t="str">
        <f t="shared" si="6"/>
        <v>February</v>
      </c>
      <c r="E401" t="s">
        <v>69</v>
      </c>
      <c r="F401" t="s">
        <v>40</v>
      </c>
      <c r="G401" t="s">
        <v>75</v>
      </c>
      <c r="H401" t="s">
        <v>19</v>
      </c>
      <c r="I401" t="s">
        <v>20</v>
      </c>
      <c r="J401" t="s">
        <v>46</v>
      </c>
      <c r="K401">
        <v>4</v>
      </c>
      <c r="L401">
        <v>6255.47</v>
      </c>
      <c r="M401">
        <v>20</v>
      </c>
      <c r="N401">
        <v>20017.490000000002</v>
      </c>
      <c r="O401" t="s">
        <v>47</v>
      </c>
    </row>
    <row r="402" spans="1:15" x14ac:dyDescent="0.3">
      <c r="A402" t="s">
        <v>470</v>
      </c>
      <c r="B402" s="2">
        <v>45692</v>
      </c>
      <c r="C402" t="s">
        <v>49</v>
      </c>
      <c r="D402" t="str">
        <f t="shared" si="6"/>
        <v>February</v>
      </c>
      <c r="E402" t="s">
        <v>69</v>
      </c>
      <c r="F402" t="s">
        <v>60</v>
      </c>
      <c r="G402" t="s">
        <v>78</v>
      </c>
      <c r="H402" t="s">
        <v>45</v>
      </c>
      <c r="I402" t="s">
        <v>20</v>
      </c>
      <c r="J402" t="s">
        <v>28</v>
      </c>
      <c r="K402">
        <v>4</v>
      </c>
      <c r="L402">
        <v>50181.97</v>
      </c>
      <c r="M402">
        <v>20</v>
      </c>
      <c r="N402">
        <v>160582.29</v>
      </c>
      <c r="O402" t="s">
        <v>47</v>
      </c>
    </row>
    <row r="403" spans="1:15" x14ac:dyDescent="0.3">
      <c r="A403" t="s">
        <v>471</v>
      </c>
      <c r="B403" s="2">
        <v>45693</v>
      </c>
      <c r="C403" t="s">
        <v>58</v>
      </c>
      <c r="D403" t="str">
        <f t="shared" si="6"/>
        <v>February</v>
      </c>
      <c r="E403" t="s">
        <v>39</v>
      </c>
      <c r="F403" t="s">
        <v>60</v>
      </c>
      <c r="G403" t="s">
        <v>73</v>
      </c>
      <c r="H403" t="s">
        <v>33</v>
      </c>
      <c r="I403" t="s">
        <v>20</v>
      </c>
      <c r="J403" t="s">
        <v>28</v>
      </c>
      <c r="K403">
        <v>4</v>
      </c>
      <c r="L403">
        <v>31627.96</v>
      </c>
      <c r="M403">
        <v>0</v>
      </c>
      <c r="N403">
        <v>126511.83</v>
      </c>
      <c r="O403" t="s">
        <v>47</v>
      </c>
    </row>
    <row r="404" spans="1:15" x14ac:dyDescent="0.3">
      <c r="A404" t="s">
        <v>472</v>
      </c>
      <c r="B404" s="2">
        <v>45694</v>
      </c>
      <c r="C404" t="s">
        <v>15</v>
      </c>
      <c r="D404" t="str">
        <f t="shared" si="6"/>
        <v>February</v>
      </c>
      <c r="E404" t="s">
        <v>50</v>
      </c>
      <c r="F404" t="s">
        <v>17</v>
      </c>
      <c r="G404" t="s">
        <v>67</v>
      </c>
      <c r="H404" t="s">
        <v>19</v>
      </c>
      <c r="I404" t="s">
        <v>42</v>
      </c>
      <c r="J404" t="s">
        <v>35</v>
      </c>
      <c r="K404">
        <v>1</v>
      </c>
      <c r="L404">
        <v>49340.24</v>
      </c>
      <c r="M404">
        <v>10</v>
      </c>
      <c r="N404">
        <v>44406.21</v>
      </c>
      <c r="O404" t="s">
        <v>36</v>
      </c>
    </row>
    <row r="405" spans="1:15" x14ac:dyDescent="0.3">
      <c r="A405" t="s">
        <v>473</v>
      </c>
      <c r="B405" s="2">
        <v>45695</v>
      </c>
      <c r="C405" t="s">
        <v>31</v>
      </c>
      <c r="D405" t="str">
        <f t="shared" si="6"/>
        <v>February</v>
      </c>
      <c r="E405" t="s">
        <v>77</v>
      </c>
      <c r="F405" t="s">
        <v>60</v>
      </c>
      <c r="G405" t="s">
        <v>78</v>
      </c>
      <c r="H405" t="s">
        <v>27</v>
      </c>
      <c r="I405" t="s">
        <v>42</v>
      </c>
      <c r="J405" t="s">
        <v>21</v>
      </c>
      <c r="K405">
        <v>4</v>
      </c>
      <c r="L405">
        <v>39859.33</v>
      </c>
      <c r="M405">
        <v>10</v>
      </c>
      <c r="N405">
        <v>143493.6</v>
      </c>
      <c r="O405" t="s">
        <v>22</v>
      </c>
    </row>
    <row r="406" spans="1:15" x14ac:dyDescent="0.3">
      <c r="A406" t="s">
        <v>474</v>
      </c>
      <c r="B406" s="2">
        <v>45696</v>
      </c>
      <c r="C406" t="s">
        <v>38</v>
      </c>
      <c r="D406" t="str">
        <f t="shared" si="6"/>
        <v>February</v>
      </c>
      <c r="E406" t="s">
        <v>100</v>
      </c>
      <c r="F406" t="s">
        <v>40</v>
      </c>
      <c r="G406" t="s">
        <v>41</v>
      </c>
      <c r="H406" t="s">
        <v>19</v>
      </c>
      <c r="I406" t="s">
        <v>42</v>
      </c>
      <c r="J406" t="s">
        <v>46</v>
      </c>
      <c r="K406">
        <v>4</v>
      </c>
      <c r="L406">
        <v>5023.33</v>
      </c>
      <c r="M406">
        <v>15</v>
      </c>
      <c r="N406">
        <v>17079.32</v>
      </c>
      <c r="O406" t="s">
        <v>47</v>
      </c>
    </row>
    <row r="407" spans="1:15" x14ac:dyDescent="0.3">
      <c r="A407" t="s">
        <v>475</v>
      </c>
      <c r="B407" s="2">
        <v>45697</v>
      </c>
      <c r="C407" t="s">
        <v>49</v>
      </c>
      <c r="D407" t="str">
        <f t="shared" si="6"/>
        <v>February</v>
      </c>
      <c r="E407" t="s">
        <v>39</v>
      </c>
      <c r="F407" t="s">
        <v>17</v>
      </c>
      <c r="G407" t="s">
        <v>63</v>
      </c>
      <c r="H407" t="s">
        <v>33</v>
      </c>
      <c r="I407" t="s">
        <v>20</v>
      </c>
      <c r="J407" t="s">
        <v>46</v>
      </c>
      <c r="K407">
        <v>2</v>
      </c>
      <c r="L407">
        <v>69468.289999999994</v>
      </c>
      <c r="M407">
        <v>5</v>
      </c>
      <c r="N407">
        <v>131989.74</v>
      </c>
      <c r="O407" t="s">
        <v>47</v>
      </c>
    </row>
    <row r="408" spans="1:15" x14ac:dyDescent="0.3">
      <c r="A408" t="s">
        <v>476</v>
      </c>
      <c r="B408" s="2">
        <v>45698</v>
      </c>
      <c r="C408" t="s">
        <v>58</v>
      </c>
      <c r="D408" t="str">
        <f t="shared" si="6"/>
        <v>February</v>
      </c>
      <c r="E408" t="s">
        <v>72</v>
      </c>
      <c r="F408" t="s">
        <v>25</v>
      </c>
      <c r="G408" t="s">
        <v>26</v>
      </c>
      <c r="H408" t="s">
        <v>19</v>
      </c>
      <c r="I408" t="s">
        <v>34</v>
      </c>
      <c r="J408" t="s">
        <v>21</v>
      </c>
      <c r="K408">
        <v>2</v>
      </c>
      <c r="L408">
        <v>2242.29</v>
      </c>
      <c r="M408">
        <v>0</v>
      </c>
      <c r="N408">
        <v>4484.57</v>
      </c>
      <c r="O408" t="s">
        <v>47</v>
      </c>
    </row>
    <row r="409" spans="1:15" x14ac:dyDescent="0.3">
      <c r="A409" t="s">
        <v>477</v>
      </c>
      <c r="B409" s="2">
        <v>45699</v>
      </c>
      <c r="C409" t="s">
        <v>31</v>
      </c>
      <c r="D409" t="str">
        <f t="shared" si="6"/>
        <v>February</v>
      </c>
      <c r="E409" t="s">
        <v>24</v>
      </c>
      <c r="F409" t="s">
        <v>53</v>
      </c>
      <c r="G409" t="s">
        <v>105</v>
      </c>
      <c r="H409" t="s">
        <v>27</v>
      </c>
      <c r="I409" t="s">
        <v>42</v>
      </c>
      <c r="J409" t="s">
        <v>21</v>
      </c>
      <c r="K409">
        <v>2</v>
      </c>
      <c r="L409">
        <v>31939.24</v>
      </c>
      <c r="M409">
        <v>5</v>
      </c>
      <c r="N409">
        <v>60684.55</v>
      </c>
      <c r="O409" t="s">
        <v>47</v>
      </c>
    </row>
    <row r="410" spans="1:15" x14ac:dyDescent="0.3">
      <c r="A410" t="s">
        <v>478</v>
      </c>
      <c r="B410" s="2">
        <v>45700</v>
      </c>
      <c r="C410" t="s">
        <v>38</v>
      </c>
      <c r="D410" t="str">
        <f t="shared" si="6"/>
        <v>February</v>
      </c>
      <c r="E410" t="s">
        <v>100</v>
      </c>
      <c r="F410" t="s">
        <v>60</v>
      </c>
      <c r="G410" t="s">
        <v>78</v>
      </c>
      <c r="H410" t="s">
        <v>33</v>
      </c>
      <c r="I410" t="s">
        <v>20</v>
      </c>
      <c r="J410" t="s">
        <v>35</v>
      </c>
      <c r="K410">
        <v>1</v>
      </c>
      <c r="L410">
        <v>39994.28</v>
      </c>
      <c r="M410">
        <v>20</v>
      </c>
      <c r="N410">
        <v>31995.43</v>
      </c>
      <c r="O410" t="s">
        <v>47</v>
      </c>
    </row>
    <row r="411" spans="1:15" x14ac:dyDescent="0.3">
      <c r="A411" t="s">
        <v>479</v>
      </c>
      <c r="B411" s="2">
        <v>45701</v>
      </c>
      <c r="C411" t="s">
        <v>58</v>
      </c>
      <c r="D411" t="str">
        <f t="shared" si="6"/>
        <v>February</v>
      </c>
      <c r="E411" t="s">
        <v>39</v>
      </c>
      <c r="F411" t="s">
        <v>25</v>
      </c>
      <c r="G411" t="s">
        <v>26</v>
      </c>
      <c r="H411" t="s">
        <v>45</v>
      </c>
      <c r="I411" t="s">
        <v>34</v>
      </c>
      <c r="J411" t="s">
        <v>46</v>
      </c>
      <c r="K411">
        <v>4</v>
      </c>
      <c r="L411">
        <v>2198.85</v>
      </c>
      <c r="M411">
        <v>10</v>
      </c>
      <c r="N411">
        <v>7915.85</v>
      </c>
      <c r="O411" t="s">
        <v>29</v>
      </c>
    </row>
    <row r="412" spans="1:15" x14ac:dyDescent="0.3">
      <c r="A412" t="s">
        <v>480</v>
      </c>
      <c r="B412" s="2">
        <v>45702</v>
      </c>
      <c r="C412" t="s">
        <v>58</v>
      </c>
      <c r="D412" t="str">
        <f t="shared" si="6"/>
        <v>February</v>
      </c>
      <c r="E412" t="s">
        <v>72</v>
      </c>
      <c r="F412" t="s">
        <v>25</v>
      </c>
      <c r="G412" t="s">
        <v>56</v>
      </c>
      <c r="H412" t="s">
        <v>45</v>
      </c>
      <c r="I412" t="s">
        <v>20</v>
      </c>
      <c r="J412" t="s">
        <v>35</v>
      </c>
      <c r="K412">
        <v>1</v>
      </c>
      <c r="L412">
        <v>2205.7399999999998</v>
      </c>
      <c r="M412">
        <v>20</v>
      </c>
      <c r="N412">
        <v>1764.59</v>
      </c>
      <c r="O412" t="s">
        <v>22</v>
      </c>
    </row>
    <row r="413" spans="1:15" x14ac:dyDescent="0.3">
      <c r="A413" t="s">
        <v>481</v>
      </c>
      <c r="B413" s="2">
        <v>45703</v>
      </c>
      <c r="C413" t="s">
        <v>58</v>
      </c>
      <c r="D413" t="str">
        <f t="shared" si="6"/>
        <v>February</v>
      </c>
      <c r="E413" t="s">
        <v>69</v>
      </c>
      <c r="F413" t="s">
        <v>53</v>
      </c>
      <c r="G413" t="s">
        <v>65</v>
      </c>
      <c r="H413" t="s">
        <v>33</v>
      </c>
      <c r="I413" t="s">
        <v>20</v>
      </c>
      <c r="J413" t="s">
        <v>21</v>
      </c>
      <c r="K413">
        <v>2</v>
      </c>
      <c r="L413">
        <v>27601.360000000001</v>
      </c>
      <c r="M413">
        <v>5</v>
      </c>
      <c r="N413">
        <v>52442.58</v>
      </c>
      <c r="O413" t="s">
        <v>22</v>
      </c>
    </row>
    <row r="414" spans="1:15" x14ac:dyDescent="0.3">
      <c r="A414" t="s">
        <v>482</v>
      </c>
      <c r="B414" s="2">
        <v>45704</v>
      </c>
      <c r="C414" t="s">
        <v>15</v>
      </c>
      <c r="D414" t="str">
        <f t="shared" si="6"/>
        <v>February</v>
      </c>
      <c r="E414" t="s">
        <v>77</v>
      </c>
      <c r="F414" t="s">
        <v>60</v>
      </c>
      <c r="G414" t="s">
        <v>78</v>
      </c>
      <c r="H414" t="s">
        <v>19</v>
      </c>
      <c r="I414" t="s">
        <v>42</v>
      </c>
      <c r="J414" t="s">
        <v>46</v>
      </c>
      <c r="K414">
        <v>3</v>
      </c>
      <c r="L414">
        <v>43843.92</v>
      </c>
      <c r="M414">
        <v>0</v>
      </c>
      <c r="N414">
        <v>131531.76</v>
      </c>
      <c r="O414" t="s">
        <v>29</v>
      </c>
    </row>
    <row r="415" spans="1:15" x14ac:dyDescent="0.3">
      <c r="A415" t="s">
        <v>483</v>
      </c>
      <c r="B415" s="2">
        <v>45705</v>
      </c>
      <c r="C415" t="s">
        <v>15</v>
      </c>
      <c r="D415" t="str">
        <f t="shared" si="6"/>
        <v>February</v>
      </c>
      <c r="E415" t="s">
        <v>50</v>
      </c>
      <c r="F415" t="s">
        <v>17</v>
      </c>
      <c r="G415" t="s">
        <v>123</v>
      </c>
      <c r="H415" t="s">
        <v>27</v>
      </c>
      <c r="I415" t="s">
        <v>20</v>
      </c>
      <c r="J415" t="s">
        <v>21</v>
      </c>
      <c r="K415">
        <v>2</v>
      </c>
      <c r="L415">
        <v>53594.17</v>
      </c>
      <c r="M415">
        <v>15</v>
      </c>
      <c r="N415">
        <v>91110.09</v>
      </c>
      <c r="O415" t="s">
        <v>47</v>
      </c>
    </row>
    <row r="416" spans="1:15" x14ac:dyDescent="0.3">
      <c r="A416" t="s">
        <v>484</v>
      </c>
      <c r="B416" s="2">
        <v>45706</v>
      </c>
      <c r="C416" t="s">
        <v>15</v>
      </c>
      <c r="D416" t="str">
        <f t="shared" si="6"/>
        <v>February</v>
      </c>
      <c r="E416" t="s">
        <v>72</v>
      </c>
      <c r="F416" t="s">
        <v>17</v>
      </c>
      <c r="G416" t="s">
        <v>18</v>
      </c>
      <c r="H416" t="s">
        <v>33</v>
      </c>
      <c r="I416" t="s">
        <v>34</v>
      </c>
      <c r="J416" t="s">
        <v>35</v>
      </c>
      <c r="K416">
        <v>3</v>
      </c>
      <c r="L416">
        <v>46106.39</v>
      </c>
      <c r="M416">
        <v>15</v>
      </c>
      <c r="N416">
        <v>117571.3</v>
      </c>
      <c r="O416" t="s">
        <v>47</v>
      </c>
    </row>
    <row r="417" spans="1:15" x14ac:dyDescent="0.3">
      <c r="A417" t="s">
        <v>485</v>
      </c>
      <c r="B417" s="2">
        <v>45707</v>
      </c>
      <c r="C417" t="s">
        <v>58</v>
      </c>
      <c r="D417" t="str">
        <f t="shared" si="6"/>
        <v>February</v>
      </c>
      <c r="E417" t="s">
        <v>16</v>
      </c>
      <c r="F417" t="s">
        <v>40</v>
      </c>
      <c r="G417" t="s">
        <v>41</v>
      </c>
      <c r="H417" t="s">
        <v>45</v>
      </c>
      <c r="I417" t="s">
        <v>20</v>
      </c>
      <c r="J417" t="s">
        <v>28</v>
      </c>
      <c r="K417">
        <v>5</v>
      </c>
      <c r="L417">
        <v>7061.29</v>
      </c>
      <c r="M417">
        <v>15</v>
      </c>
      <c r="N417">
        <v>30010.47</v>
      </c>
      <c r="O417" t="s">
        <v>29</v>
      </c>
    </row>
    <row r="418" spans="1:15" x14ac:dyDescent="0.3">
      <c r="A418" t="s">
        <v>486</v>
      </c>
      <c r="B418" s="2">
        <v>45708</v>
      </c>
      <c r="C418" t="s">
        <v>31</v>
      </c>
      <c r="D418" t="str">
        <f t="shared" si="6"/>
        <v>February</v>
      </c>
      <c r="E418" t="s">
        <v>52</v>
      </c>
      <c r="F418" t="s">
        <v>25</v>
      </c>
      <c r="G418" t="s">
        <v>81</v>
      </c>
      <c r="H418" t="s">
        <v>33</v>
      </c>
      <c r="I418" t="s">
        <v>42</v>
      </c>
      <c r="J418" t="s">
        <v>28</v>
      </c>
      <c r="K418">
        <v>2</v>
      </c>
      <c r="L418">
        <v>1984.91</v>
      </c>
      <c r="M418">
        <v>5</v>
      </c>
      <c r="N418">
        <v>3771.32</v>
      </c>
      <c r="O418" t="s">
        <v>47</v>
      </c>
    </row>
    <row r="419" spans="1:15" x14ac:dyDescent="0.3">
      <c r="A419" t="s">
        <v>487</v>
      </c>
      <c r="B419" s="2">
        <v>45709</v>
      </c>
      <c r="C419" t="s">
        <v>49</v>
      </c>
      <c r="D419" t="str">
        <f t="shared" si="6"/>
        <v>February</v>
      </c>
      <c r="E419" t="s">
        <v>52</v>
      </c>
      <c r="F419" t="s">
        <v>60</v>
      </c>
      <c r="G419" t="s">
        <v>78</v>
      </c>
      <c r="H419" t="s">
        <v>27</v>
      </c>
      <c r="I419" t="s">
        <v>42</v>
      </c>
      <c r="J419" t="s">
        <v>28</v>
      </c>
      <c r="K419">
        <v>3</v>
      </c>
      <c r="L419">
        <v>40865.75</v>
      </c>
      <c r="M419">
        <v>10</v>
      </c>
      <c r="N419">
        <v>110337.52</v>
      </c>
      <c r="O419" t="s">
        <v>29</v>
      </c>
    </row>
    <row r="420" spans="1:15" x14ac:dyDescent="0.3">
      <c r="A420" t="s">
        <v>488</v>
      </c>
      <c r="B420" s="2">
        <v>45710</v>
      </c>
      <c r="C420" t="s">
        <v>38</v>
      </c>
      <c r="D420" t="str">
        <f t="shared" si="6"/>
        <v>February</v>
      </c>
      <c r="E420" t="s">
        <v>100</v>
      </c>
      <c r="F420" t="s">
        <v>40</v>
      </c>
      <c r="G420" t="s">
        <v>41</v>
      </c>
      <c r="H420" t="s">
        <v>33</v>
      </c>
      <c r="I420" t="s">
        <v>34</v>
      </c>
      <c r="J420" t="s">
        <v>28</v>
      </c>
      <c r="K420">
        <v>1</v>
      </c>
      <c r="L420">
        <v>4893.91</v>
      </c>
      <c r="M420">
        <v>10</v>
      </c>
      <c r="N420">
        <v>4404.5200000000004</v>
      </c>
      <c r="O420" t="s">
        <v>47</v>
      </c>
    </row>
    <row r="421" spans="1:15" x14ac:dyDescent="0.3">
      <c r="A421" t="s">
        <v>489</v>
      </c>
      <c r="B421" s="2">
        <v>45711</v>
      </c>
      <c r="C421" t="s">
        <v>15</v>
      </c>
      <c r="D421" t="str">
        <f t="shared" si="6"/>
        <v>February</v>
      </c>
      <c r="E421" t="s">
        <v>52</v>
      </c>
      <c r="F421" t="s">
        <v>25</v>
      </c>
      <c r="G421" t="s">
        <v>81</v>
      </c>
      <c r="H421" t="s">
        <v>45</v>
      </c>
      <c r="I421" t="s">
        <v>20</v>
      </c>
      <c r="J421" t="s">
        <v>28</v>
      </c>
      <c r="K421">
        <v>5</v>
      </c>
      <c r="L421">
        <v>2710.45</v>
      </c>
      <c r="M421">
        <v>5</v>
      </c>
      <c r="N421">
        <v>12874.62</v>
      </c>
      <c r="O421" t="s">
        <v>22</v>
      </c>
    </row>
    <row r="422" spans="1:15" x14ac:dyDescent="0.3">
      <c r="A422" t="s">
        <v>490</v>
      </c>
      <c r="B422" s="2">
        <v>45712</v>
      </c>
      <c r="C422" t="s">
        <v>15</v>
      </c>
      <c r="D422" t="str">
        <f t="shared" si="6"/>
        <v>February</v>
      </c>
      <c r="E422" t="s">
        <v>72</v>
      </c>
      <c r="F422" t="s">
        <v>25</v>
      </c>
      <c r="G422" t="s">
        <v>81</v>
      </c>
      <c r="H422" t="s">
        <v>33</v>
      </c>
      <c r="I422" t="s">
        <v>20</v>
      </c>
      <c r="J422" t="s">
        <v>28</v>
      </c>
      <c r="K422">
        <v>2</v>
      </c>
      <c r="L422">
        <v>2563.4499999999998</v>
      </c>
      <c r="M422">
        <v>5</v>
      </c>
      <c r="N422">
        <v>4870.55</v>
      </c>
      <c r="O422" t="s">
        <v>47</v>
      </c>
    </row>
    <row r="423" spans="1:15" x14ac:dyDescent="0.3">
      <c r="A423" t="s">
        <v>491</v>
      </c>
      <c r="B423" s="2">
        <v>45713</v>
      </c>
      <c r="C423" t="s">
        <v>58</v>
      </c>
      <c r="D423" t="str">
        <f t="shared" si="6"/>
        <v>February</v>
      </c>
      <c r="E423" t="s">
        <v>69</v>
      </c>
      <c r="F423" t="s">
        <v>25</v>
      </c>
      <c r="G423" t="s">
        <v>81</v>
      </c>
      <c r="H423" t="s">
        <v>27</v>
      </c>
      <c r="I423" t="s">
        <v>42</v>
      </c>
      <c r="J423" t="s">
        <v>21</v>
      </c>
      <c r="K423">
        <v>4</v>
      </c>
      <c r="L423">
        <v>3065.32</v>
      </c>
      <c r="M423">
        <v>10</v>
      </c>
      <c r="N423">
        <v>11035.14</v>
      </c>
      <c r="O423" t="s">
        <v>36</v>
      </c>
    </row>
    <row r="424" spans="1:15" x14ac:dyDescent="0.3">
      <c r="A424" t="s">
        <v>492</v>
      </c>
      <c r="B424" s="2">
        <v>45714</v>
      </c>
      <c r="C424" t="s">
        <v>49</v>
      </c>
      <c r="D424" t="str">
        <f t="shared" si="6"/>
        <v>February</v>
      </c>
      <c r="E424" t="s">
        <v>24</v>
      </c>
      <c r="F424" t="s">
        <v>17</v>
      </c>
      <c r="G424" t="s">
        <v>67</v>
      </c>
      <c r="H424" t="s">
        <v>33</v>
      </c>
      <c r="I424" t="s">
        <v>34</v>
      </c>
      <c r="J424" t="s">
        <v>35</v>
      </c>
      <c r="K424">
        <v>1</v>
      </c>
      <c r="L424">
        <v>45955.24</v>
      </c>
      <c r="M424">
        <v>0</v>
      </c>
      <c r="N424">
        <v>45955.24</v>
      </c>
      <c r="O424" t="s">
        <v>36</v>
      </c>
    </row>
    <row r="425" spans="1:15" x14ac:dyDescent="0.3">
      <c r="A425" t="s">
        <v>493</v>
      </c>
      <c r="B425" s="2">
        <v>45715</v>
      </c>
      <c r="C425" t="s">
        <v>58</v>
      </c>
      <c r="D425" t="str">
        <f t="shared" si="6"/>
        <v>February</v>
      </c>
      <c r="E425" t="s">
        <v>52</v>
      </c>
      <c r="F425" t="s">
        <v>40</v>
      </c>
      <c r="G425" t="s">
        <v>41</v>
      </c>
      <c r="H425" t="s">
        <v>45</v>
      </c>
      <c r="I425" t="s">
        <v>20</v>
      </c>
      <c r="J425" t="s">
        <v>21</v>
      </c>
      <c r="K425">
        <v>2</v>
      </c>
      <c r="L425">
        <v>5010.3500000000004</v>
      </c>
      <c r="M425">
        <v>0</v>
      </c>
      <c r="N425">
        <v>10020.700000000001</v>
      </c>
      <c r="O425" t="s">
        <v>47</v>
      </c>
    </row>
    <row r="426" spans="1:15" x14ac:dyDescent="0.3">
      <c r="A426" t="s">
        <v>494</v>
      </c>
      <c r="B426" s="2">
        <v>45716</v>
      </c>
      <c r="C426" t="s">
        <v>58</v>
      </c>
      <c r="D426" t="str">
        <f t="shared" si="6"/>
        <v>February</v>
      </c>
      <c r="E426" t="s">
        <v>69</v>
      </c>
      <c r="F426" t="s">
        <v>17</v>
      </c>
      <c r="G426" t="s">
        <v>18</v>
      </c>
      <c r="H426" t="s">
        <v>45</v>
      </c>
      <c r="I426" t="s">
        <v>34</v>
      </c>
      <c r="J426" t="s">
        <v>43</v>
      </c>
      <c r="K426">
        <v>4</v>
      </c>
      <c r="L426">
        <v>72432.41</v>
      </c>
      <c r="M426">
        <v>10</v>
      </c>
      <c r="N426">
        <v>260756.67</v>
      </c>
      <c r="O426" t="s">
        <v>22</v>
      </c>
    </row>
    <row r="427" spans="1:15" x14ac:dyDescent="0.3">
      <c r="A427" t="s">
        <v>495</v>
      </c>
      <c r="B427" s="2">
        <v>45717</v>
      </c>
      <c r="C427" t="s">
        <v>31</v>
      </c>
      <c r="D427" t="str">
        <f t="shared" si="6"/>
        <v>March</v>
      </c>
      <c r="E427" t="s">
        <v>52</v>
      </c>
      <c r="F427" t="s">
        <v>17</v>
      </c>
      <c r="G427" t="s">
        <v>63</v>
      </c>
      <c r="H427" t="s">
        <v>45</v>
      </c>
      <c r="I427" t="s">
        <v>34</v>
      </c>
      <c r="J427" t="s">
        <v>35</v>
      </c>
      <c r="K427">
        <v>5</v>
      </c>
      <c r="L427">
        <v>66338.42</v>
      </c>
      <c r="M427">
        <v>10</v>
      </c>
      <c r="N427">
        <v>298522.88</v>
      </c>
      <c r="O427" t="s">
        <v>47</v>
      </c>
    </row>
    <row r="428" spans="1:15" x14ac:dyDescent="0.3">
      <c r="A428" t="s">
        <v>496</v>
      </c>
      <c r="B428" s="2">
        <v>45718</v>
      </c>
      <c r="C428" t="s">
        <v>31</v>
      </c>
      <c r="D428" t="str">
        <f t="shared" si="6"/>
        <v>March</v>
      </c>
      <c r="E428" t="s">
        <v>100</v>
      </c>
      <c r="F428" t="s">
        <v>60</v>
      </c>
      <c r="G428" t="s">
        <v>78</v>
      </c>
      <c r="H428" t="s">
        <v>33</v>
      </c>
      <c r="I428" t="s">
        <v>20</v>
      </c>
      <c r="J428" t="s">
        <v>43</v>
      </c>
      <c r="K428">
        <v>1</v>
      </c>
      <c r="L428">
        <v>39347.300000000003</v>
      </c>
      <c r="M428">
        <v>0</v>
      </c>
      <c r="N428">
        <v>39347.300000000003</v>
      </c>
      <c r="O428" t="s">
        <v>47</v>
      </c>
    </row>
    <row r="429" spans="1:15" x14ac:dyDescent="0.3">
      <c r="A429" t="s">
        <v>497</v>
      </c>
      <c r="B429" s="2">
        <v>45719</v>
      </c>
      <c r="C429" t="s">
        <v>49</v>
      </c>
      <c r="D429" t="str">
        <f t="shared" si="6"/>
        <v>March</v>
      </c>
      <c r="E429" t="s">
        <v>77</v>
      </c>
      <c r="F429" t="s">
        <v>17</v>
      </c>
      <c r="G429" t="s">
        <v>123</v>
      </c>
      <c r="H429" t="s">
        <v>27</v>
      </c>
      <c r="I429" t="s">
        <v>34</v>
      </c>
      <c r="J429" t="s">
        <v>46</v>
      </c>
      <c r="K429">
        <v>5</v>
      </c>
      <c r="L429">
        <v>66780.06</v>
      </c>
      <c r="M429">
        <v>0</v>
      </c>
      <c r="N429">
        <v>333900.28000000003</v>
      </c>
      <c r="O429" t="s">
        <v>47</v>
      </c>
    </row>
    <row r="430" spans="1:15" x14ac:dyDescent="0.3">
      <c r="A430" t="s">
        <v>498</v>
      </c>
      <c r="B430" s="2">
        <v>45720</v>
      </c>
      <c r="C430" t="s">
        <v>49</v>
      </c>
      <c r="D430" t="str">
        <f t="shared" si="6"/>
        <v>March</v>
      </c>
      <c r="E430" t="s">
        <v>32</v>
      </c>
      <c r="F430" t="s">
        <v>25</v>
      </c>
      <c r="G430" t="s">
        <v>26</v>
      </c>
      <c r="H430" t="s">
        <v>19</v>
      </c>
      <c r="I430" t="s">
        <v>42</v>
      </c>
      <c r="J430" t="s">
        <v>28</v>
      </c>
      <c r="K430">
        <v>5</v>
      </c>
      <c r="L430">
        <v>2969.11</v>
      </c>
      <c r="M430">
        <v>10</v>
      </c>
      <c r="N430">
        <v>13360.97</v>
      </c>
      <c r="O430" t="s">
        <v>47</v>
      </c>
    </row>
    <row r="431" spans="1:15" x14ac:dyDescent="0.3">
      <c r="A431" t="s">
        <v>499</v>
      </c>
      <c r="B431" s="2">
        <v>45721</v>
      </c>
      <c r="C431" t="s">
        <v>58</v>
      </c>
      <c r="D431" t="str">
        <f t="shared" si="6"/>
        <v>March</v>
      </c>
      <c r="E431" t="s">
        <v>39</v>
      </c>
      <c r="F431" t="s">
        <v>53</v>
      </c>
      <c r="G431" t="s">
        <v>54</v>
      </c>
      <c r="H431" t="s">
        <v>45</v>
      </c>
      <c r="I431" t="s">
        <v>34</v>
      </c>
      <c r="J431" t="s">
        <v>46</v>
      </c>
      <c r="K431">
        <v>2</v>
      </c>
      <c r="L431">
        <v>32720.94</v>
      </c>
      <c r="M431">
        <v>10</v>
      </c>
      <c r="N431">
        <v>58897.69</v>
      </c>
      <c r="O431" t="s">
        <v>47</v>
      </c>
    </row>
    <row r="432" spans="1:15" x14ac:dyDescent="0.3">
      <c r="A432" t="s">
        <v>500</v>
      </c>
      <c r="B432" s="2">
        <v>45722</v>
      </c>
      <c r="C432" t="s">
        <v>31</v>
      </c>
      <c r="D432" t="str">
        <f t="shared" si="6"/>
        <v>March</v>
      </c>
      <c r="E432" t="s">
        <v>72</v>
      </c>
      <c r="F432" t="s">
        <v>60</v>
      </c>
      <c r="G432" t="s">
        <v>70</v>
      </c>
      <c r="H432" t="s">
        <v>33</v>
      </c>
      <c r="I432" t="s">
        <v>42</v>
      </c>
      <c r="J432" t="s">
        <v>46</v>
      </c>
      <c r="K432">
        <v>5</v>
      </c>
      <c r="L432">
        <v>34890.080000000002</v>
      </c>
      <c r="M432">
        <v>20</v>
      </c>
      <c r="N432">
        <v>139560.34</v>
      </c>
      <c r="O432" t="s">
        <v>47</v>
      </c>
    </row>
    <row r="433" spans="1:15" x14ac:dyDescent="0.3">
      <c r="A433" t="s">
        <v>501</v>
      </c>
      <c r="B433" s="2">
        <v>45723</v>
      </c>
      <c r="C433" t="s">
        <v>38</v>
      </c>
      <c r="D433" t="str">
        <f t="shared" si="6"/>
        <v>March</v>
      </c>
      <c r="E433" t="s">
        <v>50</v>
      </c>
      <c r="F433" t="s">
        <v>25</v>
      </c>
      <c r="G433" t="s">
        <v>56</v>
      </c>
      <c r="H433" t="s">
        <v>19</v>
      </c>
      <c r="I433" t="s">
        <v>42</v>
      </c>
      <c r="J433" t="s">
        <v>21</v>
      </c>
      <c r="K433">
        <v>5</v>
      </c>
      <c r="L433">
        <v>2446.4</v>
      </c>
      <c r="M433">
        <v>15</v>
      </c>
      <c r="N433">
        <v>10397.209999999999</v>
      </c>
      <c r="O433" t="s">
        <v>36</v>
      </c>
    </row>
    <row r="434" spans="1:15" x14ac:dyDescent="0.3">
      <c r="A434" t="s">
        <v>502</v>
      </c>
      <c r="B434" s="2">
        <v>45724</v>
      </c>
      <c r="C434" t="s">
        <v>49</v>
      </c>
      <c r="D434" t="str">
        <f t="shared" si="6"/>
        <v>March</v>
      </c>
      <c r="E434" t="s">
        <v>77</v>
      </c>
      <c r="F434" t="s">
        <v>17</v>
      </c>
      <c r="G434" t="s">
        <v>18</v>
      </c>
      <c r="H434" t="s">
        <v>27</v>
      </c>
      <c r="I434" t="s">
        <v>20</v>
      </c>
      <c r="J434" t="s">
        <v>21</v>
      </c>
      <c r="K434">
        <v>2</v>
      </c>
      <c r="L434">
        <v>44514.27</v>
      </c>
      <c r="M434">
        <v>20</v>
      </c>
      <c r="N434">
        <v>71222.83</v>
      </c>
      <c r="O434" t="s">
        <v>29</v>
      </c>
    </row>
    <row r="435" spans="1:15" x14ac:dyDescent="0.3">
      <c r="A435" t="s">
        <v>503</v>
      </c>
      <c r="B435" s="2">
        <v>45725</v>
      </c>
      <c r="C435" t="s">
        <v>58</v>
      </c>
      <c r="D435" t="str">
        <f t="shared" si="6"/>
        <v>March</v>
      </c>
      <c r="E435" t="s">
        <v>52</v>
      </c>
      <c r="F435" t="s">
        <v>40</v>
      </c>
      <c r="G435" t="s">
        <v>115</v>
      </c>
      <c r="H435" t="s">
        <v>27</v>
      </c>
      <c r="I435" t="s">
        <v>42</v>
      </c>
      <c r="J435" t="s">
        <v>28</v>
      </c>
      <c r="K435">
        <v>2</v>
      </c>
      <c r="L435">
        <v>6154.18</v>
      </c>
      <c r="M435">
        <v>5</v>
      </c>
      <c r="N435">
        <v>11692.94</v>
      </c>
      <c r="O435" t="s">
        <v>22</v>
      </c>
    </row>
    <row r="436" spans="1:15" x14ac:dyDescent="0.3">
      <c r="A436" t="s">
        <v>504</v>
      </c>
      <c r="B436" s="2">
        <v>45726</v>
      </c>
      <c r="C436" t="s">
        <v>15</v>
      </c>
      <c r="D436" t="str">
        <f t="shared" si="6"/>
        <v>March</v>
      </c>
      <c r="E436" t="s">
        <v>39</v>
      </c>
      <c r="F436" t="s">
        <v>60</v>
      </c>
      <c r="G436" t="s">
        <v>78</v>
      </c>
      <c r="H436" t="s">
        <v>45</v>
      </c>
      <c r="I436" t="s">
        <v>20</v>
      </c>
      <c r="J436" t="s">
        <v>28</v>
      </c>
      <c r="K436">
        <v>1</v>
      </c>
      <c r="L436">
        <v>42950.53</v>
      </c>
      <c r="M436">
        <v>5</v>
      </c>
      <c r="N436">
        <v>40803</v>
      </c>
      <c r="O436" t="s">
        <v>47</v>
      </c>
    </row>
    <row r="437" spans="1:15" x14ac:dyDescent="0.3">
      <c r="A437" t="s">
        <v>505</v>
      </c>
      <c r="B437" s="2">
        <v>45727</v>
      </c>
      <c r="C437" t="s">
        <v>58</v>
      </c>
      <c r="D437" t="str">
        <f t="shared" si="6"/>
        <v>March</v>
      </c>
      <c r="E437" t="s">
        <v>39</v>
      </c>
      <c r="F437" t="s">
        <v>17</v>
      </c>
      <c r="G437" t="s">
        <v>63</v>
      </c>
      <c r="H437" t="s">
        <v>19</v>
      </c>
      <c r="I437" t="s">
        <v>20</v>
      </c>
      <c r="J437" t="s">
        <v>46</v>
      </c>
      <c r="K437">
        <v>4</v>
      </c>
      <c r="L437">
        <v>45723.26</v>
      </c>
      <c r="M437">
        <v>5</v>
      </c>
      <c r="N437">
        <v>173748.39</v>
      </c>
      <c r="O437" t="s">
        <v>47</v>
      </c>
    </row>
    <row r="438" spans="1:15" x14ac:dyDescent="0.3">
      <c r="A438" t="s">
        <v>506</v>
      </c>
      <c r="B438" s="2">
        <v>45728</v>
      </c>
      <c r="C438" t="s">
        <v>31</v>
      </c>
      <c r="D438" t="str">
        <f t="shared" si="6"/>
        <v>March</v>
      </c>
      <c r="E438" t="s">
        <v>24</v>
      </c>
      <c r="F438" t="s">
        <v>60</v>
      </c>
      <c r="G438" t="s">
        <v>73</v>
      </c>
      <c r="H438" t="s">
        <v>27</v>
      </c>
      <c r="I438" t="s">
        <v>20</v>
      </c>
      <c r="J438" t="s">
        <v>46</v>
      </c>
      <c r="K438">
        <v>1</v>
      </c>
      <c r="L438">
        <v>47385.87</v>
      </c>
      <c r="M438">
        <v>5</v>
      </c>
      <c r="N438">
        <v>45016.58</v>
      </c>
      <c r="O438" t="s">
        <v>47</v>
      </c>
    </row>
    <row r="439" spans="1:15" x14ac:dyDescent="0.3">
      <c r="A439" t="s">
        <v>507</v>
      </c>
      <c r="B439" s="2">
        <v>45729</v>
      </c>
      <c r="C439" t="s">
        <v>31</v>
      </c>
      <c r="D439" t="str">
        <f t="shared" si="6"/>
        <v>March</v>
      </c>
      <c r="E439" t="s">
        <v>50</v>
      </c>
      <c r="F439" t="s">
        <v>60</v>
      </c>
      <c r="G439" t="s">
        <v>78</v>
      </c>
      <c r="H439" t="s">
        <v>19</v>
      </c>
      <c r="I439" t="s">
        <v>42</v>
      </c>
      <c r="J439" t="s">
        <v>35</v>
      </c>
      <c r="K439">
        <v>1</v>
      </c>
      <c r="L439">
        <v>44655.54</v>
      </c>
      <c r="M439">
        <v>10</v>
      </c>
      <c r="N439">
        <v>40189.99</v>
      </c>
      <c r="O439" t="s">
        <v>47</v>
      </c>
    </row>
    <row r="440" spans="1:15" x14ac:dyDescent="0.3">
      <c r="A440" t="s">
        <v>508</v>
      </c>
      <c r="B440" s="2">
        <v>45730</v>
      </c>
      <c r="C440" t="s">
        <v>15</v>
      </c>
      <c r="D440" t="str">
        <f t="shared" si="6"/>
        <v>March</v>
      </c>
      <c r="E440" t="s">
        <v>50</v>
      </c>
      <c r="F440" t="s">
        <v>25</v>
      </c>
      <c r="G440" t="s">
        <v>56</v>
      </c>
      <c r="H440" t="s">
        <v>19</v>
      </c>
      <c r="I440" t="s">
        <v>20</v>
      </c>
      <c r="J440" t="s">
        <v>35</v>
      </c>
      <c r="K440">
        <v>4</v>
      </c>
      <c r="L440">
        <v>2386.06</v>
      </c>
      <c r="M440">
        <v>0</v>
      </c>
      <c r="N440">
        <v>9544.25</v>
      </c>
      <c r="O440" t="s">
        <v>47</v>
      </c>
    </row>
    <row r="441" spans="1:15" x14ac:dyDescent="0.3">
      <c r="A441" t="s">
        <v>509</v>
      </c>
      <c r="B441" s="2">
        <v>45731</v>
      </c>
      <c r="C441" t="s">
        <v>58</v>
      </c>
      <c r="D441" t="str">
        <f t="shared" si="6"/>
        <v>March</v>
      </c>
      <c r="E441" t="s">
        <v>77</v>
      </c>
      <c r="F441" t="s">
        <v>60</v>
      </c>
      <c r="G441" t="s">
        <v>73</v>
      </c>
      <c r="H441" t="s">
        <v>33</v>
      </c>
      <c r="I441" t="s">
        <v>34</v>
      </c>
      <c r="J441" t="s">
        <v>46</v>
      </c>
      <c r="K441">
        <v>4</v>
      </c>
      <c r="L441">
        <v>34501.370000000003</v>
      </c>
      <c r="M441">
        <v>10</v>
      </c>
      <c r="N441">
        <v>124204.92</v>
      </c>
      <c r="O441" t="s">
        <v>47</v>
      </c>
    </row>
    <row r="442" spans="1:15" x14ac:dyDescent="0.3">
      <c r="A442" t="s">
        <v>510</v>
      </c>
      <c r="B442" s="2">
        <v>45732</v>
      </c>
      <c r="C442" t="s">
        <v>15</v>
      </c>
      <c r="D442" t="str">
        <f t="shared" si="6"/>
        <v>March</v>
      </c>
      <c r="E442" t="s">
        <v>32</v>
      </c>
      <c r="F442" t="s">
        <v>25</v>
      </c>
      <c r="G442" t="s">
        <v>81</v>
      </c>
      <c r="H442" t="s">
        <v>19</v>
      </c>
      <c r="I442" t="s">
        <v>42</v>
      </c>
      <c r="J442" t="s">
        <v>21</v>
      </c>
      <c r="K442">
        <v>1</v>
      </c>
      <c r="L442">
        <v>2415.4699999999998</v>
      </c>
      <c r="M442">
        <v>15</v>
      </c>
      <c r="N442">
        <v>2053.15</v>
      </c>
      <c r="O442" t="s">
        <v>22</v>
      </c>
    </row>
    <row r="443" spans="1:15" x14ac:dyDescent="0.3">
      <c r="A443" t="s">
        <v>511</v>
      </c>
      <c r="B443" s="2">
        <v>45733</v>
      </c>
      <c r="C443" t="s">
        <v>58</v>
      </c>
      <c r="D443" t="str">
        <f t="shared" si="6"/>
        <v>March</v>
      </c>
      <c r="E443" t="s">
        <v>16</v>
      </c>
      <c r="F443" t="s">
        <v>40</v>
      </c>
      <c r="G443" t="s">
        <v>115</v>
      </c>
      <c r="H443" t="s">
        <v>45</v>
      </c>
      <c r="I443" t="s">
        <v>34</v>
      </c>
      <c r="J443" t="s">
        <v>46</v>
      </c>
      <c r="K443">
        <v>3</v>
      </c>
      <c r="L443">
        <v>6520.1</v>
      </c>
      <c r="M443">
        <v>20</v>
      </c>
      <c r="N443">
        <v>15648.23</v>
      </c>
      <c r="O443" t="s">
        <v>47</v>
      </c>
    </row>
    <row r="444" spans="1:15" x14ac:dyDescent="0.3">
      <c r="A444" t="s">
        <v>512</v>
      </c>
      <c r="B444" s="2">
        <v>45734</v>
      </c>
      <c r="C444" t="s">
        <v>15</v>
      </c>
      <c r="D444" t="str">
        <f t="shared" si="6"/>
        <v>March</v>
      </c>
      <c r="E444" t="s">
        <v>39</v>
      </c>
      <c r="F444" t="s">
        <v>17</v>
      </c>
      <c r="G444" t="s">
        <v>67</v>
      </c>
      <c r="H444" t="s">
        <v>45</v>
      </c>
      <c r="I444" t="s">
        <v>20</v>
      </c>
      <c r="J444" t="s">
        <v>35</v>
      </c>
      <c r="K444">
        <v>2</v>
      </c>
      <c r="L444">
        <v>53309.08</v>
      </c>
      <c r="M444">
        <v>0</v>
      </c>
      <c r="N444">
        <v>106618.16</v>
      </c>
      <c r="O444" t="s">
        <v>47</v>
      </c>
    </row>
    <row r="445" spans="1:15" x14ac:dyDescent="0.3">
      <c r="A445" t="s">
        <v>513</v>
      </c>
      <c r="B445" s="2">
        <v>45735</v>
      </c>
      <c r="C445" t="s">
        <v>38</v>
      </c>
      <c r="D445" t="str">
        <f t="shared" si="6"/>
        <v>March</v>
      </c>
      <c r="E445" t="s">
        <v>72</v>
      </c>
      <c r="F445" t="s">
        <v>17</v>
      </c>
      <c r="G445" t="s">
        <v>18</v>
      </c>
      <c r="H445" t="s">
        <v>33</v>
      </c>
      <c r="I445" t="s">
        <v>34</v>
      </c>
      <c r="J445" t="s">
        <v>43</v>
      </c>
      <c r="K445">
        <v>2</v>
      </c>
      <c r="L445">
        <v>53138.17</v>
      </c>
      <c r="M445">
        <v>15</v>
      </c>
      <c r="N445">
        <v>90334.89</v>
      </c>
      <c r="O445" t="s">
        <v>22</v>
      </c>
    </row>
    <row r="446" spans="1:15" x14ac:dyDescent="0.3">
      <c r="A446" t="s">
        <v>514</v>
      </c>
      <c r="B446" s="2">
        <v>45736</v>
      </c>
      <c r="C446" t="s">
        <v>38</v>
      </c>
      <c r="D446" t="str">
        <f t="shared" si="6"/>
        <v>March</v>
      </c>
      <c r="E446" t="s">
        <v>77</v>
      </c>
      <c r="F446" t="s">
        <v>40</v>
      </c>
      <c r="G446" t="s">
        <v>75</v>
      </c>
      <c r="H446" t="s">
        <v>45</v>
      </c>
      <c r="I446" t="s">
        <v>42</v>
      </c>
      <c r="J446" t="s">
        <v>43</v>
      </c>
      <c r="K446">
        <v>5</v>
      </c>
      <c r="L446">
        <v>5259.09</v>
      </c>
      <c r="M446">
        <v>20</v>
      </c>
      <c r="N446">
        <v>21036.37</v>
      </c>
      <c r="O446" t="s">
        <v>36</v>
      </c>
    </row>
    <row r="447" spans="1:15" x14ac:dyDescent="0.3">
      <c r="A447" t="s">
        <v>515</v>
      </c>
      <c r="B447" s="2">
        <v>45737</v>
      </c>
      <c r="C447" t="s">
        <v>38</v>
      </c>
      <c r="D447" t="str">
        <f t="shared" si="6"/>
        <v>March</v>
      </c>
      <c r="E447" t="s">
        <v>72</v>
      </c>
      <c r="F447" t="s">
        <v>25</v>
      </c>
      <c r="G447" t="s">
        <v>26</v>
      </c>
      <c r="H447" t="s">
        <v>27</v>
      </c>
      <c r="I447" t="s">
        <v>42</v>
      </c>
      <c r="J447" t="s">
        <v>28</v>
      </c>
      <c r="K447">
        <v>4</v>
      </c>
      <c r="L447">
        <v>2445.77</v>
      </c>
      <c r="M447">
        <v>0</v>
      </c>
      <c r="N447">
        <v>9783.08</v>
      </c>
      <c r="O447" t="s">
        <v>29</v>
      </c>
    </row>
    <row r="448" spans="1:15" x14ac:dyDescent="0.3">
      <c r="A448" t="s">
        <v>516</v>
      </c>
      <c r="B448" s="2">
        <v>45738</v>
      </c>
      <c r="C448" t="s">
        <v>31</v>
      </c>
      <c r="D448" t="str">
        <f t="shared" si="6"/>
        <v>March</v>
      </c>
      <c r="E448" t="s">
        <v>77</v>
      </c>
      <c r="F448" t="s">
        <v>25</v>
      </c>
      <c r="G448" t="s">
        <v>81</v>
      </c>
      <c r="H448" t="s">
        <v>27</v>
      </c>
      <c r="I448" t="s">
        <v>20</v>
      </c>
      <c r="J448" t="s">
        <v>43</v>
      </c>
      <c r="K448">
        <v>1</v>
      </c>
      <c r="L448">
        <v>2204.2399999999998</v>
      </c>
      <c r="M448">
        <v>20</v>
      </c>
      <c r="N448">
        <v>1763.4</v>
      </c>
      <c r="O448" t="s">
        <v>36</v>
      </c>
    </row>
    <row r="449" spans="1:15" x14ac:dyDescent="0.3">
      <c r="A449" t="s">
        <v>517</v>
      </c>
      <c r="B449" s="2">
        <v>45739</v>
      </c>
      <c r="C449" t="s">
        <v>58</v>
      </c>
      <c r="D449" t="str">
        <f t="shared" si="6"/>
        <v>March</v>
      </c>
      <c r="E449" t="s">
        <v>52</v>
      </c>
      <c r="F449" t="s">
        <v>17</v>
      </c>
      <c r="G449" t="s">
        <v>63</v>
      </c>
      <c r="H449" t="s">
        <v>19</v>
      </c>
      <c r="I449" t="s">
        <v>34</v>
      </c>
      <c r="J449" t="s">
        <v>43</v>
      </c>
      <c r="K449">
        <v>1</v>
      </c>
      <c r="L449">
        <v>60238.48</v>
      </c>
      <c r="M449">
        <v>15</v>
      </c>
      <c r="N449">
        <v>51202.71</v>
      </c>
      <c r="O449" t="s">
        <v>36</v>
      </c>
    </row>
    <row r="450" spans="1:15" x14ac:dyDescent="0.3">
      <c r="A450" t="s">
        <v>518</v>
      </c>
      <c r="B450" s="2">
        <v>45740</v>
      </c>
      <c r="C450" t="s">
        <v>31</v>
      </c>
      <c r="D450" t="str">
        <f t="shared" si="6"/>
        <v>March</v>
      </c>
      <c r="E450" t="s">
        <v>16</v>
      </c>
      <c r="F450" t="s">
        <v>40</v>
      </c>
      <c r="G450" t="s">
        <v>118</v>
      </c>
      <c r="H450" t="s">
        <v>33</v>
      </c>
      <c r="I450" t="s">
        <v>34</v>
      </c>
      <c r="J450" t="s">
        <v>28</v>
      </c>
      <c r="K450">
        <v>1</v>
      </c>
      <c r="L450">
        <v>5565.6</v>
      </c>
      <c r="M450">
        <v>0</v>
      </c>
      <c r="N450">
        <v>5565.6</v>
      </c>
      <c r="O450" t="s">
        <v>47</v>
      </c>
    </row>
    <row r="451" spans="1:15" x14ac:dyDescent="0.3">
      <c r="A451" t="s">
        <v>519</v>
      </c>
      <c r="B451" s="2">
        <v>45741</v>
      </c>
      <c r="C451" t="s">
        <v>58</v>
      </c>
      <c r="D451" t="str">
        <f t="shared" ref="D451:D514" si="7">TEXT(B451,"mmmm")</f>
        <v>March</v>
      </c>
      <c r="E451" t="s">
        <v>16</v>
      </c>
      <c r="F451" t="s">
        <v>53</v>
      </c>
      <c r="G451" t="s">
        <v>54</v>
      </c>
      <c r="H451" t="s">
        <v>27</v>
      </c>
      <c r="I451" t="s">
        <v>20</v>
      </c>
      <c r="J451" t="s">
        <v>21</v>
      </c>
      <c r="K451">
        <v>2</v>
      </c>
      <c r="L451">
        <v>35661.07</v>
      </c>
      <c r="M451">
        <v>15</v>
      </c>
      <c r="N451">
        <v>60623.83</v>
      </c>
      <c r="O451" t="s">
        <v>47</v>
      </c>
    </row>
    <row r="452" spans="1:15" x14ac:dyDescent="0.3">
      <c r="A452" t="s">
        <v>520</v>
      </c>
      <c r="B452" s="2">
        <v>45742</v>
      </c>
      <c r="C452" t="s">
        <v>31</v>
      </c>
      <c r="D452" t="str">
        <f t="shared" si="7"/>
        <v>March</v>
      </c>
      <c r="E452" t="s">
        <v>32</v>
      </c>
      <c r="F452" t="s">
        <v>25</v>
      </c>
      <c r="G452" t="s">
        <v>26</v>
      </c>
      <c r="H452" t="s">
        <v>27</v>
      </c>
      <c r="I452" t="s">
        <v>20</v>
      </c>
      <c r="J452" t="s">
        <v>21</v>
      </c>
      <c r="K452">
        <v>3</v>
      </c>
      <c r="L452">
        <v>2079.6799999999998</v>
      </c>
      <c r="M452">
        <v>15</v>
      </c>
      <c r="N452">
        <v>5303.18</v>
      </c>
      <c r="O452" t="s">
        <v>47</v>
      </c>
    </row>
    <row r="453" spans="1:15" x14ac:dyDescent="0.3">
      <c r="A453" t="s">
        <v>521</v>
      </c>
      <c r="B453" s="2">
        <v>45743</v>
      </c>
      <c r="C453" t="s">
        <v>49</v>
      </c>
      <c r="D453" t="str">
        <f t="shared" si="7"/>
        <v>March</v>
      </c>
      <c r="E453" t="s">
        <v>24</v>
      </c>
      <c r="F453" t="s">
        <v>60</v>
      </c>
      <c r="G453" t="s">
        <v>70</v>
      </c>
      <c r="H453" t="s">
        <v>45</v>
      </c>
      <c r="I453" t="s">
        <v>34</v>
      </c>
      <c r="J453" t="s">
        <v>28</v>
      </c>
      <c r="K453">
        <v>5</v>
      </c>
      <c r="L453">
        <v>39640.36</v>
      </c>
      <c r="M453">
        <v>5</v>
      </c>
      <c r="N453">
        <v>188291.72</v>
      </c>
      <c r="O453" t="s">
        <v>47</v>
      </c>
    </row>
    <row r="454" spans="1:15" x14ac:dyDescent="0.3">
      <c r="A454" t="s">
        <v>522</v>
      </c>
      <c r="B454" s="2">
        <v>45744</v>
      </c>
      <c r="C454" t="s">
        <v>15</v>
      </c>
      <c r="D454" t="str">
        <f t="shared" si="7"/>
        <v>March</v>
      </c>
      <c r="E454" t="s">
        <v>24</v>
      </c>
      <c r="F454" t="s">
        <v>60</v>
      </c>
      <c r="G454" t="s">
        <v>61</v>
      </c>
      <c r="H454" t="s">
        <v>27</v>
      </c>
      <c r="I454" t="s">
        <v>34</v>
      </c>
      <c r="J454" t="s">
        <v>43</v>
      </c>
      <c r="K454">
        <v>4</v>
      </c>
      <c r="L454">
        <v>44544.45</v>
      </c>
      <c r="M454">
        <v>0</v>
      </c>
      <c r="N454">
        <v>178177.78</v>
      </c>
      <c r="O454" t="s">
        <v>47</v>
      </c>
    </row>
    <row r="455" spans="1:15" x14ac:dyDescent="0.3">
      <c r="A455" t="s">
        <v>523</v>
      </c>
      <c r="B455" s="2">
        <v>45745</v>
      </c>
      <c r="C455" t="s">
        <v>15</v>
      </c>
      <c r="D455" t="str">
        <f t="shared" si="7"/>
        <v>March</v>
      </c>
      <c r="E455" t="s">
        <v>50</v>
      </c>
      <c r="F455" t="s">
        <v>25</v>
      </c>
      <c r="G455" t="s">
        <v>92</v>
      </c>
      <c r="H455" t="s">
        <v>45</v>
      </c>
      <c r="I455" t="s">
        <v>42</v>
      </c>
      <c r="J455" t="s">
        <v>28</v>
      </c>
      <c r="K455">
        <v>2</v>
      </c>
      <c r="L455">
        <v>2115.6</v>
      </c>
      <c r="M455">
        <v>5</v>
      </c>
      <c r="N455">
        <v>4019.64</v>
      </c>
      <c r="O455" t="s">
        <v>29</v>
      </c>
    </row>
    <row r="456" spans="1:15" x14ac:dyDescent="0.3">
      <c r="A456" t="s">
        <v>524</v>
      </c>
      <c r="B456" s="2">
        <v>45746</v>
      </c>
      <c r="C456" t="s">
        <v>38</v>
      </c>
      <c r="D456" t="str">
        <f t="shared" si="7"/>
        <v>March</v>
      </c>
      <c r="E456" t="s">
        <v>50</v>
      </c>
      <c r="F456" t="s">
        <v>60</v>
      </c>
      <c r="G456" t="s">
        <v>78</v>
      </c>
      <c r="H456" t="s">
        <v>27</v>
      </c>
      <c r="I456" t="s">
        <v>34</v>
      </c>
      <c r="J456" t="s">
        <v>43</v>
      </c>
      <c r="K456">
        <v>1</v>
      </c>
      <c r="L456">
        <v>44733.120000000003</v>
      </c>
      <c r="M456">
        <v>0</v>
      </c>
      <c r="N456">
        <v>44733.120000000003</v>
      </c>
      <c r="O456" t="s">
        <v>29</v>
      </c>
    </row>
    <row r="457" spans="1:15" x14ac:dyDescent="0.3">
      <c r="A457" t="s">
        <v>525</v>
      </c>
      <c r="B457" s="2">
        <v>45747</v>
      </c>
      <c r="C457" t="s">
        <v>15</v>
      </c>
      <c r="D457" t="str">
        <f t="shared" si="7"/>
        <v>March</v>
      </c>
      <c r="E457" t="s">
        <v>69</v>
      </c>
      <c r="F457" t="s">
        <v>25</v>
      </c>
      <c r="G457" t="s">
        <v>92</v>
      </c>
      <c r="H457" t="s">
        <v>27</v>
      </c>
      <c r="I457" t="s">
        <v>34</v>
      </c>
      <c r="J457" t="s">
        <v>46</v>
      </c>
      <c r="K457">
        <v>4</v>
      </c>
      <c r="L457">
        <v>2976.11</v>
      </c>
      <c r="M457">
        <v>5</v>
      </c>
      <c r="N457">
        <v>11309.2</v>
      </c>
      <c r="O457" t="s">
        <v>47</v>
      </c>
    </row>
    <row r="458" spans="1:15" x14ac:dyDescent="0.3">
      <c r="A458" t="s">
        <v>526</v>
      </c>
      <c r="B458" s="2">
        <v>45748</v>
      </c>
      <c r="C458" t="s">
        <v>15</v>
      </c>
      <c r="D458" t="str">
        <f t="shared" si="7"/>
        <v>April</v>
      </c>
      <c r="E458" t="s">
        <v>39</v>
      </c>
      <c r="F458" t="s">
        <v>17</v>
      </c>
      <c r="G458" t="s">
        <v>67</v>
      </c>
      <c r="H458" t="s">
        <v>45</v>
      </c>
      <c r="I458" t="s">
        <v>42</v>
      </c>
      <c r="J458" t="s">
        <v>46</v>
      </c>
      <c r="K458">
        <v>3</v>
      </c>
      <c r="L458">
        <v>44718.64</v>
      </c>
      <c r="M458">
        <v>5</v>
      </c>
      <c r="N458">
        <v>127448.14</v>
      </c>
      <c r="O458" t="s">
        <v>22</v>
      </c>
    </row>
    <row r="459" spans="1:15" x14ac:dyDescent="0.3">
      <c r="A459" t="s">
        <v>527</v>
      </c>
      <c r="B459" s="2">
        <v>45749</v>
      </c>
      <c r="C459" t="s">
        <v>58</v>
      </c>
      <c r="D459" t="str">
        <f t="shared" si="7"/>
        <v>April</v>
      </c>
      <c r="E459" t="s">
        <v>100</v>
      </c>
      <c r="F459" t="s">
        <v>25</v>
      </c>
      <c r="G459" t="s">
        <v>26</v>
      </c>
      <c r="H459" t="s">
        <v>45</v>
      </c>
      <c r="I459" t="s">
        <v>42</v>
      </c>
      <c r="J459" t="s">
        <v>28</v>
      </c>
      <c r="K459">
        <v>3</v>
      </c>
      <c r="L459">
        <v>3064.14</v>
      </c>
      <c r="M459">
        <v>10</v>
      </c>
      <c r="N459">
        <v>8273.19</v>
      </c>
      <c r="O459" t="s">
        <v>22</v>
      </c>
    </row>
    <row r="460" spans="1:15" x14ac:dyDescent="0.3">
      <c r="A460" t="s">
        <v>528</v>
      </c>
      <c r="B460" s="2">
        <v>45750</v>
      </c>
      <c r="C460" t="s">
        <v>49</v>
      </c>
      <c r="D460" t="str">
        <f t="shared" si="7"/>
        <v>April</v>
      </c>
      <c r="E460" t="s">
        <v>77</v>
      </c>
      <c r="F460" t="s">
        <v>40</v>
      </c>
      <c r="G460" t="s">
        <v>41</v>
      </c>
      <c r="H460" t="s">
        <v>27</v>
      </c>
      <c r="I460" t="s">
        <v>34</v>
      </c>
      <c r="J460" t="s">
        <v>35</v>
      </c>
      <c r="K460">
        <v>5</v>
      </c>
      <c r="L460">
        <v>6533.63</v>
      </c>
      <c r="M460">
        <v>5</v>
      </c>
      <c r="N460">
        <v>31034.74</v>
      </c>
      <c r="O460" t="s">
        <v>29</v>
      </c>
    </row>
    <row r="461" spans="1:15" x14ac:dyDescent="0.3">
      <c r="A461" t="s">
        <v>529</v>
      </c>
      <c r="B461" s="2">
        <v>45751</v>
      </c>
      <c r="C461" t="s">
        <v>31</v>
      </c>
      <c r="D461" t="str">
        <f t="shared" si="7"/>
        <v>April</v>
      </c>
      <c r="E461" t="s">
        <v>72</v>
      </c>
      <c r="F461" t="s">
        <v>60</v>
      </c>
      <c r="G461" t="s">
        <v>73</v>
      </c>
      <c r="H461" t="s">
        <v>27</v>
      </c>
      <c r="I461" t="s">
        <v>34</v>
      </c>
      <c r="J461" t="s">
        <v>28</v>
      </c>
      <c r="K461">
        <v>1</v>
      </c>
      <c r="L461">
        <v>37682.03</v>
      </c>
      <c r="M461">
        <v>20</v>
      </c>
      <c r="N461">
        <v>30145.62</v>
      </c>
      <c r="O461" t="s">
        <v>47</v>
      </c>
    </row>
    <row r="462" spans="1:15" x14ac:dyDescent="0.3">
      <c r="A462" t="s">
        <v>530</v>
      </c>
      <c r="B462" s="2">
        <v>45752</v>
      </c>
      <c r="C462" t="s">
        <v>49</v>
      </c>
      <c r="D462" t="str">
        <f t="shared" si="7"/>
        <v>April</v>
      </c>
      <c r="E462" t="s">
        <v>32</v>
      </c>
      <c r="F462" t="s">
        <v>60</v>
      </c>
      <c r="G462" t="s">
        <v>70</v>
      </c>
      <c r="H462" t="s">
        <v>33</v>
      </c>
      <c r="I462" t="s">
        <v>42</v>
      </c>
      <c r="J462" t="s">
        <v>43</v>
      </c>
      <c r="K462">
        <v>5</v>
      </c>
      <c r="L462">
        <v>42806.57</v>
      </c>
      <c r="M462">
        <v>0</v>
      </c>
      <c r="N462">
        <v>214032.85</v>
      </c>
      <c r="O462" t="s">
        <v>22</v>
      </c>
    </row>
    <row r="463" spans="1:15" x14ac:dyDescent="0.3">
      <c r="A463" t="s">
        <v>531</v>
      </c>
      <c r="B463" s="2">
        <v>45753</v>
      </c>
      <c r="C463" t="s">
        <v>38</v>
      </c>
      <c r="D463" t="str">
        <f t="shared" si="7"/>
        <v>April</v>
      </c>
      <c r="E463" t="s">
        <v>32</v>
      </c>
      <c r="F463" t="s">
        <v>25</v>
      </c>
      <c r="G463" t="s">
        <v>26</v>
      </c>
      <c r="H463" t="s">
        <v>33</v>
      </c>
      <c r="I463" t="s">
        <v>42</v>
      </c>
      <c r="J463" t="s">
        <v>46</v>
      </c>
      <c r="K463">
        <v>5</v>
      </c>
      <c r="L463">
        <v>2261.29</v>
      </c>
      <c r="M463">
        <v>5</v>
      </c>
      <c r="N463">
        <v>10741.12</v>
      </c>
      <c r="O463" t="s">
        <v>22</v>
      </c>
    </row>
    <row r="464" spans="1:15" x14ac:dyDescent="0.3">
      <c r="A464" t="s">
        <v>532</v>
      </c>
      <c r="B464" s="2">
        <v>45754</v>
      </c>
      <c r="C464" t="s">
        <v>49</v>
      </c>
      <c r="D464" t="str">
        <f t="shared" si="7"/>
        <v>April</v>
      </c>
      <c r="E464" t="s">
        <v>69</v>
      </c>
      <c r="F464" t="s">
        <v>60</v>
      </c>
      <c r="G464" t="s">
        <v>61</v>
      </c>
      <c r="H464" t="s">
        <v>19</v>
      </c>
      <c r="I464" t="s">
        <v>42</v>
      </c>
      <c r="J464" t="s">
        <v>43</v>
      </c>
      <c r="K464">
        <v>3</v>
      </c>
      <c r="L464">
        <v>40138.019999999997</v>
      </c>
      <c r="M464">
        <v>0</v>
      </c>
      <c r="N464">
        <v>120414.07</v>
      </c>
      <c r="O464" t="s">
        <v>47</v>
      </c>
    </row>
    <row r="465" spans="1:15" x14ac:dyDescent="0.3">
      <c r="A465" t="s">
        <v>533</v>
      </c>
      <c r="B465" s="2">
        <v>45755</v>
      </c>
      <c r="C465" t="s">
        <v>49</v>
      </c>
      <c r="D465" t="str">
        <f t="shared" si="7"/>
        <v>April</v>
      </c>
      <c r="E465" t="s">
        <v>69</v>
      </c>
      <c r="F465" t="s">
        <v>25</v>
      </c>
      <c r="G465" t="s">
        <v>92</v>
      </c>
      <c r="H465" t="s">
        <v>45</v>
      </c>
      <c r="I465" t="s">
        <v>34</v>
      </c>
      <c r="J465" t="s">
        <v>28</v>
      </c>
      <c r="K465">
        <v>5</v>
      </c>
      <c r="L465">
        <v>2776.23</v>
      </c>
      <c r="M465">
        <v>5</v>
      </c>
      <c r="N465">
        <v>13187.09</v>
      </c>
      <c r="O465" t="s">
        <v>47</v>
      </c>
    </row>
    <row r="466" spans="1:15" x14ac:dyDescent="0.3">
      <c r="A466" t="s">
        <v>534</v>
      </c>
      <c r="B466" s="2">
        <v>45756</v>
      </c>
      <c r="C466" t="s">
        <v>49</v>
      </c>
      <c r="D466" t="str">
        <f t="shared" si="7"/>
        <v>April</v>
      </c>
      <c r="E466" t="s">
        <v>72</v>
      </c>
      <c r="F466" t="s">
        <v>40</v>
      </c>
      <c r="G466" t="s">
        <v>41</v>
      </c>
      <c r="H466" t="s">
        <v>27</v>
      </c>
      <c r="I466" t="s">
        <v>42</v>
      </c>
      <c r="J466" t="s">
        <v>28</v>
      </c>
      <c r="K466">
        <v>1</v>
      </c>
      <c r="L466">
        <v>5858.99</v>
      </c>
      <c r="M466">
        <v>0</v>
      </c>
      <c r="N466">
        <v>5858.99</v>
      </c>
      <c r="O466" t="s">
        <v>36</v>
      </c>
    </row>
    <row r="467" spans="1:15" x14ac:dyDescent="0.3">
      <c r="A467" t="s">
        <v>535</v>
      </c>
      <c r="B467" s="2">
        <v>45757</v>
      </c>
      <c r="C467" t="s">
        <v>31</v>
      </c>
      <c r="D467" t="str">
        <f t="shared" si="7"/>
        <v>April</v>
      </c>
      <c r="E467" t="s">
        <v>32</v>
      </c>
      <c r="F467" t="s">
        <v>17</v>
      </c>
      <c r="G467" t="s">
        <v>18</v>
      </c>
      <c r="H467" t="s">
        <v>33</v>
      </c>
      <c r="I467" t="s">
        <v>20</v>
      </c>
      <c r="J467" t="s">
        <v>28</v>
      </c>
      <c r="K467">
        <v>4</v>
      </c>
      <c r="L467">
        <v>69822.83</v>
      </c>
      <c r="M467">
        <v>10</v>
      </c>
      <c r="N467">
        <v>251362.19</v>
      </c>
      <c r="O467" t="s">
        <v>29</v>
      </c>
    </row>
    <row r="468" spans="1:15" x14ac:dyDescent="0.3">
      <c r="A468" t="s">
        <v>536</v>
      </c>
      <c r="B468" s="2">
        <v>45758</v>
      </c>
      <c r="C468" t="s">
        <v>58</v>
      </c>
      <c r="D468" t="str">
        <f t="shared" si="7"/>
        <v>April</v>
      </c>
      <c r="E468" t="s">
        <v>100</v>
      </c>
      <c r="F468" t="s">
        <v>17</v>
      </c>
      <c r="G468" t="s">
        <v>123</v>
      </c>
      <c r="H468" t="s">
        <v>27</v>
      </c>
      <c r="I468" t="s">
        <v>20</v>
      </c>
      <c r="J468" t="s">
        <v>21</v>
      </c>
      <c r="K468">
        <v>1</v>
      </c>
      <c r="L468">
        <v>71063.05</v>
      </c>
      <c r="M468">
        <v>0</v>
      </c>
      <c r="N468">
        <v>71063.05</v>
      </c>
      <c r="O468" t="s">
        <v>36</v>
      </c>
    </row>
    <row r="469" spans="1:15" x14ac:dyDescent="0.3">
      <c r="A469" t="s">
        <v>537</v>
      </c>
      <c r="B469" s="2">
        <v>45759</v>
      </c>
      <c r="C469" t="s">
        <v>38</v>
      </c>
      <c r="D469" t="str">
        <f t="shared" si="7"/>
        <v>April</v>
      </c>
      <c r="E469" t="s">
        <v>52</v>
      </c>
      <c r="F469" t="s">
        <v>53</v>
      </c>
      <c r="G469" t="s">
        <v>54</v>
      </c>
      <c r="H469" t="s">
        <v>19</v>
      </c>
      <c r="I469" t="s">
        <v>20</v>
      </c>
      <c r="J469" t="s">
        <v>35</v>
      </c>
      <c r="K469">
        <v>5</v>
      </c>
      <c r="L469">
        <v>29936.75</v>
      </c>
      <c r="M469">
        <v>0</v>
      </c>
      <c r="N469">
        <v>149683.73000000001</v>
      </c>
      <c r="O469" t="s">
        <v>22</v>
      </c>
    </row>
    <row r="470" spans="1:15" x14ac:dyDescent="0.3">
      <c r="A470" t="s">
        <v>538</v>
      </c>
      <c r="B470" s="2">
        <v>45760</v>
      </c>
      <c r="C470" t="s">
        <v>38</v>
      </c>
      <c r="D470" t="str">
        <f t="shared" si="7"/>
        <v>April</v>
      </c>
      <c r="E470" t="s">
        <v>39</v>
      </c>
      <c r="F470" t="s">
        <v>25</v>
      </c>
      <c r="G470" t="s">
        <v>92</v>
      </c>
      <c r="H470" t="s">
        <v>19</v>
      </c>
      <c r="I470" t="s">
        <v>34</v>
      </c>
      <c r="J470" t="s">
        <v>21</v>
      </c>
      <c r="K470">
        <v>5</v>
      </c>
      <c r="L470">
        <v>1966.18</v>
      </c>
      <c r="M470">
        <v>15</v>
      </c>
      <c r="N470">
        <v>8356.26</v>
      </c>
      <c r="O470" t="s">
        <v>36</v>
      </c>
    </row>
    <row r="471" spans="1:15" x14ac:dyDescent="0.3">
      <c r="A471" t="s">
        <v>539</v>
      </c>
      <c r="B471" s="2">
        <v>45761</v>
      </c>
      <c r="C471" t="s">
        <v>49</v>
      </c>
      <c r="D471" t="str">
        <f t="shared" si="7"/>
        <v>April</v>
      </c>
      <c r="E471" t="s">
        <v>52</v>
      </c>
      <c r="F471" t="s">
        <v>25</v>
      </c>
      <c r="G471" t="s">
        <v>81</v>
      </c>
      <c r="H471" t="s">
        <v>33</v>
      </c>
      <c r="I471" t="s">
        <v>42</v>
      </c>
      <c r="J471" t="s">
        <v>43</v>
      </c>
      <c r="K471">
        <v>1</v>
      </c>
      <c r="L471">
        <v>2312.46</v>
      </c>
      <c r="M471">
        <v>10</v>
      </c>
      <c r="N471">
        <v>2081.21</v>
      </c>
      <c r="O471" t="s">
        <v>47</v>
      </c>
    </row>
    <row r="472" spans="1:15" x14ac:dyDescent="0.3">
      <c r="A472" t="s">
        <v>540</v>
      </c>
      <c r="B472" s="2">
        <v>45762</v>
      </c>
      <c r="C472" t="s">
        <v>31</v>
      </c>
      <c r="D472" t="str">
        <f t="shared" si="7"/>
        <v>April</v>
      </c>
      <c r="E472" t="s">
        <v>77</v>
      </c>
      <c r="F472" t="s">
        <v>25</v>
      </c>
      <c r="G472" t="s">
        <v>81</v>
      </c>
      <c r="H472" t="s">
        <v>45</v>
      </c>
      <c r="I472" t="s">
        <v>20</v>
      </c>
      <c r="J472" t="s">
        <v>46</v>
      </c>
      <c r="K472">
        <v>3</v>
      </c>
      <c r="L472">
        <v>2016.94</v>
      </c>
      <c r="M472">
        <v>5</v>
      </c>
      <c r="N472">
        <v>5748.28</v>
      </c>
      <c r="O472" t="s">
        <v>22</v>
      </c>
    </row>
    <row r="473" spans="1:15" x14ac:dyDescent="0.3">
      <c r="A473" t="s">
        <v>541</v>
      </c>
      <c r="B473" s="2">
        <v>45763</v>
      </c>
      <c r="C473" t="s">
        <v>31</v>
      </c>
      <c r="D473" t="str">
        <f t="shared" si="7"/>
        <v>April</v>
      </c>
      <c r="E473" t="s">
        <v>77</v>
      </c>
      <c r="F473" t="s">
        <v>40</v>
      </c>
      <c r="G473" t="s">
        <v>118</v>
      </c>
      <c r="H473" t="s">
        <v>45</v>
      </c>
      <c r="I473" t="s">
        <v>42</v>
      </c>
      <c r="J473" t="s">
        <v>43</v>
      </c>
      <c r="K473">
        <v>3</v>
      </c>
      <c r="L473">
        <v>6883.92</v>
      </c>
      <c r="M473">
        <v>15</v>
      </c>
      <c r="N473">
        <v>17554</v>
      </c>
      <c r="O473" t="s">
        <v>29</v>
      </c>
    </row>
    <row r="474" spans="1:15" x14ac:dyDescent="0.3">
      <c r="A474" t="s">
        <v>542</v>
      </c>
      <c r="B474" s="2">
        <v>45764</v>
      </c>
      <c r="C474" t="s">
        <v>58</v>
      </c>
      <c r="D474" t="str">
        <f t="shared" si="7"/>
        <v>April</v>
      </c>
      <c r="E474" t="s">
        <v>32</v>
      </c>
      <c r="F474" t="s">
        <v>53</v>
      </c>
      <c r="G474" t="s">
        <v>65</v>
      </c>
      <c r="H474" t="s">
        <v>33</v>
      </c>
      <c r="I474" t="s">
        <v>20</v>
      </c>
      <c r="J474" t="s">
        <v>35</v>
      </c>
      <c r="K474">
        <v>1</v>
      </c>
      <c r="L474">
        <v>36458.050000000003</v>
      </c>
      <c r="M474">
        <v>10</v>
      </c>
      <c r="N474">
        <v>32812.25</v>
      </c>
      <c r="O474" t="s">
        <v>36</v>
      </c>
    </row>
    <row r="475" spans="1:15" x14ac:dyDescent="0.3">
      <c r="A475" t="s">
        <v>543</v>
      </c>
      <c r="B475" s="2">
        <v>45765</v>
      </c>
      <c r="C475" t="s">
        <v>58</v>
      </c>
      <c r="D475" t="str">
        <f t="shared" si="7"/>
        <v>April</v>
      </c>
      <c r="E475" t="s">
        <v>24</v>
      </c>
      <c r="F475" t="s">
        <v>40</v>
      </c>
      <c r="G475" t="s">
        <v>75</v>
      </c>
      <c r="H475" t="s">
        <v>33</v>
      </c>
      <c r="I475" t="s">
        <v>42</v>
      </c>
      <c r="J475" t="s">
        <v>35</v>
      </c>
      <c r="K475">
        <v>1</v>
      </c>
      <c r="L475">
        <v>6611.58</v>
      </c>
      <c r="M475">
        <v>5</v>
      </c>
      <c r="N475">
        <v>6281</v>
      </c>
      <c r="O475" t="s">
        <v>22</v>
      </c>
    </row>
    <row r="476" spans="1:15" x14ac:dyDescent="0.3">
      <c r="A476" t="s">
        <v>544</v>
      </c>
      <c r="B476" s="2">
        <v>45766</v>
      </c>
      <c r="C476" t="s">
        <v>15</v>
      </c>
      <c r="D476" t="str">
        <f t="shared" si="7"/>
        <v>April</v>
      </c>
      <c r="E476" t="s">
        <v>24</v>
      </c>
      <c r="F476" t="s">
        <v>60</v>
      </c>
      <c r="G476" t="s">
        <v>78</v>
      </c>
      <c r="H476" t="s">
        <v>27</v>
      </c>
      <c r="I476" t="s">
        <v>42</v>
      </c>
      <c r="J476" t="s">
        <v>28</v>
      </c>
      <c r="K476">
        <v>1</v>
      </c>
      <c r="L476">
        <v>34378.199999999997</v>
      </c>
      <c r="M476">
        <v>5</v>
      </c>
      <c r="N476">
        <v>32659.29</v>
      </c>
      <c r="O476" t="s">
        <v>47</v>
      </c>
    </row>
    <row r="477" spans="1:15" x14ac:dyDescent="0.3">
      <c r="A477" t="s">
        <v>545</v>
      </c>
      <c r="B477" s="2">
        <v>45767</v>
      </c>
      <c r="C477" t="s">
        <v>49</v>
      </c>
      <c r="D477" t="str">
        <f t="shared" si="7"/>
        <v>April</v>
      </c>
      <c r="E477" t="s">
        <v>100</v>
      </c>
      <c r="F477" t="s">
        <v>53</v>
      </c>
      <c r="G477" t="s">
        <v>105</v>
      </c>
      <c r="H477" t="s">
        <v>45</v>
      </c>
      <c r="I477" t="s">
        <v>20</v>
      </c>
      <c r="J477" t="s">
        <v>21</v>
      </c>
      <c r="K477">
        <v>4</v>
      </c>
      <c r="L477">
        <v>31399.78</v>
      </c>
      <c r="M477">
        <v>15</v>
      </c>
      <c r="N477">
        <v>106759.27</v>
      </c>
      <c r="O477" t="s">
        <v>29</v>
      </c>
    </row>
    <row r="478" spans="1:15" x14ac:dyDescent="0.3">
      <c r="A478" t="s">
        <v>546</v>
      </c>
      <c r="B478" s="2">
        <v>45768</v>
      </c>
      <c r="C478" t="s">
        <v>58</v>
      </c>
      <c r="D478" t="str">
        <f t="shared" si="7"/>
        <v>April</v>
      </c>
      <c r="E478" t="s">
        <v>16</v>
      </c>
      <c r="F478" t="s">
        <v>40</v>
      </c>
      <c r="G478" t="s">
        <v>118</v>
      </c>
      <c r="H478" t="s">
        <v>19</v>
      </c>
      <c r="I478" t="s">
        <v>20</v>
      </c>
      <c r="J478" t="s">
        <v>46</v>
      </c>
      <c r="K478">
        <v>2</v>
      </c>
      <c r="L478">
        <v>7508.91</v>
      </c>
      <c r="M478">
        <v>0</v>
      </c>
      <c r="N478">
        <v>15017.82</v>
      </c>
      <c r="O478" t="s">
        <v>22</v>
      </c>
    </row>
    <row r="479" spans="1:15" x14ac:dyDescent="0.3">
      <c r="A479" t="s">
        <v>547</v>
      </c>
      <c r="B479" s="2">
        <v>45769</v>
      </c>
      <c r="C479" t="s">
        <v>49</v>
      </c>
      <c r="D479" t="str">
        <f t="shared" si="7"/>
        <v>April</v>
      </c>
      <c r="E479" t="s">
        <v>100</v>
      </c>
      <c r="F479" t="s">
        <v>60</v>
      </c>
      <c r="G479" t="s">
        <v>70</v>
      </c>
      <c r="H479" t="s">
        <v>19</v>
      </c>
      <c r="I479" t="s">
        <v>42</v>
      </c>
      <c r="J479" t="s">
        <v>46</v>
      </c>
      <c r="K479">
        <v>3</v>
      </c>
      <c r="L479">
        <v>43013.05</v>
      </c>
      <c r="M479">
        <v>5</v>
      </c>
      <c r="N479">
        <v>122587.2</v>
      </c>
      <c r="O479" t="s">
        <v>22</v>
      </c>
    </row>
    <row r="480" spans="1:15" x14ac:dyDescent="0.3">
      <c r="A480" t="s">
        <v>548</v>
      </c>
      <c r="B480" s="2">
        <v>45770</v>
      </c>
      <c r="C480" t="s">
        <v>49</v>
      </c>
      <c r="D480" t="str">
        <f t="shared" si="7"/>
        <v>April</v>
      </c>
      <c r="E480" t="s">
        <v>24</v>
      </c>
      <c r="F480" t="s">
        <v>17</v>
      </c>
      <c r="G480" t="s">
        <v>123</v>
      </c>
      <c r="H480" t="s">
        <v>27</v>
      </c>
      <c r="I480" t="s">
        <v>20</v>
      </c>
      <c r="J480" t="s">
        <v>46</v>
      </c>
      <c r="K480">
        <v>1</v>
      </c>
      <c r="L480">
        <v>44509.04</v>
      </c>
      <c r="M480">
        <v>0</v>
      </c>
      <c r="N480">
        <v>44509.04</v>
      </c>
      <c r="O480" t="s">
        <v>47</v>
      </c>
    </row>
    <row r="481" spans="1:15" x14ac:dyDescent="0.3">
      <c r="A481" t="s">
        <v>549</v>
      </c>
      <c r="B481" s="2">
        <v>45771</v>
      </c>
      <c r="C481" t="s">
        <v>31</v>
      </c>
      <c r="D481" t="str">
        <f t="shared" si="7"/>
        <v>April</v>
      </c>
      <c r="E481" t="s">
        <v>32</v>
      </c>
      <c r="F481" t="s">
        <v>40</v>
      </c>
      <c r="G481" t="s">
        <v>75</v>
      </c>
      <c r="H481" t="s">
        <v>19</v>
      </c>
      <c r="I481" t="s">
        <v>34</v>
      </c>
      <c r="J481" t="s">
        <v>43</v>
      </c>
      <c r="K481">
        <v>1</v>
      </c>
      <c r="L481">
        <v>7813.96</v>
      </c>
      <c r="M481">
        <v>5</v>
      </c>
      <c r="N481">
        <v>7423.26</v>
      </c>
      <c r="O481" t="s">
        <v>36</v>
      </c>
    </row>
    <row r="482" spans="1:15" x14ac:dyDescent="0.3">
      <c r="A482" t="s">
        <v>550</v>
      </c>
      <c r="B482" s="2">
        <v>45772</v>
      </c>
      <c r="C482" t="s">
        <v>58</v>
      </c>
      <c r="D482" t="str">
        <f t="shared" si="7"/>
        <v>April</v>
      </c>
      <c r="E482" t="s">
        <v>32</v>
      </c>
      <c r="F482" t="s">
        <v>53</v>
      </c>
      <c r="G482" t="s">
        <v>129</v>
      </c>
      <c r="H482" t="s">
        <v>19</v>
      </c>
      <c r="I482" t="s">
        <v>42</v>
      </c>
      <c r="J482" t="s">
        <v>43</v>
      </c>
      <c r="K482">
        <v>5</v>
      </c>
      <c r="L482">
        <v>38754.839999999997</v>
      </c>
      <c r="M482">
        <v>10</v>
      </c>
      <c r="N482">
        <v>174396.79</v>
      </c>
      <c r="O482" t="s">
        <v>29</v>
      </c>
    </row>
    <row r="483" spans="1:15" x14ac:dyDescent="0.3">
      <c r="A483" t="s">
        <v>551</v>
      </c>
      <c r="B483" s="2">
        <v>45773</v>
      </c>
      <c r="C483" t="s">
        <v>38</v>
      </c>
      <c r="D483" t="str">
        <f t="shared" si="7"/>
        <v>April</v>
      </c>
      <c r="E483" t="s">
        <v>100</v>
      </c>
      <c r="F483" t="s">
        <v>17</v>
      </c>
      <c r="G483" t="s">
        <v>63</v>
      </c>
      <c r="H483" t="s">
        <v>45</v>
      </c>
      <c r="I483" t="s">
        <v>34</v>
      </c>
      <c r="J483" t="s">
        <v>28</v>
      </c>
      <c r="K483">
        <v>4</v>
      </c>
      <c r="L483">
        <v>45320.24</v>
      </c>
      <c r="M483">
        <v>0</v>
      </c>
      <c r="N483">
        <v>181280.95</v>
      </c>
      <c r="O483" t="s">
        <v>47</v>
      </c>
    </row>
    <row r="484" spans="1:15" x14ac:dyDescent="0.3">
      <c r="A484" t="s">
        <v>552</v>
      </c>
      <c r="B484" s="2">
        <v>45774</v>
      </c>
      <c r="C484" t="s">
        <v>15</v>
      </c>
      <c r="D484" t="str">
        <f t="shared" si="7"/>
        <v>April</v>
      </c>
      <c r="E484" t="s">
        <v>39</v>
      </c>
      <c r="F484" t="s">
        <v>60</v>
      </c>
      <c r="G484" t="s">
        <v>78</v>
      </c>
      <c r="H484" t="s">
        <v>45</v>
      </c>
      <c r="I484" t="s">
        <v>42</v>
      </c>
      <c r="J484" t="s">
        <v>35</v>
      </c>
      <c r="K484">
        <v>1</v>
      </c>
      <c r="L484">
        <v>40920.69</v>
      </c>
      <c r="M484">
        <v>10</v>
      </c>
      <c r="N484">
        <v>36828.620000000003</v>
      </c>
      <c r="O484" t="s">
        <v>47</v>
      </c>
    </row>
    <row r="485" spans="1:15" x14ac:dyDescent="0.3">
      <c r="A485" t="s">
        <v>553</v>
      </c>
      <c r="B485" s="2">
        <v>45775</v>
      </c>
      <c r="C485" t="s">
        <v>58</v>
      </c>
      <c r="D485" t="str">
        <f t="shared" si="7"/>
        <v>April</v>
      </c>
      <c r="E485" t="s">
        <v>16</v>
      </c>
      <c r="F485" t="s">
        <v>17</v>
      </c>
      <c r="G485" t="s">
        <v>67</v>
      </c>
      <c r="H485" t="s">
        <v>33</v>
      </c>
      <c r="I485" t="s">
        <v>42</v>
      </c>
      <c r="J485" t="s">
        <v>21</v>
      </c>
      <c r="K485">
        <v>4</v>
      </c>
      <c r="L485">
        <v>69735.91</v>
      </c>
      <c r="M485">
        <v>10</v>
      </c>
      <c r="N485">
        <v>251049.29</v>
      </c>
      <c r="O485" t="s">
        <v>47</v>
      </c>
    </row>
    <row r="486" spans="1:15" x14ac:dyDescent="0.3">
      <c r="A486" t="s">
        <v>554</v>
      </c>
      <c r="B486" s="2">
        <v>45776</v>
      </c>
      <c r="C486" t="s">
        <v>15</v>
      </c>
      <c r="D486" t="str">
        <f t="shared" si="7"/>
        <v>April</v>
      </c>
      <c r="E486" t="s">
        <v>52</v>
      </c>
      <c r="F486" t="s">
        <v>53</v>
      </c>
      <c r="G486" t="s">
        <v>129</v>
      </c>
      <c r="H486" t="s">
        <v>19</v>
      </c>
      <c r="I486" t="s">
        <v>34</v>
      </c>
      <c r="J486" t="s">
        <v>35</v>
      </c>
      <c r="K486">
        <v>3</v>
      </c>
      <c r="L486">
        <v>35086.699999999997</v>
      </c>
      <c r="M486">
        <v>10</v>
      </c>
      <c r="N486">
        <v>94734.080000000002</v>
      </c>
      <c r="O486" t="s">
        <v>22</v>
      </c>
    </row>
    <row r="487" spans="1:15" x14ac:dyDescent="0.3">
      <c r="A487" t="s">
        <v>555</v>
      </c>
      <c r="B487" s="2">
        <v>45777</v>
      </c>
      <c r="C487" t="s">
        <v>31</v>
      </c>
      <c r="D487" t="str">
        <f t="shared" si="7"/>
        <v>April</v>
      </c>
      <c r="E487" t="s">
        <v>100</v>
      </c>
      <c r="F487" t="s">
        <v>25</v>
      </c>
      <c r="G487" t="s">
        <v>56</v>
      </c>
      <c r="H487" t="s">
        <v>27</v>
      </c>
      <c r="I487" t="s">
        <v>20</v>
      </c>
      <c r="J487" t="s">
        <v>35</v>
      </c>
      <c r="K487">
        <v>4</v>
      </c>
      <c r="L487">
        <v>2048.14</v>
      </c>
      <c r="M487">
        <v>5</v>
      </c>
      <c r="N487">
        <v>7782.93</v>
      </c>
      <c r="O487" t="s">
        <v>47</v>
      </c>
    </row>
    <row r="488" spans="1:15" x14ac:dyDescent="0.3">
      <c r="A488" t="s">
        <v>556</v>
      </c>
      <c r="B488" s="2">
        <v>45778</v>
      </c>
      <c r="C488" t="s">
        <v>31</v>
      </c>
      <c r="D488" t="str">
        <f t="shared" si="7"/>
        <v>May</v>
      </c>
      <c r="E488" t="s">
        <v>77</v>
      </c>
      <c r="F488" t="s">
        <v>60</v>
      </c>
      <c r="G488" t="s">
        <v>78</v>
      </c>
      <c r="H488" t="s">
        <v>33</v>
      </c>
      <c r="I488" t="s">
        <v>42</v>
      </c>
      <c r="J488" t="s">
        <v>28</v>
      </c>
      <c r="K488">
        <v>1</v>
      </c>
      <c r="L488">
        <v>49338.45</v>
      </c>
      <c r="M488">
        <v>20</v>
      </c>
      <c r="N488">
        <v>39470.76</v>
      </c>
      <c r="O488" t="s">
        <v>29</v>
      </c>
    </row>
    <row r="489" spans="1:15" x14ac:dyDescent="0.3">
      <c r="A489" t="s">
        <v>557</v>
      </c>
      <c r="B489" s="2">
        <v>45779</v>
      </c>
      <c r="C489" t="s">
        <v>38</v>
      </c>
      <c r="D489" t="str">
        <f t="shared" si="7"/>
        <v>May</v>
      </c>
      <c r="E489" t="s">
        <v>32</v>
      </c>
      <c r="F489" t="s">
        <v>25</v>
      </c>
      <c r="G489" t="s">
        <v>81</v>
      </c>
      <c r="H489" t="s">
        <v>33</v>
      </c>
      <c r="I489" t="s">
        <v>42</v>
      </c>
      <c r="J489" t="s">
        <v>35</v>
      </c>
      <c r="K489">
        <v>1</v>
      </c>
      <c r="L489">
        <v>2846.36</v>
      </c>
      <c r="M489">
        <v>5</v>
      </c>
      <c r="N489">
        <v>2704.04</v>
      </c>
      <c r="O489" t="s">
        <v>47</v>
      </c>
    </row>
    <row r="490" spans="1:15" x14ac:dyDescent="0.3">
      <c r="A490" t="s">
        <v>558</v>
      </c>
      <c r="B490" s="2">
        <v>45780</v>
      </c>
      <c r="C490" t="s">
        <v>49</v>
      </c>
      <c r="D490" t="str">
        <f t="shared" si="7"/>
        <v>May</v>
      </c>
      <c r="E490" t="s">
        <v>32</v>
      </c>
      <c r="F490" t="s">
        <v>25</v>
      </c>
      <c r="G490" t="s">
        <v>81</v>
      </c>
      <c r="H490" t="s">
        <v>19</v>
      </c>
      <c r="I490" t="s">
        <v>34</v>
      </c>
      <c r="J490" t="s">
        <v>21</v>
      </c>
      <c r="K490">
        <v>3</v>
      </c>
      <c r="L490">
        <v>2992.41</v>
      </c>
      <c r="M490">
        <v>5</v>
      </c>
      <c r="N490">
        <v>8528.36</v>
      </c>
      <c r="O490" t="s">
        <v>47</v>
      </c>
    </row>
    <row r="491" spans="1:15" x14ac:dyDescent="0.3">
      <c r="A491" t="s">
        <v>559</v>
      </c>
      <c r="B491" s="2">
        <v>45781</v>
      </c>
      <c r="C491" t="s">
        <v>38</v>
      </c>
      <c r="D491" t="str">
        <f t="shared" si="7"/>
        <v>May</v>
      </c>
      <c r="E491" t="s">
        <v>24</v>
      </c>
      <c r="F491" t="s">
        <v>40</v>
      </c>
      <c r="G491" t="s">
        <v>41</v>
      </c>
      <c r="H491" t="s">
        <v>19</v>
      </c>
      <c r="I491" t="s">
        <v>34</v>
      </c>
      <c r="J491" t="s">
        <v>46</v>
      </c>
      <c r="K491">
        <v>1</v>
      </c>
      <c r="L491">
        <v>6843.57</v>
      </c>
      <c r="M491">
        <v>0</v>
      </c>
      <c r="N491">
        <v>6843.57</v>
      </c>
      <c r="O491" t="s">
        <v>47</v>
      </c>
    </row>
    <row r="492" spans="1:15" x14ac:dyDescent="0.3">
      <c r="A492" t="s">
        <v>560</v>
      </c>
      <c r="B492" s="2">
        <v>45782</v>
      </c>
      <c r="C492" t="s">
        <v>38</v>
      </c>
      <c r="D492" t="str">
        <f t="shared" si="7"/>
        <v>May</v>
      </c>
      <c r="E492" t="s">
        <v>32</v>
      </c>
      <c r="F492" t="s">
        <v>53</v>
      </c>
      <c r="G492" t="s">
        <v>65</v>
      </c>
      <c r="H492" t="s">
        <v>19</v>
      </c>
      <c r="I492" t="s">
        <v>20</v>
      </c>
      <c r="J492" t="s">
        <v>28</v>
      </c>
      <c r="K492">
        <v>5</v>
      </c>
      <c r="L492">
        <v>26484.240000000002</v>
      </c>
      <c r="M492">
        <v>5</v>
      </c>
      <c r="N492">
        <v>125800.15</v>
      </c>
      <c r="O492" t="s">
        <v>47</v>
      </c>
    </row>
    <row r="493" spans="1:15" x14ac:dyDescent="0.3">
      <c r="A493" t="s">
        <v>561</v>
      </c>
      <c r="B493" s="2">
        <v>45783</v>
      </c>
      <c r="C493" t="s">
        <v>38</v>
      </c>
      <c r="D493" t="str">
        <f t="shared" si="7"/>
        <v>May</v>
      </c>
      <c r="E493" t="s">
        <v>50</v>
      </c>
      <c r="F493" t="s">
        <v>60</v>
      </c>
      <c r="G493" t="s">
        <v>78</v>
      </c>
      <c r="H493" t="s">
        <v>45</v>
      </c>
      <c r="I493" t="s">
        <v>42</v>
      </c>
      <c r="J493" t="s">
        <v>43</v>
      </c>
      <c r="K493">
        <v>3</v>
      </c>
      <c r="L493">
        <v>48914.239999999998</v>
      </c>
      <c r="M493">
        <v>0</v>
      </c>
      <c r="N493">
        <v>146742.72</v>
      </c>
      <c r="O493" t="s">
        <v>47</v>
      </c>
    </row>
    <row r="494" spans="1:15" x14ac:dyDescent="0.3">
      <c r="A494" t="s">
        <v>562</v>
      </c>
      <c r="B494" s="2">
        <v>45784</v>
      </c>
      <c r="C494" t="s">
        <v>38</v>
      </c>
      <c r="D494" t="str">
        <f t="shared" si="7"/>
        <v>May</v>
      </c>
      <c r="E494" t="s">
        <v>32</v>
      </c>
      <c r="F494" t="s">
        <v>60</v>
      </c>
      <c r="G494" t="s">
        <v>78</v>
      </c>
      <c r="H494" t="s">
        <v>19</v>
      </c>
      <c r="I494" t="s">
        <v>20</v>
      </c>
      <c r="J494" t="s">
        <v>35</v>
      </c>
      <c r="K494">
        <v>1</v>
      </c>
      <c r="L494">
        <v>47043.92</v>
      </c>
      <c r="M494">
        <v>10</v>
      </c>
      <c r="N494">
        <v>42339.53</v>
      </c>
      <c r="O494" t="s">
        <v>47</v>
      </c>
    </row>
    <row r="495" spans="1:15" x14ac:dyDescent="0.3">
      <c r="A495" t="s">
        <v>563</v>
      </c>
      <c r="B495" s="2">
        <v>45785</v>
      </c>
      <c r="C495" t="s">
        <v>49</v>
      </c>
      <c r="D495" t="str">
        <f t="shared" si="7"/>
        <v>May</v>
      </c>
      <c r="E495" t="s">
        <v>39</v>
      </c>
      <c r="F495" t="s">
        <v>25</v>
      </c>
      <c r="G495" t="s">
        <v>92</v>
      </c>
      <c r="H495" t="s">
        <v>45</v>
      </c>
      <c r="I495" t="s">
        <v>42</v>
      </c>
      <c r="J495" t="s">
        <v>28</v>
      </c>
      <c r="K495">
        <v>4</v>
      </c>
      <c r="L495">
        <v>3025.58</v>
      </c>
      <c r="M495">
        <v>15</v>
      </c>
      <c r="N495">
        <v>10286.959999999999</v>
      </c>
      <c r="O495" t="s">
        <v>47</v>
      </c>
    </row>
    <row r="496" spans="1:15" x14ac:dyDescent="0.3">
      <c r="A496" t="s">
        <v>564</v>
      </c>
      <c r="B496" s="2">
        <v>45786</v>
      </c>
      <c r="C496" t="s">
        <v>58</v>
      </c>
      <c r="D496" t="str">
        <f t="shared" si="7"/>
        <v>May</v>
      </c>
      <c r="E496" t="s">
        <v>39</v>
      </c>
      <c r="F496" t="s">
        <v>17</v>
      </c>
      <c r="G496" t="s">
        <v>18</v>
      </c>
      <c r="H496" t="s">
        <v>27</v>
      </c>
      <c r="I496" t="s">
        <v>42</v>
      </c>
      <c r="J496" t="s">
        <v>28</v>
      </c>
      <c r="K496">
        <v>4</v>
      </c>
      <c r="L496">
        <v>59605.29</v>
      </c>
      <c r="M496">
        <v>5</v>
      </c>
      <c r="N496">
        <v>226500.09</v>
      </c>
      <c r="O496" t="s">
        <v>47</v>
      </c>
    </row>
    <row r="497" spans="1:15" x14ac:dyDescent="0.3">
      <c r="A497" t="s">
        <v>565</v>
      </c>
      <c r="B497" s="2">
        <v>45787</v>
      </c>
      <c r="C497" t="s">
        <v>49</v>
      </c>
      <c r="D497" t="str">
        <f t="shared" si="7"/>
        <v>May</v>
      </c>
      <c r="E497" t="s">
        <v>100</v>
      </c>
      <c r="F497" t="s">
        <v>53</v>
      </c>
      <c r="G497" t="s">
        <v>105</v>
      </c>
      <c r="H497" t="s">
        <v>19</v>
      </c>
      <c r="I497" t="s">
        <v>42</v>
      </c>
      <c r="J497" t="s">
        <v>46</v>
      </c>
      <c r="K497">
        <v>1</v>
      </c>
      <c r="L497">
        <v>38826.54</v>
      </c>
      <c r="M497">
        <v>15</v>
      </c>
      <c r="N497">
        <v>33002.559999999998</v>
      </c>
      <c r="O497" t="s">
        <v>36</v>
      </c>
    </row>
    <row r="498" spans="1:15" x14ac:dyDescent="0.3">
      <c r="A498" t="s">
        <v>566</v>
      </c>
      <c r="B498" s="2">
        <v>45788</v>
      </c>
      <c r="C498" t="s">
        <v>31</v>
      </c>
      <c r="D498" t="str">
        <f t="shared" si="7"/>
        <v>May</v>
      </c>
      <c r="E498" t="s">
        <v>16</v>
      </c>
      <c r="F498" t="s">
        <v>25</v>
      </c>
      <c r="G498" t="s">
        <v>81</v>
      </c>
      <c r="H498" t="s">
        <v>27</v>
      </c>
      <c r="I498" t="s">
        <v>20</v>
      </c>
      <c r="J498" t="s">
        <v>35</v>
      </c>
      <c r="K498">
        <v>4</v>
      </c>
      <c r="L498">
        <v>3124.63</v>
      </c>
      <c r="M498">
        <v>15</v>
      </c>
      <c r="N498">
        <v>10623.74</v>
      </c>
      <c r="O498" t="s">
        <v>36</v>
      </c>
    </row>
    <row r="499" spans="1:15" x14ac:dyDescent="0.3">
      <c r="A499" t="s">
        <v>567</v>
      </c>
      <c r="B499" s="2">
        <v>45789</v>
      </c>
      <c r="C499" t="s">
        <v>15</v>
      </c>
      <c r="D499" t="str">
        <f t="shared" si="7"/>
        <v>May</v>
      </c>
      <c r="E499" t="s">
        <v>77</v>
      </c>
      <c r="F499" t="s">
        <v>25</v>
      </c>
      <c r="G499" t="s">
        <v>81</v>
      </c>
      <c r="H499" t="s">
        <v>27</v>
      </c>
      <c r="I499" t="s">
        <v>34</v>
      </c>
      <c r="J499" t="s">
        <v>46</v>
      </c>
      <c r="K499">
        <v>1</v>
      </c>
      <c r="L499">
        <v>2033.6</v>
      </c>
      <c r="M499">
        <v>0</v>
      </c>
      <c r="N499">
        <v>2033.6</v>
      </c>
      <c r="O499" t="s">
        <v>47</v>
      </c>
    </row>
    <row r="500" spans="1:15" x14ac:dyDescent="0.3">
      <c r="A500" t="s">
        <v>568</v>
      </c>
      <c r="B500" s="2">
        <v>45790</v>
      </c>
      <c r="C500" t="s">
        <v>38</v>
      </c>
      <c r="D500" t="str">
        <f t="shared" si="7"/>
        <v>May</v>
      </c>
      <c r="E500" t="s">
        <v>24</v>
      </c>
      <c r="F500" t="s">
        <v>17</v>
      </c>
      <c r="G500" t="s">
        <v>123</v>
      </c>
      <c r="H500" t="s">
        <v>45</v>
      </c>
      <c r="I500" t="s">
        <v>42</v>
      </c>
      <c r="J500" t="s">
        <v>21</v>
      </c>
      <c r="K500">
        <v>5</v>
      </c>
      <c r="L500">
        <v>71445.070000000007</v>
      </c>
      <c r="M500">
        <v>0</v>
      </c>
      <c r="N500">
        <v>357225.36</v>
      </c>
      <c r="O500" t="s">
        <v>36</v>
      </c>
    </row>
    <row r="501" spans="1:15" x14ac:dyDescent="0.3">
      <c r="A501" t="s">
        <v>569</v>
      </c>
      <c r="B501" s="2">
        <v>45791</v>
      </c>
      <c r="C501" t="s">
        <v>58</v>
      </c>
      <c r="D501" t="str">
        <f t="shared" si="7"/>
        <v>May</v>
      </c>
      <c r="E501" t="s">
        <v>72</v>
      </c>
      <c r="F501" t="s">
        <v>40</v>
      </c>
      <c r="G501" t="s">
        <v>41</v>
      </c>
      <c r="H501" t="s">
        <v>45</v>
      </c>
      <c r="I501" t="s">
        <v>42</v>
      </c>
      <c r="J501" t="s">
        <v>21</v>
      </c>
      <c r="K501">
        <v>3</v>
      </c>
      <c r="L501">
        <v>6883.24</v>
      </c>
      <c r="M501">
        <v>5</v>
      </c>
      <c r="N501">
        <v>19617.240000000002</v>
      </c>
      <c r="O501" t="s">
        <v>36</v>
      </c>
    </row>
    <row r="502" spans="1:15" x14ac:dyDescent="0.3">
      <c r="A502" t="s">
        <v>570</v>
      </c>
      <c r="B502" s="2">
        <v>45792</v>
      </c>
      <c r="C502" t="s">
        <v>31</v>
      </c>
      <c r="D502" t="str">
        <f t="shared" si="7"/>
        <v>May</v>
      </c>
      <c r="E502" t="s">
        <v>39</v>
      </c>
      <c r="F502" t="s">
        <v>60</v>
      </c>
      <c r="G502" t="s">
        <v>70</v>
      </c>
      <c r="H502" t="s">
        <v>45</v>
      </c>
      <c r="I502" t="s">
        <v>34</v>
      </c>
      <c r="J502" t="s">
        <v>43</v>
      </c>
      <c r="K502">
        <v>5</v>
      </c>
      <c r="L502">
        <v>39737.269999999997</v>
      </c>
      <c r="M502">
        <v>5</v>
      </c>
      <c r="N502">
        <v>188752.03</v>
      </c>
      <c r="O502" t="s">
        <v>47</v>
      </c>
    </row>
    <row r="503" spans="1:15" x14ac:dyDescent="0.3">
      <c r="A503" t="s">
        <v>571</v>
      </c>
      <c r="B503" s="2">
        <v>45793</v>
      </c>
      <c r="C503" t="s">
        <v>31</v>
      </c>
      <c r="D503" t="str">
        <f t="shared" si="7"/>
        <v>May</v>
      </c>
      <c r="E503" t="s">
        <v>77</v>
      </c>
      <c r="F503" t="s">
        <v>25</v>
      </c>
      <c r="G503" t="s">
        <v>92</v>
      </c>
      <c r="H503" t="s">
        <v>27</v>
      </c>
      <c r="I503" t="s">
        <v>34</v>
      </c>
      <c r="J503" t="s">
        <v>35</v>
      </c>
      <c r="K503">
        <v>1</v>
      </c>
      <c r="L503">
        <v>2501.34</v>
      </c>
      <c r="M503">
        <v>10</v>
      </c>
      <c r="N503">
        <v>2251.21</v>
      </c>
      <c r="O503" t="s">
        <v>47</v>
      </c>
    </row>
    <row r="504" spans="1:15" x14ac:dyDescent="0.3">
      <c r="A504" t="s">
        <v>572</v>
      </c>
      <c r="B504" s="2">
        <v>45794</v>
      </c>
      <c r="C504" t="s">
        <v>15</v>
      </c>
      <c r="D504" t="str">
        <f t="shared" si="7"/>
        <v>May</v>
      </c>
      <c r="E504" t="s">
        <v>100</v>
      </c>
      <c r="F504" t="s">
        <v>60</v>
      </c>
      <c r="G504" t="s">
        <v>78</v>
      </c>
      <c r="H504" t="s">
        <v>33</v>
      </c>
      <c r="I504" t="s">
        <v>34</v>
      </c>
      <c r="J504" t="s">
        <v>35</v>
      </c>
      <c r="K504">
        <v>4</v>
      </c>
      <c r="L504">
        <v>32000.47</v>
      </c>
      <c r="M504">
        <v>0</v>
      </c>
      <c r="N504">
        <v>128001.88</v>
      </c>
      <c r="O504" t="s">
        <v>47</v>
      </c>
    </row>
    <row r="505" spans="1:15" x14ac:dyDescent="0.3">
      <c r="A505" t="s">
        <v>573</v>
      </c>
      <c r="B505" s="2">
        <v>45795</v>
      </c>
      <c r="C505" t="s">
        <v>15</v>
      </c>
      <c r="D505" t="str">
        <f t="shared" si="7"/>
        <v>May</v>
      </c>
      <c r="E505" t="s">
        <v>52</v>
      </c>
      <c r="F505" t="s">
        <v>60</v>
      </c>
      <c r="G505" t="s">
        <v>78</v>
      </c>
      <c r="H505" t="s">
        <v>45</v>
      </c>
      <c r="I505" t="s">
        <v>20</v>
      </c>
      <c r="J505" t="s">
        <v>46</v>
      </c>
      <c r="K505">
        <v>4</v>
      </c>
      <c r="L505">
        <v>46929.85</v>
      </c>
      <c r="M505">
        <v>10</v>
      </c>
      <c r="N505">
        <v>168947.45</v>
      </c>
      <c r="O505" t="s">
        <v>47</v>
      </c>
    </row>
    <row r="506" spans="1:15" x14ac:dyDescent="0.3">
      <c r="A506" t="s">
        <v>574</v>
      </c>
      <c r="B506" s="2">
        <v>45796</v>
      </c>
      <c r="C506" t="s">
        <v>49</v>
      </c>
      <c r="D506" t="str">
        <f t="shared" si="7"/>
        <v>May</v>
      </c>
      <c r="E506" t="s">
        <v>69</v>
      </c>
      <c r="F506" t="s">
        <v>60</v>
      </c>
      <c r="G506" t="s">
        <v>78</v>
      </c>
      <c r="H506" t="s">
        <v>45</v>
      </c>
      <c r="I506" t="s">
        <v>42</v>
      </c>
      <c r="J506" t="s">
        <v>46</v>
      </c>
      <c r="K506">
        <v>5</v>
      </c>
      <c r="L506">
        <v>34090.9</v>
      </c>
      <c r="M506">
        <v>0</v>
      </c>
      <c r="N506">
        <v>170454.48</v>
      </c>
      <c r="O506" t="s">
        <v>47</v>
      </c>
    </row>
    <row r="507" spans="1:15" x14ac:dyDescent="0.3">
      <c r="A507" t="s">
        <v>575</v>
      </c>
      <c r="B507" s="2">
        <v>45797</v>
      </c>
      <c r="C507" t="s">
        <v>31</v>
      </c>
      <c r="D507" t="str">
        <f t="shared" si="7"/>
        <v>May</v>
      </c>
      <c r="E507" t="s">
        <v>69</v>
      </c>
      <c r="F507" t="s">
        <v>40</v>
      </c>
      <c r="G507" t="s">
        <v>115</v>
      </c>
      <c r="H507" t="s">
        <v>45</v>
      </c>
      <c r="I507" t="s">
        <v>42</v>
      </c>
      <c r="J507" t="s">
        <v>43</v>
      </c>
      <c r="K507">
        <v>4</v>
      </c>
      <c r="L507">
        <v>5504.34</v>
      </c>
      <c r="M507">
        <v>15</v>
      </c>
      <c r="N507">
        <v>18714.740000000002</v>
      </c>
      <c r="O507" t="s">
        <v>29</v>
      </c>
    </row>
    <row r="508" spans="1:15" x14ac:dyDescent="0.3">
      <c r="A508" t="s">
        <v>576</v>
      </c>
      <c r="B508" s="2">
        <v>45798</v>
      </c>
      <c r="C508" t="s">
        <v>49</v>
      </c>
      <c r="D508" t="str">
        <f t="shared" si="7"/>
        <v>May</v>
      </c>
      <c r="E508" t="s">
        <v>52</v>
      </c>
      <c r="F508" t="s">
        <v>40</v>
      </c>
      <c r="G508" t="s">
        <v>75</v>
      </c>
      <c r="H508" t="s">
        <v>45</v>
      </c>
      <c r="I508" t="s">
        <v>34</v>
      </c>
      <c r="J508" t="s">
        <v>43</v>
      </c>
      <c r="K508">
        <v>2</v>
      </c>
      <c r="L508">
        <v>6799.58</v>
      </c>
      <c r="M508">
        <v>5</v>
      </c>
      <c r="N508">
        <v>12919.21</v>
      </c>
      <c r="O508" t="s">
        <v>47</v>
      </c>
    </row>
    <row r="509" spans="1:15" x14ac:dyDescent="0.3">
      <c r="A509" t="s">
        <v>577</v>
      </c>
      <c r="B509" s="2">
        <v>45799</v>
      </c>
      <c r="C509" t="s">
        <v>15</v>
      </c>
      <c r="D509" t="str">
        <f t="shared" si="7"/>
        <v>May</v>
      </c>
      <c r="E509" t="s">
        <v>52</v>
      </c>
      <c r="F509" t="s">
        <v>60</v>
      </c>
      <c r="G509" t="s">
        <v>73</v>
      </c>
      <c r="H509" t="s">
        <v>19</v>
      </c>
      <c r="I509" t="s">
        <v>42</v>
      </c>
      <c r="J509" t="s">
        <v>46</v>
      </c>
      <c r="K509">
        <v>4</v>
      </c>
      <c r="L509">
        <v>43322.03</v>
      </c>
      <c r="M509">
        <v>20</v>
      </c>
      <c r="N509">
        <v>138630.48000000001</v>
      </c>
      <c r="O509" t="s">
        <v>47</v>
      </c>
    </row>
    <row r="510" spans="1:15" x14ac:dyDescent="0.3">
      <c r="A510" t="s">
        <v>578</v>
      </c>
      <c r="B510" s="2">
        <v>45800</v>
      </c>
      <c r="C510" t="s">
        <v>49</v>
      </c>
      <c r="D510" t="str">
        <f t="shared" si="7"/>
        <v>May</v>
      </c>
      <c r="E510" t="s">
        <v>50</v>
      </c>
      <c r="F510" t="s">
        <v>25</v>
      </c>
      <c r="G510" t="s">
        <v>56</v>
      </c>
      <c r="H510" t="s">
        <v>19</v>
      </c>
      <c r="I510" t="s">
        <v>34</v>
      </c>
      <c r="J510" t="s">
        <v>46</v>
      </c>
      <c r="K510">
        <v>3</v>
      </c>
      <c r="L510">
        <v>2036.41</v>
      </c>
      <c r="M510">
        <v>10</v>
      </c>
      <c r="N510">
        <v>5498.31</v>
      </c>
      <c r="O510" t="s">
        <v>36</v>
      </c>
    </row>
    <row r="511" spans="1:15" x14ac:dyDescent="0.3">
      <c r="A511" t="s">
        <v>579</v>
      </c>
      <c r="B511" s="2">
        <v>45801</v>
      </c>
      <c r="C511" t="s">
        <v>31</v>
      </c>
      <c r="D511" t="str">
        <f t="shared" si="7"/>
        <v>May</v>
      </c>
      <c r="E511" t="s">
        <v>50</v>
      </c>
      <c r="F511" t="s">
        <v>17</v>
      </c>
      <c r="G511" t="s">
        <v>18</v>
      </c>
      <c r="H511" t="s">
        <v>19</v>
      </c>
      <c r="I511" t="s">
        <v>42</v>
      </c>
      <c r="J511" t="s">
        <v>28</v>
      </c>
      <c r="K511">
        <v>5</v>
      </c>
      <c r="L511">
        <v>58040.02</v>
      </c>
      <c r="M511">
        <v>15</v>
      </c>
      <c r="N511">
        <v>246670.1</v>
      </c>
      <c r="O511" t="s">
        <v>47</v>
      </c>
    </row>
    <row r="512" spans="1:15" x14ac:dyDescent="0.3">
      <c r="A512" t="s">
        <v>580</v>
      </c>
      <c r="B512" s="2">
        <v>45802</v>
      </c>
      <c r="C512" t="s">
        <v>38</v>
      </c>
      <c r="D512" t="str">
        <f t="shared" si="7"/>
        <v>May</v>
      </c>
      <c r="E512" t="s">
        <v>32</v>
      </c>
      <c r="F512" t="s">
        <v>60</v>
      </c>
      <c r="G512" t="s">
        <v>73</v>
      </c>
      <c r="H512" t="s">
        <v>33</v>
      </c>
      <c r="I512" t="s">
        <v>20</v>
      </c>
      <c r="J512" t="s">
        <v>28</v>
      </c>
      <c r="K512">
        <v>3</v>
      </c>
      <c r="L512">
        <v>33147.79</v>
      </c>
      <c r="M512">
        <v>5</v>
      </c>
      <c r="N512">
        <v>94471.21</v>
      </c>
      <c r="O512" t="s">
        <v>22</v>
      </c>
    </row>
    <row r="513" spans="1:15" x14ac:dyDescent="0.3">
      <c r="A513" t="s">
        <v>581</v>
      </c>
      <c r="B513" s="2">
        <v>45803</v>
      </c>
      <c r="C513" t="s">
        <v>49</v>
      </c>
      <c r="D513" t="str">
        <f t="shared" si="7"/>
        <v>May</v>
      </c>
      <c r="E513" t="s">
        <v>16</v>
      </c>
      <c r="F513" t="s">
        <v>40</v>
      </c>
      <c r="G513" t="s">
        <v>75</v>
      </c>
      <c r="H513" t="s">
        <v>45</v>
      </c>
      <c r="I513" t="s">
        <v>20</v>
      </c>
      <c r="J513" t="s">
        <v>46</v>
      </c>
      <c r="K513">
        <v>2</v>
      </c>
      <c r="L513">
        <v>6634.3</v>
      </c>
      <c r="M513">
        <v>5</v>
      </c>
      <c r="N513">
        <v>12605.17</v>
      </c>
      <c r="O513" t="s">
        <v>47</v>
      </c>
    </row>
    <row r="514" spans="1:15" x14ac:dyDescent="0.3">
      <c r="A514" t="s">
        <v>582</v>
      </c>
      <c r="B514" s="2">
        <v>45804</v>
      </c>
      <c r="C514" t="s">
        <v>49</v>
      </c>
      <c r="D514" t="str">
        <f t="shared" si="7"/>
        <v>May</v>
      </c>
      <c r="E514" t="s">
        <v>77</v>
      </c>
      <c r="F514" t="s">
        <v>40</v>
      </c>
      <c r="G514" t="s">
        <v>118</v>
      </c>
      <c r="H514" t="s">
        <v>45</v>
      </c>
      <c r="I514" t="s">
        <v>42</v>
      </c>
      <c r="J514" t="s">
        <v>35</v>
      </c>
      <c r="K514">
        <v>4</v>
      </c>
      <c r="L514">
        <v>7597.55</v>
      </c>
      <c r="M514">
        <v>15</v>
      </c>
      <c r="N514">
        <v>25831.67</v>
      </c>
      <c r="O514" t="s">
        <v>47</v>
      </c>
    </row>
    <row r="515" spans="1:15" x14ac:dyDescent="0.3">
      <c r="A515" t="s">
        <v>583</v>
      </c>
      <c r="B515" s="2">
        <v>45805</v>
      </c>
      <c r="C515" t="s">
        <v>15</v>
      </c>
      <c r="D515" t="str">
        <f t="shared" ref="D515:D578" si="8">TEXT(B515,"mmmm")</f>
        <v>May</v>
      </c>
      <c r="E515" t="s">
        <v>100</v>
      </c>
      <c r="F515" t="s">
        <v>25</v>
      </c>
      <c r="G515" t="s">
        <v>92</v>
      </c>
      <c r="H515" t="s">
        <v>45</v>
      </c>
      <c r="I515" t="s">
        <v>42</v>
      </c>
      <c r="J515" t="s">
        <v>35</v>
      </c>
      <c r="K515">
        <v>2</v>
      </c>
      <c r="L515">
        <v>3048.75</v>
      </c>
      <c r="M515">
        <v>0</v>
      </c>
      <c r="N515">
        <v>6097.5</v>
      </c>
      <c r="O515" t="s">
        <v>22</v>
      </c>
    </row>
    <row r="516" spans="1:15" x14ac:dyDescent="0.3">
      <c r="A516" t="s">
        <v>584</v>
      </c>
      <c r="B516" s="2">
        <v>45806</v>
      </c>
      <c r="C516" t="s">
        <v>15</v>
      </c>
      <c r="D516" t="str">
        <f t="shared" si="8"/>
        <v>May</v>
      </c>
      <c r="E516" t="s">
        <v>69</v>
      </c>
      <c r="F516" t="s">
        <v>17</v>
      </c>
      <c r="G516" t="s">
        <v>123</v>
      </c>
      <c r="H516" t="s">
        <v>33</v>
      </c>
      <c r="I516" t="s">
        <v>34</v>
      </c>
      <c r="J516" t="s">
        <v>28</v>
      </c>
      <c r="K516">
        <v>5</v>
      </c>
      <c r="L516">
        <v>70054.720000000001</v>
      </c>
      <c r="M516">
        <v>10</v>
      </c>
      <c r="N516">
        <v>315246.23</v>
      </c>
      <c r="O516" t="s">
        <v>47</v>
      </c>
    </row>
    <row r="517" spans="1:15" x14ac:dyDescent="0.3">
      <c r="A517" t="s">
        <v>585</v>
      </c>
      <c r="B517" s="2">
        <v>45807</v>
      </c>
      <c r="C517" t="s">
        <v>49</v>
      </c>
      <c r="D517" t="str">
        <f t="shared" si="8"/>
        <v>May</v>
      </c>
      <c r="E517" t="s">
        <v>69</v>
      </c>
      <c r="F517" t="s">
        <v>53</v>
      </c>
      <c r="G517" t="s">
        <v>54</v>
      </c>
      <c r="H517" t="s">
        <v>27</v>
      </c>
      <c r="I517" t="s">
        <v>42</v>
      </c>
      <c r="J517" t="s">
        <v>21</v>
      </c>
      <c r="K517">
        <v>1</v>
      </c>
      <c r="L517">
        <v>28651.61</v>
      </c>
      <c r="M517">
        <v>10</v>
      </c>
      <c r="N517">
        <v>25786.45</v>
      </c>
      <c r="O517" t="s">
        <v>22</v>
      </c>
    </row>
    <row r="518" spans="1:15" x14ac:dyDescent="0.3">
      <c r="A518" t="s">
        <v>586</v>
      </c>
      <c r="B518" s="2">
        <v>45808</v>
      </c>
      <c r="C518" t="s">
        <v>38</v>
      </c>
      <c r="D518" t="str">
        <f t="shared" si="8"/>
        <v>May</v>
      </c>
      <c r="E518" t="s">
        <v>77</v>
      </c>
      <c r="F518" t="s">
        <v>25</v>
      </c>
      <c r="G518" t="s">
        <v>92</v>
      </c>
      <c r="H518" t="s">
        <v>19</v>
      </c>
      <c r="I518" t="s">
        <v>20</v>
      </c>
      <c r="J518" t="s">
        <v>21</v>
      </c>
      <c r="K518">
        <v>4</v>
      </c>
      <c r="L518">
        <v>3106.05</v>
      </c>
      <c r="M518">
        <v>5</v>
      </c>
      <c r="N518">
        <v>11802.98</v>
      </c>
      <c r="O518" t="s">
        <v>47</v>
      </c>
    </row>
    <row r="519" spans="1:15" x14ac:dyDescent="0.3">
      <c r="A519" t="s">
        <v>587</v>
      </c>
      <c r="B519" s="2">
        <v>45809</v>
      </c>
      <c r="C519" t="s">
        <v>38</v>
      </c>
      <c r="D519" t="str">
        <f t="shared" si="8"/>
        <v>June</v>
      </c>
      <c r="E519" t="s">
        <v>50</v>
      </c>
      <c r="F519" t="s">
        <v>53</v>
      </c>
      <c r="G519" t="s">
        <v>65</v>
      </c>
      <c r="H519" t="s">
        <v>33</v>
      </c>
      <c r="I519" t="s">
        <v>42</v>
      </c>
      <c r="J519" t="s">
        <v>43</v>
      </c>
      <c r="K519">
        <v>4</v>
      </c>
      <c r="L519">
        <v>27841.47</v>
      </c>
      <c r="M519">
        <v>5</v>
      </c>
      <c r="N519">
        <v>105797.59</v>
      </c>
      <c r="O519" t="s">
        <v>47</v>
      </c>
    </row>
    <row r="520" spans="1:15" x14ac:dyDescent="0.3">
      <c r="A520" t="s">
        <v>588</v>
      </c>
      <c r="B520" s="2">
        <v>45810</v>
      </c>
      <c r="C520" t="s">
        <v>58</v>
      </c>
      <c r="D520" t="str">
        <f t="shared" si="8"/>
        <v>June</v>
      </c>
      <c r="E520" t="s">
        <v>24</v>
      </c>
      <c r="F520" t="s">
        <v>25</v>
      </c>
      <c r="G520" t="s">
        <v>26</v>
      </c>
      <c r="H520" t="s">
        <v>45</v>
      </c>
      <c r="I520" t="s">
        <v>34</v>
      </c>
      <c r="J520" t="s">
        <v>35</v>
      </c>
      <c r="K520">
        <v>4</v>
      </c>
      <c r="L520">
        <v>1894.67</v>
      </c>
      <c r="M520">
        <v>5</v>
      </c>
      <c r="N520">
        <v>7199.76</v>
      </c>
      <c r="O520" t="s">
        <v>36</v>
      </c>
    </row>
    <row r="521" spans="1:15" x14ac:dyDescent="0.3">
      <c r="A521" t="s">
        <v>589</v>
      </c>
      <c r="B521" s="2">
        <v>45811</v>
      </c>
      <c r="C521" t="s">
        <v>49</v>
      </c>
      <c r="D521" t="str">
        <f t="shared" si="8"/>
        <v>June</v>
      </c>
      <c r="E521" t="s">
        <v>24</v>
      </c>
      <c r="F521" t="s">
        <v>17</v>
      </c>
      <c r="G521" t="s">
        <v>18</v>
      </c>
      <c r="H521" t="s">
        <v>33</v>
      </c>
      <c r="I521" t="s">
        <v>34</v>
      </c>
      <c r="J521" t="s">
        <v>21</v>
      </c>
      <c r="K521">
        <v>1</v>
      </c>
      <c r="L521">
        <v>66556.62</v>
      </c>
      <c r="M521">
        <v>0</v>
      </c>
      <c r="N521">
        <v>66556.62</v>
      </c>
      <c r="O521" t="s">
        <v>22</v>
      </c>
    </row>
    <row r="522" spans="1:15" x14ac:dyDescent="0.3">
      <c r="A522" t="s">
        <v>590</v>
      </c>
      <c r="B522" s="2">
        <v>45812</v>
      </c>
      <c r="C522" t="s">
        <v>49</v>
      </c>
      <c r="D522" t="str">
        <f t="shared" si="8"/>
        <v>June</v>
      </c>
      <c r="E522" t="s">
        <v>52</v>
      </c>
      <c r="F522" t="s">
        <v>40</v>
      </c>
      <c r="G522" t="s">
        <v>115</v>
      </c>
      <c r="H522" t="s">
        <v>45</v>
      </c>
      <c r="I522" t="s">
        <v>20</v>
      </c>
      <c r="J522" t="s">
        <v>43</v>
      </c>
      <c r="K522">
        <v>1</v>
      </c>
      <c r="L522">
        <v>7753.48</v>
      </c>
      <c r="M522">
        <v>0</v>
      </c>
      <c r="N522">
        <v>7753.48</v>
      </c>
      <c r="O522" t="s">
        <v>22</v>
      </c>
    </row>
    <row r="523" spans="1:15" x14ac:dyDescent="0.3">
      <c r="A523" t="s">
        <v>591</v>
      </c>
      <c r="B523" s="2">
        <v>45813</v>
      </c>
      <c r="C523" t="s">
        <v>49</v>
      </c>
      <c r="D523" t="str">
        <f t="shared" si="8"/>
        <v>June</v>
      </c>
      <c r="E523" t="s">
        <v>77</v>
      </c>
      <c r="F523" t="s">
        <v>25</v>
      </c>
      <c r="G523" t="s">
        <v>56</v>
      </c>
      <c r="H523" t="s">
        <v>27</v>
      </c>
      <c r="I523" t="s">
        <v>20</v>
      </c>
      <c r="J523" t="s">
        <v>35</v>
      </c>
      <c r="K523">
        <v>2</v>
      </c>
      <c r="L523">
        <v>2316.0100000000002</v>
      </c>
      <c r="M523">
        <v>15</v>
      </c>
      <c r="N523">
        <v>3937.22</v>
      </c>
      <c r="O523" t="s">
        <v>47</v>
      </c>
    </row>
    <row r="524" spans="1:15" x14ac:dyDescent="0.3">
      <c r="A524" t="s">
        <v>592</v>
      </c>
      <c r="B524" s="2">
        <v>45814</v>
      </c>
      <c r="C524" t="s">
        <v>15</v>
      </c>
      <c r="D524" t="str">
        <f t="shared" si="8"/>
        <v>June</v>
      </c>
      <c r="E524" t="s">
        <v>50</v>
      </c>
      <c r="F524" t="s">
        <v>60</v>
      </c>
      <c r="G524" t="s">
        <v>78</v>
      </c>
      <c r="H524" t="s">
        <v>33</v>
      </c>
      <c r="I524" t="s">
        <v>42</v>
      </c>
      <c r="J524" t="s">
        <v>35</v>
      </c>
      <c r="K524">
        <v>1</v>
      </c>
      <c r="L524">
        <v>43663.77</v>
      </c>
      <c r="M524">
        <v>5</v>
      </c>
      <c r="N524">
        <v>41480.589999999997</v>
      </c>
      <c r="O524" t="s">
        <v>36</v>
      </c>
    </row>
    <row r="525" spans="1:15" x14ac:dyDescent="0.3">
      <c r="A525" t="s">
        <v>593</v>
      </c>
      <c r="B525" s="2">
        <v>45815</v>
      </c>
      <c r="C525" t="s">
        <v>58</v>
      </c>
      <c r="D525" t="str">
        <f t="shared" si="8"/>
        <v>June</v>
      </c>
      <c r="E525" t="s">
        <v>39</v>
      </c>
      <c r="F525" t="s">
        <v>17</v>
      </c>
      <c r="G525" t="s">
        <v>123</v>
      </c>
      <c r="H525" t="s">
        <v>27</v>
      </c>
      <c r="I525" t="s">
        <v>34</v>
      </c>
      <c r="J525" t="s">
        <v>28</v>
      </c>
      <c r="K525">
        <v>1</v>
      </c>
      <c r="L525">
        <v>59212.56</v>
      </c>
      <c r="M525">
        <v>5</v>
      </c>
      <c r="N525">
        <v>56251.93</v>
      </c>
      <c r="O525" t="s">
        <v>47</v>
      </c>
    </row>
    <row r="526" spans="1:15" x14ac:dyDescent="0.3">
      <c r="A526" t="s">
        <v>594</v>
      </c>
      <c r="B526" s="2">
        <v>45816</v>
      </c>
      <c r="C526" t="s">
        <v>15</v>
      </c>
      <c r="D526" t="str">
        <f t="shared" si="8"/>
        <v>June</v>
      </c>
      <c r="E526" t="s">
        <v>77</v>
      </c>
      <c r="F526" t="s">
        <v>53</v>
      </c>
      <c r="G526" t="s">
        <v>65</v>
      </c>
      <c r="H526" t="s">
        <v>27</v>
      </c>
      <c r="I526" t="s">
        <v>42</v>
      </c>
      <c r="J526" t="s">
        <v>28</v>
      </c>
      <c r="K526">
        <v>1</v>
      </c>
      <c r="L526">
        <v>27155.19</v>
      </c>
      <c r="M526">
        <v>10</v>
      </c>
      <c r="N526">
        <v>24439.68</v>
      </c>
      <c r="O526" t="s">
        <v>47</v>
      </c>
    </row>
    <row r="527" spans="1:15" x14ac:dyDescent="0.3">
      <c r="A527" t="s">
        <v>595</v>
      </c>
      <c r="B527" s="2">
        <v>45817</v>
      </c>
      <c r="C527" t="s">
        <v>58</v>
      </c>
      <c r="D527" t="str">
        <f t="shared" si="8"/>
        <v>June</v>
      </c>
      <c r="E527" t="s">
        <v>16</v>
      </c>
      <c r="F527" t="s">
        <v>53</v>
      </c>
      <c r="G527" t="s">
        <v>105</v>
      </c>
      <c r="H527" t="s">
        <v>27</v>
      </c>
      <c r="I527" t="s">
        <v>34</v>
      </c>
      <c r="J527" t="s">
        <v>35</v>
      </c>
      <c r="K527">
        <v>4</v>
      </c>
      <c r="L527">
        <v>25235.360000000001</v>
      </c>
      <c r="M527">
        <v>5</v>
      </c>
      <c r="N527">
        <v>95894.35</v>
      </c>
      <c r="O527" t="s">
        <v>22</v>
      </c>
    </row>
    <row r="528" spans="1:15" x14ac:dyDescent="0.3">
      <c r="A528" t="s">
        <v>596</v>
      </c>
      <c r="B528" s="2">
        <v>45818</v>
      </c>
      <c r="C528" t="s">
        <v>15</v>
      </c>
      <c r="D528" t="str">
        <f t="shared" si="8"/>
        <v>June</v>
      </c>
      <c r="E528" t="s">
        <v>39</v>
      </c>
      <c r="F528" t="s">
        <v>60</v>
      </c>
      <c r="G528" t="s">
        <v>61</v>
      </c>
      <c r="H528" t="s">
        <v>33</v>
      </c>
      <c r="I528" t="s">
        <v>42</v>
      </c>
      <c r="J528" t="s">
        <v>35</v>
      </c>
      <c r="K528">
        <v>4</v>
      </c>
      <c r="L528">
        <v>43939.43</v>
      </c>
      <c r="M528">
        <v>0</v>
      </c>
      <c r="N528">
        <v>175757.72</v>
      </c>
      <c r="O528" t="s">
        <v>47</v>
      </c>
    </row>
    <row r="529" spans="1:15" x14ac:dyDescent="0.3">
      <c r="A529" t="s">
        <v>597</v>
      </c>
      <c r="B529" s="2">
        <v>45819</v>
      </c>
      <c r="C529" t="s">
        <v>38</v>
      </c>
      <c r="D529" t="str">
        <f t="shared" si="8"/>
        <v>June</v>
      </c>
      <c r="E529" t="s">
        <v>77</v>
      </c>
      <c r="F529" t="s">
        <v>53</v>
      </c>
      <c r="G529" t="s">
        <v>105</v>
      </c>
      <c r="H529" t="s">
        <v>33</v>
      </c>
      <c r="I529" t="s">
        <v>34</v>
      </c>
      <c r="J529" t="s">
        <v>35</v>
      </c>
      <c r="K529">
        <v>1</v>
      </c>
      <c r="L529">
        <v>28303.79</v>
      </c>
      <c r="M529">
        <v>0</v>
      </c>
      <c r="N529">
        <v>28303.79</v>
      </c>
      <c r="O529" t="s">
        <v>47</v>
      </c>
    </row>
    <row r="530" spans="1:15" x14ac:dyDescent="0.3">
      <c r="A530" t="s">
        <v>598</v>
      </c>
      <c r="B530" s="2">
        <v>45820</v>
      </c>
      <c r="C530" t="s">
        <v>31</v>
      </c>
      <c r="D530" t="str">
        <f t="shared" si="8"/>
        <v>June</v>
      </c>
      <c r="E530" t="s">
        <v>39</v>
      </c>
      <c r="F530" t="s">
        <v>17</v>
      </c>
      <c r="G530" t="s">
        <v>123</v>
      </c>
      <c r="H530" t="s">
        <v>33</v>
      </c>
      <c r="I530" t="s">
        <v>34</v>
      </c>
      <c r="J530" t="s">
        <v>28</v>
      </c>
      <c r="K530">
        <v>1</v>
      </c>
      <c r="L530">
        <v>56640.160000000003</v>
      </c>
      <c r="M530">
        <v>20</v>
      </c>
      <c r="N530">
        <v>45312.12</v>
      </c>
      <c r="O530" t="s">
        <v>47</v>
      </c>
    </row>
    <row r="531" spans="1:15" x14ac:dyDescent="0.3">
      <c r="A531" t="s">
        <v>599</v>
      </c>
      <c r="B531" s="2">
        <v>45821</v>
      </c>
      <c r="C531" t="s">
        <v>58</v>
      </c>
      <c r="D531" t="str">
        <f t="shared" si="8"/>
        <v>June</v>
      </c>
      <c r="E531" t="s">
        <v>50</v>
      </c>
      <c r="F531" t="s">
        <v>17</v>
      </c>
      <c r="G531" t="s">
        <v>67</v>
      </c>
      <c r="H531" t="s">
        <v>33</v>
      </c>
      <c r="I531" t="s">
        <v>42</v>
      </c>
      <c r="J531" t="s">
        <v>21</v>
      </c>
      <c r="K531">
        <v>3</v>
      </c>
      <c r="L531">
        <v>47170.78</v>
      </c>
      <c r="M531">
        <v>15</v>
      </c>
      <c r="N531">
        <v>120285.5</v>
      </c>
      <c r="O531" t="s">
        <v>29</v>
      </c>
    </row>
    <row r="532" spans="1:15" x14ac:dyDescent="0.3">
      <c r="A532" t="s">
        <v>600</v>
      </c>
      <c r="B532" s="2">
        <v>45822</v>
      </c>
      <c r="C532" t="s">
        <v>49</v>
      </c>
      <c r="D532" t="str">
        <f t="shared" si="8"/>
        <v>June</v>
      </c>
      <c r="E532" t="s">
        <v>24</v>
      </c>
      <c r="F532" t="s">
        <v>53</v>
      </c>
      <c r="G532" t="s">
        <v>105</v>
      </c>
      <c r="H532" t="s">
        <v>19</v>
      </c>
      <c r="I532" t="s">
        <v>34</v>
      </c>
      <c r="J532" t="s">
        <v>28</v>
      </c>
      <c r="K532">
        <v>1</v>
      </c>
      <c r="L532">
        <v>39040.26</v>
      </c>
      <c r="M532">
        <v>5</v>
      </c>
      <c r="N532">
        <v>37088.25</v>
      </c>
      <c r="O532" t="s">
        <v>29</v>
      </c>
    </row>
    <row r="533" spans="1:15" x14ac:dyDescent="0.3">
      <c r="A533" t="s">
        <v>601</v>
      </c>
      <c r="B533" s="2">
        <v>45823</v>
      </c>
      <c r="C533" t="s">
        <v>38</v>
      </c>
      <c r="D533" t="str">
        <f t="shared" si="8"/>
        <v>June</v>
      </c>
      <c r="E533" t="s">
        <v>100</v>
      </c>
      <c r="F533" t="s">
        <v>17</v>
      </c>
      <c r="G533" t="s">
        <v>63</v>
      </c>
      <c r="H533" t="s">
        <v>33</v>
      </c>
      <c r="I533" t="s">
        <v>34</v>
      </c>
      <c r="J533" t="s">
        <v>28</v>
      </c>
      <c r="K533">
        <v>2</v>
      </c>
      <c r="L533">
        <v>66940.89</v>
      </c>
      <c r="M533">
        <v>0</v>
      </c>
      <c r="N533">
        <v>133881.78</v>
      </c>
      <c r="O533" t="s">
        <v>47</v>
      </c>
    </row>
    <row r="534" spans="1:15" x14ac:dyDescent="0.3">
      <c r="A534" t="s">
        <v>602</v>
      </c>
      <c r="B534" s="2">
        <v>45824</v>
      </c>
      <c r="C534" t="s">
        <v>15</v>
      </c>
      <c r="D534" t="str">
        <f t="shared" si="8"/>
        <v>June</v>
      </c>
      <c r="E534" t="s">
        <v>50</v>
      </c>
      <c r="F534" t="s">
        <v>17</v>
      </c>
      <c r="G534" t="s">
        <v>63</v>
      </c>
      <c r="H534" t="s">
        <v>33</v>
      </c>
      <c r="I534" t="s">
        <v>20</v>
      </c>
      <c r="J534" t="s">
        <v>28</v>
      </c>
      <c r="K534">
        <v>4</v>
      </c>
      <c r="L534">
        <v>52167.42</v>
      </c>
      <c r="M534">
        <v>15</v>
      </c>
      <c r="N534">
        <v>177369.22</v>
      </c>
      <c r="O534" t="s">
        <v>22</v>
      </c>
    </row>
    <row r="535" spans="1:15" x14ac:dyDescent="0.3">
      <c r="A535" t="s">
        <v>603</v>
      </c>
      <c r="B535" s="2">
        <v>45825</v>
      </c>
      <c r="C535" t="s">
        <v>58</v>
      </c>
      <c r="D535" t="str">
        <f t="shared" si="8"/>
        <v>June</v>
      </c>
      <c r="E535" t="s">
        <v>77</v>
      </c>
      <c r="F535" t="s">
        <v>40</v>
      </c>
      <c r="G535" t="s">
        <v>118</v>
      </c>
      <c r="H535" t="s">
        <v>45</v>
      </c>
      <c r="I535" t="s">
        <v>42</v>
      </c>
      <c r="J535" t="s">
        <v>35</v>
      </c>
      <c r="K535">
        <v>4</v>
      </c>
      <c r="L535">
        <v>6827.02</v>
      </c>
      <c r="M535">
        <v>10</v>
      </c>
      <c r="N535">
        <v>24577.26</v>
      </c>
      <c r="O535" t="s">
        <v>29</v>
      </c>
    </row>
    <row r="536" spans="1:15" x14ac:dyDescent="0.3">
      <c r="A536" t="s">
        <v>604</v>
      </c>
      <c r="B536" s="2">
        <v>45826</v>
      </c>
      <c r="C536" t="s">
        <v>31</v>
      </c>
      <c r="D536" t="str">
        <f t="shared" si="8"/>
        <v>June</v>
      </c>
      <c r="E536" t="s">
        <v>77</v>
      </c>
      <c r="F536" t="s">
        <v>40</v>
      </c>
      <c r="G536" t="s">
        <v>118</v>
      </c>
      <c r="H536" t="s">
        <v>45</v>
      </c>
      <c r="I536" t="s">
        <v>20</v>
      </c>
      <c r="J536" t="s">
        <v>35</v>
      </c>
      <c r="K536">
        <v>2</v>
      </c>
      <c r="L536">
        <v>5947.62</v>
      </c>
      <c r="M536">
        <v>5</v>
      </c>
      <c r="N536">
        <v>11300.48</v>
      </c>
      <c r="O536" t="s">
        <v>22</v>
      </c>
    </row>
    <row r="537" spans="1:15" x14ac:dyDescent="0.3">
      <c r="A537" t="s">
        <v>605</v>
      </c>
      <c r="B537" s="2">
        <v>45827</v>
      </c>
      <c r="C537" t="s">
        <v>58</v>
      </c>
      <c r="D537" t="str">
        <f t="shared" si="8"/>
        <v>June</v>
      </c>
      <c r="E537" t="s">
        <v>69</v>
      </c>
      <c r="F537" t="s">
        <v>17</v>
      </c>
      <c r="G537" t="s">
        <v>18</v>
      </c>
      <c r="H537" t="s">
        <v>19</v>
      </c>
      <c r="I537" t="s">
        <v>34</v>
      </c>
      <c r="J537" t="s">
        <v>28</v>
      </c>
      <c r="K537">
        <v>2</v>
      </c>
      <c r="L537">
        <v>69670.399999999994</v>
      </c>
      <c r="M537">
        <v>5</v>
      </c>
      <c r="N537">
        <v>132373.76000000001</v>
      </c>
      <c r="O537" t="s">
        <v>22</v>
      </c>
    </row>
    <row r="538" spans="1:15" x14ac:dyDescent="0.3">
      <c r="A538" t="s">
        <v>606</v>
      </c>
      <c r="B538" s="2">
        <v>45828</v>
      </c>
      <c r="C538" t="s">
        <v>31</v>
      </c>
      <c r="D538" t="str">
        <f t="shared" si="8"/>
        <v>June</v>
      </c>
      <c r="E538" t="s">
        <v>72</v>
      </c>
      <c r="F538" t="s">
        <v>25</v>
      </c>
      <c r="G538" t="s">
        <v>56</v>
      </c>
      <c r="H538" t="s">
        <v>45</v>
      </c>
      <c r="I538" t="s">
        <v>34</v>
      </c>
      <c r="J538" t="s">
        <v>21</v>
      </c>
      <c r="K538">
        <v>5</v>
      </c>
      <c r="L538">
        <v>2214.9699999999998</v>
      </c>
      <c r="M538">
        <v>10</v>
      </c>
      <c r="N538">
        <v>9967.3700000000008</v>
      </c>
      <c r="O538" t="s">
        <v>36</v>
      </c>
    </row>
    <row r="539" spans="1:15" x14ac:dyDescent="0.3">
      <c r="A539" t="s">
        <v>607</v>
      </c>
      <c r="B539" s="2">
        <v>45829</v>
      </c>
      <c r="C539" t="s">
        <v>15</v>
      </c>
      <c r="D539" t="str">
        <f t="shared" si="8"/>
        <v>June</v>
      </c>
      <c r="E539" t="s">
        <v>50</v>
      </c>
      <c r="F539" t="s">
        <v>17</v>
      </c>
      <c r="G539" t="s">
        <v>18</v>
      </c>
      <c r="H539" t="s">
        <v>19</v>
      </c>
      <c r="I539" t="s">
        <v>42</v>
      </c>
      <c r="J539" t="s">
        <v>21</v>
      </c>
      <c r="K539">
        <v>5</v>
      </c>
      <c r="L539">
        <v>49285.18</v>
      </c>
      <c r="M539">
        <v>15</v>
      </c>
      <c r="N539">
        <v>209462.02</v>
      </c>
      <c r="O539" t="s">
        <v>22</v>
      </c>
    </row>
    <row r="540" spans="1:15" x14ac:dyDescent="0.3">
      <c r="A540" t="s">
        <v>608</v>
      </c>
      <c r="B540" s="2">
        <v>45830</v>
      </c>
      <c r="C540" t="s">
        <v>31</v>
      </c>
      <c r="D540" t="str">
        <f t="shared" si="8"/>
        <v>June</v>
      </c>
      <c r="E540" t="s">
        <v>52</v>
      </c>
      <c r="F540" t="s">
        <v>25</v>
      </c>
      <c r="G540" t="s">
        <v>56</v>
      </c>
      <c r="H540" t="s">
        <v>19</v>
      </c>
      <c r="I540" t="s">
        <v>34</v>
      </c>
      <c r="J540" t="s">
        <v>21</v>
      </c>
      <c r="K540">
        <v>2</v>
      </c>
      <c r="L540">
        <v>2766.18</v>
      </c>
      <c r="M540">
        <v>5</v>
      </c>
      <c r="N540">
        <v>5255.73</v>
      </c>
      <c r="O540" t="s">
        <v>47</v>
      </c>
    </row>
    <row r="541" spans="1:15" x14ac:dyDescent="0.3">
      <c r="A541" t="s">
        <v>609</v>
      </c>
      <c r="B541" s="2">
        <v>45831</v>
      </c>
      <c r="C541" t="s">
        <v>38</v>
      </c>
      <c r="D541" t="str">
        <f t="shared" si="8"/>
        <v>June</v>
      </c>
      <c r="E541" t="s">
        <v>16</v>
      </c>
      <c r="F541" t="s">
        <v>25</v>
      </c>
      <c r="G541" t="s">
        <v>56</v>
      </c>
      <c r="H541" t="s">
        <v>19</v>
      </c>
      <c r="I541" t="s">
        <v>42</v>
      </c>
      <c r="J541" t="s">
        <v>28</v>
      </c>
      <c r="K541">
        <v>3</v>
      </c>
      <c r="L541">
        <v>2478.84</v>
      </c>
      <c r="M541">
        <v>20</v>
      </c>
      <c r="N541">
        <v>5949.22</v>
      </c>
      <c r="O541" t="s">
        <v>36</v>
      </c>
    </row>
    <row r="542" spans="1:15" x14ac:dyDescent="0.3">
      <c r="A542" t="s">
        <v>610</v>
      </c>
      <c r="B542" s="2">
        <v>45832</v>
      </c>
      <c r="C542" t="s">
        <v>49</v>
      </c>
      <c r="D542" t="str">
        <f t="shared" si="8"/>
        <v>June</v>
      </c>
      <c r="E542" t="s">
        <v>16</v>
      </c>
      <c r="F542" t="s">
        <v>53</v>
      </c>
      <c r="G542" t="s">
        <v>129</v>
      </c>
      <c r="H542" t="s">
        <v>33</v>
      </c>
      <c r="I542" t="s">
        <v>42</v>
      </c>
      <c r="J542" t="s">
        <v>46</v>
      </c>
      <c r="K542">
        <v>3</v>
      </c>
      <c r="L542">
        <v>35386.29</v>
      </c>
      <c r="M542">
        <v>0</v>
      </c>
      <c r="N542">
        <v>106158.87</v>
      </c>
      <c r="O542" t="s">
        <v>47</v>
      </c>
    </row>
    <row r="543" spans="1:15" x14ac:dyDescent="0.3">
      <c r="A543" t="s">
        <v>611</v>
      </c>
      <c r="B543" s="2">
        <v>45833</v>
      </c>
      <c r="C543" t="s">
        <v>58</v>
      </c>
      <c r="D543" t="str">
        <f t="shared" si="8"/>
        <v>June</v>
      </c>
      <c r="E543" t="s">
        <v>69</v>
      </c>
      <c r="F543" t="s">
        <v>53</v>
      </c>
      <c r="G543" t="s">
        <v>65</v>
      </c>
      <c r="H543" t="s">
        <v>45</v>
      </c>
      <c r="I543" t="s">
        <v>34</v>
      </c>
      <c r="J543" t="s">
        <v>35</v>
      </c>
      <c r="K543">
        <v>3</v>
      </c>
      <c r="L543">
        <v>33095.75</v>
      </c>
      <c r="M543">
        <v>15</v>
      </c>
      <c r="N543">
        <v>84394.16</v>
      </c>
      <c r="O543" t="s">
        <v>36</v>
      </c>
    </row>
    <row r="544" spans="1:15" x14ac:dyDescent="0.3">
      <c r="A544" t="s">
        <v>612</v>
      </c>
      <c r="B544" s="2">
        <v>45834</v>
      </c>
      <c r="C544" t="s">
        <v>31</v>
      </c>
      <c r="D544" t="str">
        <f t="shared" si="8"/>
        <v>June</v>
      </c>
      <c r="E544" t="s">
        <v>39</v>
      </c>
      <c r="F544" t="s">
        <v>40</v>
      </c>
      <c r="G544" t="s">
        <v>41</v>
      </c>
      <c r="H544" t="s">
        <v>19</v>
      </c>
      <c r="I544" t="s">
        <v>34</v>
      </c>
      <c r="J544" t="s">
        <v>21</v>
      </c>
      <c r="K544">
        <v>5</v>
      </c>
      <c r="L544">
        <v>5981.98</v>
      </c>
      <c r="M544">
        <v>5</v>
      </c>
      <c r="N544">
        <v>28414.38</v>
      </c>
      <c r="O544" t="s">
        <v>22</v>
      </c>
    </row>
    <row r="545" spans="1:15" x14ac:dyDescent="0.3">
      <c r="A545" t="s">
        <v>613</v>
      </c>
      <c r="B545" s="2">
        <v>45835</v>
      </c>
      <c r="C545" t="s">
        <v>49</v>
      </c>
      <c r="D545" t="str">
        <f t="shared" si="8"/>
        <v>June</v>
      </c>
      <c r="E545" t="s">
        <v>24</v>
      </c>
      <c r="F545" t="s">
        <v>25</v>
      </c>
      <c r="G545" t="s">
        <v>26</v>
      </c>
      <c r="H545" t="s">
        <v>27</v>
      </c>
      <c r="I545" t="s">
        <v>34</v>
      </c>
      <c r="J545" t="s">
        <v>28</v>
      </c>
      <c r="K545">
        <v>5</v>
      </c>
      <c r="L545">
        <v>2778.77</v>
      </c>
      <c r="M545">
        <v>15</v>
      </c>
      <c r="N545">
        <v>11809.77</v>
      </c>
      <c r="O545" t="s">
        <v>47</v>
      </c>
    </row>
    <row r="546" spans="1:15" x14ac:dyDescent="0.3">
      <c r="A546" t="s">
        <v>614</v>
      </c>
      <c r="B546" s="2">
        <v>45836</v>
      </c>
      <c r="C546" t="s">
        <v>31</v>
      </c>
      <c r="D546" t="str">
        <f t="shared" si="8"/>
        <v>June</v>
      </c>
      <c r="E546" t="s">
        <v>50</v>
      </c>
      <c r="F546" t="s">
        <v>53</v>
      </c>
      <c r="G546" t="s">
        <v>105</v>
      </c>
      <c r="H546" t="s">
        <v>33</v>
      </c>
      <c r="I546" t="s">
        <v>20</v>
      </c>
      <c r="J546" t="s">
        <v>46</v>
      </c>
      <c r="K546">
        <v>2</v>
      </c>
      <c r="L546">
        <v>28758.23</v>
      </c>
      <c r="M546">
        <v>0</v>
      </c>
      <c r="N546">
        <v>57516.46</v>
      </c>
      <c r="O546" t="s">
        <v>47</v>
      </c>
    </row>
    <row r="547" spans="1:15" x14ac:dyDescent="0.3">
      <c r="A547" t="s">
        <v>615</v>
      </c>
      <c r="B547" s="2">
        <v>45837</v>
      </c>
      <c r="C547" t="s">
        <v>31</v>
      </c>
      <c r="D547" t="str">
        <f t="shared" si="8"/>
        <v>June</v>
      </c>
      <c r="E547" t="s">
        <v>52</v>
      </c>
      <c r="F547" t="s">
        <v>17</v>
      </c>
      <c r="G547" t="s">
        <v>67</v>
      </c>
      <c r="H547" t="s">
        <v>19</v>
      </c>
      <c r="I547" t="s">
        <v>42</v>
      </c>
      <c r="J547" t="s">
        <v>35</v>
      </c>
      <c r="K547">
        <v>2</v>
      </c>
      <c r="L547">
        <v>49032.76</v>
      </c>
      <c r="M547">
        <v>15</v>
      </c>
      <c r="N547">
        <v>83355.69</v>
      </c>
      <c r="O547" t="s">
        <v>22</v>
      </c>
    </row>
    <row r="548" spans="1:15" x14ac:dyDescent="0.3">
      <c r="A548" t="s">
        <v>616</v>
      </c>
      <c r="B548" s="2">
        <v>45838</v>
      </c>
      <c r="C548" t="s">
        <v>58</v>
      </c>
      <c r="D548" t="str">
        <f t="shared" si="8"/>
        <v>June</v>
      </c>
      <c r="E548" t="s">
        <v>100</v>
      </c>
      <c r="F548" t="s">
        <v>53</v>
      </c>
      <c r="G548" t="s">
        <v>129</v>
      </c>
      <c r="H548" t="s">
        <v>27</v>
      </c>
      <c r="I548" t="s">
        <v>20</v>
      </c>
      <c r="J548" t="s">
        <v>46</v>
      </c>
      <c r="K548">
        <v>1</v>
      </c>
      <c r="L548">
        <v>26969.759999999998</v>
      </c>
      <c r="M548">
        <v>5</v>
      </c>
      <c r="N548">
        <v>25621.27</v>
      </c>
      <c r="O548" t="s">
        <v>47</v>
      </c>
    </row>
    <row r="549" spans="1:15" x14ac:dyDescent="0.3">
      <c r="A549" t="s">
        <v>617</v>
      </c>
      <c r="B549" s="2">
        <v>45839</v>
      </c>
      <c r="C549" t="s">
        <v>58</v>
      </c>
      <c r="D549" t="str">
        <f t="shared" si="8"/>
        <v>July</v>
      </c>
      <c r="E549" t="s">
        <v>50</v>
      </c>
      <c r="F549" t="s">
        <v>60</v>
      </c>
      <c r="G549" t="s">
        <v>78</v>
      </c>
      <c r="H549" t="s">
        <v>19</v>
      </c>
      <c r="I549" t="s">
        <v>34</v>
      </c>
      <c r="J549" t="s">
        <v>46</v>
      </c>
      <c r="K549">
        <v>4</v>
      </c>
      <c r="L549">
        <v>44168.03</v>
      </c>
      <c r="M549">
        <v>5</v>
      </c>
      <c r="N549">
        <v>167838.51</v>
      </c>
      <c r="O549" t="s">
        <v>47</v>
      </c>
    </row>
    <row r="550" spans="1:15" x14ac:dyDescent="0.3">
      <c r="A550" t="s">
        <v>618</v>
      </c>
      <c r="B550" s="2">
        <v>45840</v>
      </c>
      <c r="C550" t="s">
        <v>38</v>
      </c>
      <c r="D550" t="str">
        <f t="shared" si="8"/>
        <v>July</v>
      </c>
      <c r="E550" t="s">
        <v>39</v>
      </c>
      <c r="F550" t="s">
        <v>25</v>
      </c>
      <c r="G550" t="s">
        <v>56</v>
      </c>
      <c r="H550" t="s">
        <v>19</v>
      </c>
      <c r="I550" t="s">
        <v>34</v>
      </c>
      <c r="J550" t="s">
        <v>46</v>
      </c>
      <c r="K550">
        <v>4</v>
      </c>
      <c r="L550">
        <v>2613.6799999999998</v>
      </c>
      <c r="M550">
        <v>20</v>
      </c>
      <c r="N550">
        <v>8363.76</v>
      </c>
      <c r="O550" t="s">
        <v>47</v>
      </c>
    </row>
    <row r="551" spans="1:15" x14ac:dyDescent="0.3">
      <c r="A551" t="s">
        <v>619</v>
      </c>
      <c r="B551" s="2">
        <v>45841</v>
      </c>
      <c r="C551" t="s">
        <v>49</v>
      </c>
      <c r="D551" t="str">
        <f t="shared" si="8"/>
        <v>July</v>
      </c>
      <c r="E551" t="s">
        <v>100</v>
      </c>
      <c r="F551" t="s">
        <v>53</v>
      </c>
      <c r="G551" t="s">
        <v>65</v>
      </c>
      <c r="H551" t="s">
        <v>45</v>
      </c>
      <c r="I551" t="s">
        <v>34</v>
      </c>
      <c r="J551" t="s">
        <v>46</v>
      </c>
      <c r="K551">
        <v>5</v>
      </c>
      <c r="L551">
        <v>37863.050000000003</v>
      </c>
      <c r="M551">
        <v>15</v>
      </c>
      <c r="N551">
        <v>160917.95000000001</v>
      </c>
      <c r="O551" t="s">
        <v>36</v>
      </c>
    </row>
    <row r="552" spans="1:15" x14ac:dyDescent="0.3">
      <c r="A552" t="s">
        <v>620</v>
      </c>
      <c r="B552" s="2">
        <v>45842</v>
      </c>
      <c r="C552" t="s">
        <v>49</v>
      </c>
      <c r="D552" t="str">
        <f t="shared" si="8"/>
        <v>July</v>
      </c>
      <c r="E552" t="s">
        <v>77</v>
      </c>
      <c r="F552" t="s">
        <v>25</v>
      </c>
      <c r="G552" t="s">
        <v>56</v>
      </c>
      <c r="H552" t="s">
        <v>45</v>
      </c>
      <c r="I552" t="s">
        <v>42</v>
      </c>
      <c r="J552" t="s">
        <v>28</v>
      </c>
      <c r="K552">
        <v>4</v>
      </c>
      <c r="L552">
        <v>2207.35</v>
      </c>
      <c r="M552">
        <v>20</v>
      </c>
      <c r="N552">
        <v>7063.52</v>
      </c>
      <c r="O552" t="s">
        <v>47</v>
      </c>
    </row>
    <row r="553" spans="1:15" x14ac:dyDescent="0.3">
      <c r="A553" t="s">
        <v>621</v>
      </c>
      <c r="B553" s="2">
        <v>45843</v>
      </c>
      <c r="C553" t="s">
        <v>15</v>
      </c>
      <c r="D553" t="str">
        <f t="shared" si="8"/>
        <v>July</v>
      </c>
      <c r="E553" t="s">
        <v>77</v>
      </c>
      <c r="F553" t="s">
        <v>40</v>
      </c>
      <c r="G553" t="s">
        <v>118</v>
      </c>
      <c r="H553" t="s">
        <v>45</v>
      </c>
      <c r="I553" t="s">
        <v>20</v>
      </c>
      <c r="J553" t="s">
        <v>35</v>
      </c>
      <c r="K553">
        <v>1</v>
      </c>
      <c r="L553">
        <v>6765.08</v>
      </c>
      <c r="M553">
        <v>10</v>
      </c>
      <c r="N553">
        <v>6088.57</v>
      </c>
      <c r="O553" t="s">
        <v>29</v>
      </c>
    </row>
    <row r="554" spans="1:15" x14ac:dyDescent="0.3">
      <c r="A554" t="s">
        <v>622</v>
      </c>
      <c r="B554" s="2">
        <v>45844</v>
      </c>
      <c r="C554" t="s">
        <v>38</v>
      </c>
      <c r="D554" t="str">
        <f t="shared" si="8"/>
        <v>July</v>
      </c>
      <c r="E554" t="s">
        <v>16</v>
      </c>
      <c r="F554" t="s">
        <v>60</v>
      </c>
      <c r="G554" t="s">
        <v>73</v>
      </c>
      <c r="H554" t="s">
        <v>27</v>
      </c>
      <c r="I554" t="s">
        <v>34</v>
      </c>
      <c r="J554" t="s">
        <v>43</v>
      </c>
      <c r="K554">
        <v>5</v>
      </c>
      <c r="L554">
        <v>43254.96</v>
      </c>
      <c r="M554">
        <v>5</v>
      </c>
      <c r="N554">
        <v>205461.05</v>
      </c>
      <c r="O554" t="s">
        <v>36</v>
      </c>
    </row>
    <row r="555" spans="1:15" x14ac:dyDescent="0.3">
      <c r="A555" t="s">
        <v>623</v>
      </c>
      <c r="B555" s="2">
        <v>45845</v>
      </c>
      <c r="C555" t="s">
        <v>58</v>
      </c>
      <c r="D555" t="str">
        <f t="shared" si="8"/>
        <v>July</v>
      </c>
      <c r="E555" t="s">
        <v>32</v>
      </c>
      <c r="F555" t="s">
        <v>53</v>
      </c>
      <c r="G555" t="s">
        <v>129</v>
      </c>
      <c r="H555" t="s">
        <v>19</v>
      </c>
      <c r="I555" t="s">
        <v>34</v>
      </c>
      <c r="J555" t="s">
        <v>43</v>
      </c>
      <c r="K555">
        <v>1</v>
      </c>
      <c r="L555">
        <v>26339.61</v>
      </c>
      <c r="M555">
        <v>10</v>
      </c>
      <c r="N555">
        <v>23705.65</v>
      </c>
      <c r="O555" t="s">
        <v>29</v>
      </c>
    </row>
    <row r="556" spans="1:15" x14ac:dyDescent="0.3">
      <c r="A556" t="s">
        <v>624</v>
      </c>
      <c r="B556" s="2">
        <v>45846</v>
      </c>
      <c r="C556" t="s">
        <v>31</v>
      </c>
      <c r="D556" t="str">
        <f t="shared" si="8"/>
        <v>July</v>
      </c>
      <c r="E556" t="s">
        <v>52</v>
      </c>
      <c r="F556" t="s">
        <v>53</v>
      </c>
      <c r="G556" t="s">
        <v>54</v>
      </c>
      <c r="H556" t="s">
        <v>33</v>
      </c>
      <c r="I556" t="s">
        <v>42</v>
      </c>
      <c r="J556" t="s">
        <v>43</v>
      </c>
      <c r="K556">
        <v>1</v>
      </c>
      <c r="L556">
        <v>25514.16</v>
      </c>
      <c r="M556">
        <v>15</v>
      </c>
      <c r="N556">
        <v>21687.040000000001</v>
      </c>
      <c r="O556" t="s">
        <v>22</v>
      </c>
    </row>
    <row r="557" spans="1:15" x14ac:dyDescent="0.3">
      <c r="A557" t="s">
        <v>625</v>
      </c>
      <c r="B557" s="2">
        <v>45847</v>
      </c>
      <c r="C557" t="s">
        <v>38</v>
      </c>
      <c r="D557" t="str">
        <f t="shared" si="8"/>
        <v>July</v>
      </c>
      <c r="E557" t="s">
        <v>77</v>
      </c>
      <c r="F557" t="s">
        <v>60</v>
      </c>
      <c r="G557" t="s">
        <v>70</v>
      </c>
      <c r="H557" t="s">
        <v>33</v>
      </c>
      <c r="I557" t="s">
        <v>42</v>
      </c>
      <c r="J557" t="s">
        <v>21</v>
      </c>
      <c r="K557">
        <v>4</v>
      </c>
      <c r="L557">
        <v>50842.14</v>
      </c>
      <c r="M557">
        <v>5</v>
      </c>
      <c r="N557">
        <v>193200.14</v>
      </c>
      <c r="O557" t="s">
        <v>47</v>
      </c>
    </row>
    <row r="558" spans="1:15" x14ac:dyDescent="0.3">
      <c r="A558" t="s">
        <v>626</v>
      </c>
      <c r="B558" s="2">
        <v>45848</v>
      </c>
      <c r="C558" t="s">
        <v>58</v>
      </c>
      <c r="D558" t="str">
        <f t="shared" si="8"/>
        <v>July</v>
      </c>
      <c r="E558" t="s">
        <v>39</v>
      </c>
      <c r="F558" t="s">
        <v>60</v>
      </c>
      <c r="G558" t="s">
        <v>78</v>
      </c>
      <c r="H558" t="s">
        <v>33</v>
      </c>
      <c r="I558" t="s">
        <v>34</v>
      </c>
      <c r="J558" t="s">
        <v>43</v>
      </c>
      <c r="K558">
        <v>4</v>
      </c>
      <c r="L558">
        <v>36660.629999999997</v>
      </c>
      <c r="M558">
        <v>10</v>
      </c>
      <c r="N558">
        <v>131978.26999999999</v>
      </c>
      <c r="O558" t="s">
        <v>22</v>
      </c>
    </row>
    <row r="559" spans="1:15" x14ac:dyDescent="0.3">
      <c r="A559" t="s">
        <v>627</v>
      </c>
      <c r="B559" s="2">
        <v>45849</v>
      </c>
      <c r="C559" t="s">
        <v>49</v>
      </c>
      <c r="D559" t="str">
        <f t="shared" si="8"/>
        <v>July</v>
      </c>
      <c r="E559" t="s">
        <v>72</v>
      </c>
      <c r="F559" t="s">
        <v>40</v>
      </c>
      <c r="G559" t="s">
        <v>118</v>
      </c>
      <c r="H559" t="s">
        <v>27</v>
      </c>
      <c r="I559" t="s">
        <v>20</v>
      </c>
      <c r="J559" t="s">
        <v>21</v>
      </c>
      <c r="K559">
        <v>5</v>
      </c>
      <c r="L559">
        <v>5041.55</v>
      </c>
      <c r="M559">
        <v>5</v>
      </c>
      <c r="N559">
        <v>23947.38</v>
      </c>
      <c r="O559" t="s">
        <v>36</v>
      </c>
    </row>
    <row r="560" spans="1:15" x14ac:dyDescent="0.3">
      <c r="A560" t="s">
        <v>628</v>
      </c>
      <c r="B560" s="2">
        <v>45850</v>
      </c>
      <c r="C560" t="s">
        <v>31</v>
      </c>
      <c r="D560" t="str">
        <f t="shared" si="8"/>
        <v>July</v>
      </c>
      <c r="E560" t="s">
        <v>16</v>
      </c>
      <c r="F560" t="s">
        <v>40</v>
      </c>
      <c r="G560" t="s">
        <v>118</v>
      </c>
      <c r="H560" t="s">
        <v>27</v>
      </c>
      <c r="I560" t="s">
        <v>20</v>
      </c>
      <c r="J560" t="s">
        <v>35</v>
      </c>
      <c r="K560">
        <v>2</v>
      </c>
      <c r="L560">
        <v>7305.46</v>
      </c>
      <c r="M560">
        <v>15</v>
      </c>
      <c r="N560">
        <v>12419.28</v>
      </c>
      <c r="O560" t="s">
        <v>47</v>
      </c>
    </row>
    <row r="561" spans="1:15" x14ac:dyDescent="0.3">
      <c r="A561" t="s">
        <v>629</v>
      </c>
      <c r="B561" s="2">
        <v>45851</v>
      </c>
      <c r="C561" t="s">
        <v>38</v>
      </c>
      <c r="D561" t="str">
        <f t="shared" si="8"/>
        <v>July</v>
      </c>
      <c r="E561" t="s">
        <v>100</v>
      </c>
      <c r="F561" t="s">
        <v>53</v>
      </c>
      <c r="G561" t="s">
        <v>54</v>
      </c>
      <c r="H561" t="s">
        <v>27</v>
      </c>
      <c r="I561" t="s">
        <v>42</v>
      </c>
      <c r="J561" t="s">
        <v>21</v>
      </c>
      <c r="K561">
        <v>5</v>
      </c>
      <c r="L561">
        <v>27965.13</v>
      </c>
      <c r="M561">
        <v>15</v>
      </c>
      <c r="N561">
        <v>118851.8</v>
      </c>
      <c r="O561" t="s">
        <v>47</v>
      </c>
    </row>
    <row r="562" spans="1:15" x14ac:dyDescent="0.3">
      <c r="A562" t="s">
        <v>630</v>
      </c>
      <c r="B562" s="2">
        <v>45852</v>
      </c>
      <c r="C562" t="s">
        <v>58</v>
      </c>
      <c r="D562" t="str">
        <f t="shared" si="8"/>
        <v>July</v>
      </c>
      <c r="E562" t="s">
        <v>39</v>
      </c>
      <c r="F562" t="s">
        <v>17</v>
      </c>
      <c r="G562" t="s">
        <v>123</v>
      </c>
      <c r="H562" t="s">
        <v>19</v>
      </c>
      <c r="I562" t="s">
        <v>34</v>
      </c>
      <c r="J562" t="s">
        <v>46</v>
      </c>
      <c r="K562">
        <v>3</v>
      </c>
      <c r="L562">
        <v>65237.86</v>
      </c>
      <c r="M562">
        <v>15</v>
      </c>
      <c r="N562">
        <v>166356.54999999999</v>
      </c>
      <c r="O562" t="s">
        <v>29</v>
      </c>
    </row>
    <row r="563" spans="1:15" x14ac:dyDescent="0.3">
      <c r="A563" t="s">
        <v>631</v>
      </c>
      <c r="B563" s="2">
        <v>45853</v>
      </c>
      <c r="C563" t="s">
        <v>49</v>
      </c>
      <c r="D563" t="str">
        <f t="shared" si="8"/>
        <v>July</v>
      </c>
      <c r="E563" t="s">
        <v>69</v>
      </c>
      <c r="F563" t="s">
        <v>17</v>
      </c>
      <c r="G563" t="s">
        <v>18</v>
      </c>
      <c r="H563" t="s">
        <v>45</v>
      </c>
      <c r="I563" t="s">
        <v>34</v>
      </c>
      <c r="J563" t="s">
        <v>43</v>
      </c>
      <c r="K563">
        <v>2</v>
      </c>
      <c r="L563">
        <v>66069.600000000006</v>
      </c>
      <c r="M563">
        <v>0</v>
      </c>
      <c r="N563">
        <v>132139.21</v>
      </c>
      <c r="O563" t="s">
        <v>36</v>
      </c>
    </row>
    <row r="564" spans="1:15" x14ac:dyDescent="0.3">
      <c r="A564" t="s">
        <v>632</v>
      </c>
      <c r="B564" s="2">
        <v>45854</v>
      </c>
      <c r="C564" t="s">
        <v>31</v>
      </c>
      <c r="D564" t="str">
        <f t="shared" si="8"/>
        <v>July</v>
      </c>
      <c r="E564" t="s">
        <v>77</v>
      </c>
      <c r="F564" t="s">
        <v>17</v>
      </c>
      <c r="G564" t="s">
        <v>63</v>
      </c>
      <c r="H564" t="s">
        <v>27</v>
      </c>
      <c r="I564" t="s">
        <v>42</v>
      </c>
      <c r="J564" t="s">
        <v>28</v>
      </c>
      <c r="K564">
        <v>1</v>
      </c>
      <c r="L564">
        <v>65333.52</v>
      </c>
      <c r="M564">
        <v>15</v>
      </c>
      <c r="N564">
        <v>55533.49</v>
      </c>
      <c r="O564" t="s">
        <v>47</v>
      </c>
    </row>
    <row r="565" spans="1:15" x14ac:dyDescent="0.3">
      <c r="A565" t="s">
        <v>633</v>
      </c>
      <c r="B565" s="2">
        <v>45855</v>
      </c>
      <c r="C565" t="s">
        <v>31</v>
      </c>
      <c r="D565" t="str">
        <f t="shared" si="8"/>
        <v>July</v>
      </c>
      <c r="E565" t="s">
        <v>52</v>
      </c>
      <c r="F565" t="s">
        <v>40</v>
      </c>
      <c r="G565" t="s">
        <v>41</v>
      </c>
      <c r="H565" t="s">
        <v>33</v>
      </c>
      <c r="I565" t="s">
        <v>20</v>
      </c>
      <c r="J565" t="s">
        <v>21</v>
      </c>
      <c r="K565">
        <v>2</v>
      </c>
      <c r="L565">
        <v>5861.82</v>
      </c>
      <c r="M565">
        <v>10</v>
      </c>
      <c r="N565">
        <v>10551.27</v>
      </c>
      <c r="O565" t="s">
        <v>47</v>
      </c>
    </row>
    <row r="566" spans="1:15" x14ac:dyDescent="0.3">
      <c r="A566" t="s">
        <v>634</v>
      </c>
      <c r="B566" s="2">
        <v>45856</v>
      </c>
      <c r="C566" t="s">
        <v>49</v>
      </c>
      <c r="D566" t="str">
        <f t="shared" si="8"/>
        <v>July</v>
      </c>
      <c r="E566" t="s">
        <v>39</v>
      </c>
      <c r="F566" t="s">
        <v>53</v>
      </c>
      <c r="G566" t="s">
        <v>54</v>
      </c>
      <c r="H566" t="s">
        <v>19</v>
      </c>
      <c r="I566" t="s">
        <v>42</v>
      </c>
      <c r="J566" t="s">
        <v>21</v>
      </c>
      <c r="K566">
        <v>3</v>
      </c>
      <c r="L566">
        <v>29151.01</v>
      </c>
      <c r="M566">
        <v>10</v>
      </c>
      <c r="N566">
        <v>78707.73</v>
      </c>
      <c r="O566" t="s">
        <v>29</v>
      </c>
    </row>
    <row r="567" spans="1:15" x14ac:dyDescent="0.3">
      <c r="A567" t="s">
        <v>635</v>
      </c>
      <c r="B567" s="2">
        <v>45857</v>
      </c>
      <c r="C567" t="s">
        <v>38</v>
      </c>
      <c r="D567" t="str">
        <f t="shared" si="8"/>
        <v>July</v>
      </c>
      <c r="E567" t="s">
        <v>16</v>
      </c>
      <c r="F567" t="s">
        <v>40</v>
      </c>
      <c r="G567" t="s">
        <v>75</v>
      </c>
      <c r="H567" t="s">
        <v>27</v>
      </c>
      <c r="I567" t="s">
        <v>42</v>
      </c>
      <c r="J567" t="s">
        <v>21</v>
      </c>
      <c r="K567">
        <v>2</v>
      </c>
      <c r="L567">
        <v>6247.52</v>
      </c>
      <c r="M567">
        <v>0</v>
      </c>
      <c r="N567">
        <v>12495.03</v>
      </c>
      <c r="O567" t="s">
        <v>47</v>
      </c>
    </row>
    <row r="568" spans="1:15" x14ac:dyDescent="0.3">
      <c r="A568" t="s">
        <v>636</v>
      </c>
      <c r="B568" s="2">
        <v>45858</v>
      </c>
      <c r="C568" t="s">
        <v>31</v>
      </c>
      <c r="D568" t="str">
        <f t="shared" si="8"/>
        <v>July</v>
      </c>
      <c r="E568" t="s">
        <v>24</v>
      </c>
      <c r="F568" t="s">
        <v>17</v>
      </c>
      <c r="G568" t="s">
        <v>63</v>
      </c>
      <c r="H568" t="s">
        <v>19</v>
      </c>
      <c r="I568" t="s">
        <v>34</v>
      </c>
      <c r="J568" t="s">
        <v>21</v>
      </c>
      <c r="K568">
        <v>4</v>
      </c>
      <c r="L568">
        <v>71251.990000000005</v>
      </c>
      <c r="M568">
        <v>5</v>
      </c>
      <c r="N568">
        <v>270757.58</v>
      </c>
      <c r="O568" t="s">
        <v>47</v>
      </c>
    </row>
    <row r="569" spans="1:15" x14ac:dyDescent="0.3">
      <c r="A569" t="s">
        <v>637</v>
      </c>
      <c r="B569" s="2">
        <v>45859</v>
      </c>
      <c r="C569" t="s">
        <v>38</v>
      </c>
      <c r="D569" t="str">
        <f t="shared" si="8"/>
        <v>July</v>
      </c>
      <c r="E569" t="s">
        <v>50</v>
      </c>
      <c r="F569" t="s">
        <v>25</v>
      </c>
      <c r="G569" t="s">
        <v>81</v>
      </c>
      <c r="H569" t="s">
        <v>19</v>
      </c>
      <c r="I569" t="s">
        <v>20</v>
      </c>
      <c r="J569" t="s">
        <v>35</v>
      </c>
      <c r="K569">
        <v>5</v>
      </c>
      <c r="L569">
        <v>2663.2</v>
      </c>
      <c r="M569">
        <v>0</v>
      </c>
      <c r="N569">
        <v>13315.99</v>
      </c>
      <c r="O569" t="s">
        <v>47</v>
      </c>
    </row>
    <row r="570" spans="1:15" x14ac:dyDescent="0.3">
      <c r="A570" t="s">
        <v>638</v>
      </c>
      <c r="B570" s="2">
        <v>45860</v>
      </c>
      <c r="C570" t="s">
        <v>49</v>
      </c>
      <c r="D570" t="str">
        <f t="shared" si="8"/>
        <v>July</v>
      </c>
      <c r="E570" t="s">
        <v>52</v>
      </c>
      <c r="F570" t="s">
        <v>17</v>
      </c>
      <c r="G570" t="s">
        <v>67</v>
      </c>
      <c r="H570" t="s">
        <v>27</v>
      </c>
      <c r="I570" t="s">
        <v>34</v>
      </c>
      <c r="J570" t="s">
        <v>21</v>
      </c>
      <c r="K570">
        <v>4</v>
      </c>
      <c r="L570">
        <v>60028.18</v>
      </c>
      <c r="M570">
        <v>0</v>
      </c>
      <c r="N570">
        <v>240112.74</v>
      </c>
      <c r="O570" t="s">
        <v>36</v>
      </c>
    </row>
    <row r="571" spans="1:15" x14ac:dyDescent="0.3">
      <c r="A571" t="s">
        <v>639</v>
      </c>
      <c r="B571" s="2">
        <v>45861</v>
      </c>
      <c r="C571" t="s">
        <v>31</v>
      </c>
      <c r="D571" t="str">
        <f t="shared" si="8"/>
        <v>July</v>
      </c>
      <c r="E571" t="s">
        <v>69</v>
      </c>
      <c r="F571" t="s">
        <v>17</v>
      </c>
      <c r="G571" t="s">
        <v>63</v>
      </c>
      <c r="H571" t="s">
        <v>27</v>
      </c>
      <c r="I571" t="s">
        <v>20</v>
      </c>
      <c r="J571" t="s">
        <v>21</v>
      </c>
      <c r="K571">
        <v>1</v>
      </c>
      <c r="L571">
        <v>65459.43</v>
      </c>
      <c r="M571">
        <v>10</v>
      </c>
      <c r="N571">
        <v>58913.49</v>
      </c>
      <c r="O571" t="s">
        <v>47</v>
      </c>
    </row>
    <row r="572" spans="1:15" x14ac:dyDescent="0.3">
      <c r="A572" t="s">
        <v>640</v>
      </c>
      <c r="B572" s="2">
        <v>45862</v>
      </c>
      <c r="C572" t="s">
        <v>58</v>
      </c>
      <c r="D572" t="str">
        <f t="shared" si="8"/>
        <v>July</v>
      </c>
      <c r="E572" t="s">
        <v>52</v>
      </c>
      <c r="F572" t="s">
        <v>60</v>
      </c>
      <c r="G572" t="s">
        <v>70</v>
      </c>
      <c r="H572" t="s">
        <v>45</v>
      </c>
      <c r="I572" t="s">
        <v>42</v>
      </c>
      <c r="J572" t="s">
        <v>28</v>
      </c>
      <c r="K572">
        <v>5</v>
      </c>
      <c r="L572">
        <v>31784.41</v>
      </c>
      <c r="M572">
        <v>10</v>
      </c>
      <c r="N572">
        <v>143029.87</v>
      </c>
      <c r="O572" t="s">
        <v>47</v>
      </c>
    </row>
    <row r="573" spans="1:15" x14ac:dyDescent="0.3">
      <c r="A573" t="s">
        <v>641</v>
      </c>
      <c r="B573" s="2">
        <v>45863</v>
      </c>
      <c r="C573" t="s">
        <v>49</v>
      </c>
      <c r="D573" t="str">
        <f t="shared" si="8"/>
        <v>July</v>
      </c>
      <c r="E573" t="s">
        <v>24</v>
      </c>
      <c r="F573" t="s">
        <v>40</v>
      </c>
      <c r="G573" t="s">
        <v>75</v>
      </c>
      <c r="H573" t="s">
        <v>33</v>
      </c>
      <c r="I573" t="s">
        <v>34</v>
      </c>
      <c r="J573" t="s">
        <v>35</v>
      </c>
      <c r="K573">
        <v>2</v>
      </c>
      <c r="L573">
        <v>7550.28</v>
      </c>
      <c r="M573">
        <v>15</v>
      </c>
      <c r="N573">
        <v>12835.48</v>
      </c>
      <c r="O573" t="s">
        <v>47</v>
      </c>
    </row>
    <row r="574" spans="1:15" x14ac:dyDescent="0.3">
      <c r="A574" t="s">
        <v>642</v>
      </c>
      <c r="B574" s="2">
        <v>45864</v>
      </c>
      <c r="C574" t="s">
        <v>49</v>
      </c>
      <c r="D574" t="str">
        <f t="shared" si="8"/>
        <v>July</v>
      </c>
      <c r="E574" t="s">
        <v>39</v>
      </c>
      <c r="F574" t="s">
        <v>60</v>
      </c>
      <c r="G574" t="s">
        <v>78</v>
      </c>
      <c r="H574" t="s">
        <v>33</v>
      </c>
      <c r="I574" t="s">
        <v>42</v>
      </c>
      <c r="J574" t="s">
        <v>35</v>
      </c>
      <c r="K574">
        <v>5</v>
      </c>
      <c r="L574">
        <v>52360.97</v>
      </c>
      <c r="M574">
        <v>0</v>
      </c>
      <c r="N574">
        <v>261804.86</v>
      </c>
      <c r="O574" t="s">
        <v>47</v>
      </c>
    </row>
    <row r="575" spans="1:15" x14ac:dyDescent="0.3">
      <c r="A575" t="s">
        <v>643</v>
      </c>
      <c r="B575" s="2">
        <v>45865</v>
      </c>
      <c r="C575" t="s">
        <v>49</v>
      </c>
      <c r="D575" t="str">
        <f t="shared" si="8"/>
        <v>July</v>
      </c>
      <c r="E575" t="s">
        <v>50</v>
      </c>
      <c r="F575" t="s">
        <v>60</v>
      </c>
      <c r="G575" t="s">
        <v>70</v>
      </c>
      <c r="H575" t="s">
        <v>33</v>
      </c>
      <c r="I575" t="s">
        <v>20</v>
      </c>
      <c r="J575" t="s">
        <v>28</v>
      </c>
      <c r="K575">
        <v>3</v>
      </c>
      <c r="L575">
        <v>49916.31</v>
      </c>
      <c r="M575">
        <v>10</v>
      </c>
      <c r="N575">
        <v>134774.04999999999</v>
      </c>
      <c r="O575" t="s">
        <v>22</v>
      </c>
    </row>
    <row r="576" spans="1:15" x14ac:dyDescent="0.3">
      <c r="A576" t="s">
        <v>644</v>
      </c>
      <c r="B576" s="2">
        <v>45866</v>
      </c>
      <c r="C576" t="s">
        <v>58</v>
      </c>
      <c r="D576" t="str">
        <f t="shared" si="8"/>
        <v>July</v>
      </c>
      <c r="E576" t="s">
        <v>72</v>
      </c>
      <c r="F576" t="s">
        <v>40</v>
      </c>
      <c r="G576" t="s">
        <v>41</v>
      </c>
      <c r="H576" t="s">
        <v>19</v>
      </c>
      <c r="I576" t="s">
        <v>20</v>
      </c>
      <c r="J576" t="s">
        <v>46</v>
      </c>
      <c r="K576">
        <v>1</v>
      </c>
      <c r="L576">
        <v>6329.22</v>
      </c>
      <c r="M576">
        <v>0</v>
      </c>
      <c r="N576">
        <v>6329.22</v>
      </c>
      <c r="O576" t="s">
        <v>22</v>
      </c>
    </row>
    <row r="577" spans="1:15" x14ac:dyDescent="0.3">
      <c r="A577" t="s">
        <v>645</v>
      </c>
      <c r="B577" s="2">
        <v>45867</v>
      </c>
      <c r="C577" t="s">
        <v>38</v>
      </c>
      <c r="D577" t="str">
        <f t="shared" si="8"/>
        <v>July</v>
      </c>
      <c r="E577" t="s">
        <v>50</v>
      </c>
      <c r="F577" t="s">
        <v>60</v>
      </c>
      <c r="G577" t="s">
        <v>78</v>
      </c>
      <c r="H577" t="s">
        <v>27</v>
      </c>
      <c r="I577" t="s">
        <v>42</v>
      </c>
      <c r="J577" t="s">
        <v>35</v>
      </c>
      <c r="K577">
        <v>5</v>
      </c>
      <c r="L577">
        <v>36404.639999999999</v>
      </c>
      <c r="M577">
        <v>5</v>
      </c>
      <c r="N577">
        <v>172922.06</v>
      </c>
      <c r="O577" t="s">
        <v>47</v>
      </c>
    </row>
    <row r="578" spans="1:15" x14ac:dyDescent="0.3">
      <c r="A578" t="s">
        <v>646</v>
      </c>
      <c r="B578" s="2">
        <v>45868</v>
      </c>
      <c r="C578" t="s">
        <v>31</v>
      </c>
      <c r="D578" t="str">
        <f t="shared" si="8"/>
        <v>July</v>
      </c>
      <c r="E578" t="s">
        <v>77</v>
      </c>
      <c r="F578" t="s">
        <v>17</v>
      </c>
      <c r="G578" t="s">
        <v>18</v>
      </c>
      <c r="H578" t="s">
        <v>45</v>
      </c>
      <c r="I578" t="s">
        <v>34</v>
      </c>
      <c r="J578" t="s">
        <v>28</v>
      </c>
      <c r="K578">
        <v>5</v>
      </c>
      <c r="L578">
        <v>60390.77</v>
      </c>
      <c r="M578">
        <v>5</v>
      </c>
      <c r="N578">
        <v>286856.14</v>
      </c>
      <c r="O578" t="s">
        <v>29</v>
      </c>
    </row>
    <row r="579" spans="1:15" x14ac:dyDescent="0.3">
      <c r="A579" t="s">
        <v>647</v>
      </c>
      <c r="B579" s="2">
        <v>45869</v>
      </c>
      <c r="C579" t="s">
        <v>15</v>
      </c>
      <c r="D579" t="str">
        <f t="shared" ref="D579:D642" si="9">TEXT(B579,"mmmm")</f>
        <v>July</v>
      </c>
      <c r="E579" t="s">
        <v>77</v>
      </c>
      <c r="F579" t="s">
        <v>40</v>
      </c>
      <c r="G579" t="s">
        <v>118</v>
      </c>
      <c r="H579" t="s">
        <v>27</v>
      </c>
      <c r="I579" t="s">
        <v>42</v>
      </c>
      <c r="J579" t="s">
        <v>46</v>
      </c>
      <c r="K579">
        <v>2</v>
      </c>
      <c r="L579">
        <v>5535.06</v>
      </c>
      <c r="M579">
        <v>0</v>
      </c>
      <c r="N579">
        <v>11070.12</v>
      </c>
      <c r="O579" t="s">
        <v>36</v>
      </c>
    </row>
    <row r="580" spans="1:15" x14ac:dyDescent="0.3">
      <c r="A580" t="s">
        <v>648</v>
      </c>
      <c r="B580" s="2">
        <v>45870</v>
      </c>
      <c r="C580" t="s">
        <v>38</v>
      </c>
      <c r="D580" t="str">
        <f t="shared" si="9"/>
        <v>August</v>
      </c>
      <c r="E580" t="s">
        <v>24</v>
      </c>
      <c r="F580" t="s">
        <v>40</v>
      </c>
      <c r="G580" t="s">
        <v>118</v>
      </c>
      <c r="H580" t="s">
        <v>19</v>
      </c>
      <c r="I580" t="s">
        <v>20</v>
      </c>
      <c r="J580" t="s">
        <v>35</v>
      </c>
      <c r="K580">
        <v>1</v>
      </c>
      <c r="L580">
        <v>7101.71</v>
      </c>
      <c r="M580">
        <v>10</v>
      </c>
      <c r="N580">
        <v>6391.54</v>
      </c>
      <c r="O580" t="s">
        <v>47</v>
      </c>
    </row>
    <row r="581" spans="1:15" x14ac:dyDescent="0.3">
      <c r="A581" t="s">
        <v>649</v>
      </c>
      <c r="B581" s="2">
        <v>45871</v>
      </c>
      <c r="C581" t="s">
        <v>31</v>
      </c>
      <c r="D581" t="str">
        <f t="shared" si="9"/>
        <v>August</v>
      </c>
      <c r="E581" t="s">
        <v>50</v>
      </c>
      <c r="F581" t="s">
        <v>17</v>
      </c>
      <c r="G581" t="s">
        <v>63</v>
      </c>
      <c r="H581" t="s">
        <v>45</v>
      </c>
      <c r="I581" t="s">
        <v>20</v>
      </c>
      <c r="J581" t="s">
        <v>43</v>
      </c>
      <c r="K581">
        <v>5</v>
      </c>
      <c r="L581">
        <v>50916.77</v>
      </c>
      <c r="M581">
        <v>0</v>
      </c>
      <c r="N581">
        <v>254583.86</v>
      </c>
      <c r="O581" t="s">
        <v>47</v>
      </c>
    </row>
    <row r="582" spans="1:15" x14ac:dyDescent="0.3">
      <c r="A582" t="s">
        <v>650</v>
      </c>
      <c r="B582" s="2">
        <v>45872</v>
      </c>
      <c r="C582" t="s">
        <v>15</v>
      </c>
      <c r="D582" t="str">
        <f t="shared" si="9"/>
        <v>August</v>
      </c>
      <c r="E582" t="s">
        <v>16</v>
      </c>
      <c r="F582" t="s">
        <v>25</v>
      </c>
      <c r="G582" t="s">
        <v>92</v>
      </c>
      <c r="H582" t="s">
        <v>33</v>
      </c>
      <c r="I582" t="s">
        <v>20</v>
      </c>
      <c r="J582" t="s">
        <v>43</v>
      </c>
      <c r="K582">
        <v>1</v>
      </c>
      <c r="L582">
        <v>2757.95</v>
      </c>
      <c r="M582">
        <v>5</v>
      </c>
      <c r="N582">
        <v>2620.06</v>
      </c>
      <c r="O582" t="s">
        <v>47</v>
      </c>
    </row>
    <row r="583" spans="1:15" x14ac:dyDescent="0.3">
      <c r="A583" t="s">
        <v>651</v>
      </c>
      <c r="B583" s="2">
        <v>45873</v>
      </c>
      <c r="C583" t="s">
        <v>31</v>
      </c>
      <c r="D583" t="str">
        <f t="shared" si="9"/>
        <v>August</v>
      </c>
      <c r="E583" t="s">
        <v>24</v>
      </c>
      <c r="F583" t="s">
        <v>53</v>
      </c>
      <c r="G583" t="s">
        <v>105</v>
      </c>
      <c r="H583" t="s">
        <v>27</v>
      </c>
      <c r="I583" t="s">
        <v>42</v>
      </c>
      <c r="J583" t="s">
        <v>46</v>
      </c>
      <c r="K583">
        <v>5</v>
      </c>
      <c r="L583">
        <v>30582.43</v>
      </c>
      <c r="M583">
        <v>0</v>
      </c>
      <c r="N583">
        <v>152912.17000000001</v>
      </c>
      <c r="O583" t="s">
        <v>29</v>
      </c>
    </row>
    <row r="584" spans="1:15" x14ac:dyDescent="0.3">
      <c r="A584" t="s">
        <v>652</v>
      </c>
      <c r="B584" s="2">
        <v>45874</v>
      </c>
      <c r="C584" t="s">
        <v>38</v>
      </c>
      <c r="D584" t="str">
        <f t="shared" si="9"/>
        <v>August</v>
      </c>
      <c r="E584" t="s">
        <v>24</v>
      </c>
      <c r="F584" t="s">
        <v>25</v>
      </c>
      <c r="G584" t="s">
        <v>92</v>
      </c>
      <c r="H584" t="s">
        <v>19</v>
      </c>
      <c r="I584" t="s">
        <v>20</v>
      </c>
      <c r="J584" t="s">
        <v>46</v>
      </c>
      <c r="K584">
        <v>4</v>
      </c>
      <c r="L584">
        <v>2075.69</v>
      </c>
      <c r="M584">
        <v>0</v>
      </c>
      <c r="N584">
        <v>8302.7800000000007</v>
      </c>
      <c r="O584" t="s">
        <v>47</v>
      </c>
    </row>
    <row r="585" spans="1:15" x14ac:dyDescent="0.3">
      <c r="A585" t="s">
        <v>653</v>
      </c>
      <c r="B585" s="2">
        <v>45875</v>
      </c>
      <c r="C585" t="s">
        <v>49</v>
      </c>
      <c r="D585" t="str">
        <f t="shared" si="9"/>
        <v>August</v>
      </c>
      <c r="E585" t="s">
        <v>100</v>
      </c>
      <c r="F585" t="s">
        <v>53</v>
      </c>
      <c r="G585" t="s">
        <v>65</v>
      </c>
      <c r="H585" t="s">
        <v>19</v>
      </c>
      <c r="I585" t="s">
        <v>20</v>
      </c>
      <c r="J585" t="s">
        <v>28</v>
      </c>
      <c r="K585">
        <v>2</v>
      </c>
      <c r="L585">
        <v>30957.91</v>
      </c>
      <c r="M585">
        <v>15</v>
      </c>
      <c r="N585">
        <v>52628.44</v>
      </c>
      <c r="O585" t="s">
        <v>22</v>
      </c>
    </row>
    <row r="586" spans="1:15" x14ac:dyDescent="0.3">
      <c r="A586" t="s">
        <v>654</v>
      </c>
      <c r="B586" s="2">
        <v>45876</v>
      </c>
      <c r="C586" t="s">
        <v>31</v>
      </c>
      <c r="D586" t="str">
        <f t="shared" si="9"/>
        <v>August</v>
      </c>
      <c r="E586" t="s">
        <v>50</v>
      </c>
      <c r="F586" t="s">
        <v>40</v>
      </c>
      <c r="G586" t="s">
        <v>115</v>
      </c>
      <c r="H586" t="s">
        <v>33</v>
      </c>
      <c r="I586" t="s">
        <v>34</v>
      </c>
      <c r="J586" t="s">
        <v>46</v>
      </c>
      <c r="K586">
        <v>3</v>
      </c>
      <c r="L586">
        <v>5075.0200000000004</v>
      </c>
      <c r="M586">
        <v>10</v>
      </c>
      <c r="N586">
        <v>13702.55</v>
      </c>
      <c r="O586" t="s">
        <v>47</v>
      </c>
    </row>
    <row r="587" spans="1:15" x14ac:dyDescent="0.3">
      <c r="A587" t="s">
        <v>655</v>
      </c>
      <c r="B587" s="2">
        <v>45877</v>
      </c>
      <c r="C587" t="s">
        <v>15</v>
      </c>
      <c r="D587" t="str">
        <f t="shared" si="9"/>
        <v>August</v>
      </c>
      <c r="E587" t="s">
        <v>32</v>
      </c>
      <c r="F587" t="s">
        <v>40</v>
      </c>
      <c r="G587" t="s">
        <v>115</v>
      </c>
      <c r="H587" t="s">
        <v>33</v>
      </c>
      <c r="I587" t="s">
        <v>42</v>
      </c>
      <c r="J587" t="s">
        <v>28</v>
      </c>
      <c r="K587">
        <v>5</v>
      </c>
      <c r="L587">
        <v>7934.24</v>
      </c>
      <c r="M587">
        <v>5</v>
      </c>
      <c r="N587">
        <v>37687.620000000003</v>
      </c>
      <c r="O587" t="s">
        <v>47</v>
      </c>
    </row>
    <row r="588" spans="1:15" x14ac:dyDescent="0.3">
      <c r="A588" t="s">
        <v>656</v>
      </c>
      <c r="B588" s="2">
        <v>45878</v>
      </c>
      <c r="C588" t="s">
        <v>49</v>
      </c>
      <c r="D588" t="str">
        <f t="shared" si="9"/>
        <v>August</v>
      </c>
      <c r="E588" t="s">
        <v>16</v>
      </c>
      <c r="F588" t="s">
        <v>60</v>
      </c>
      <c r="G588" t="s">
        <v>61</v>
      </c>
      <c r="H588" t="s">
        <v>45</v>
      </c>
      <c r="I588" t="s">
        <v>42</v>
      </c>
      <c r="J588" t="s">
        <v>46</v>
      </c>
      <c r="K588">
        <v>1</v>
      </c>
      <c r="L588">
        <v>48478.33</v>
      </c>
      <c r="M588">
        <v>15</v>
      </c>
      <c r="N588">
        <v>41206.58</v>
      </c>
      <c r="O588" t="s">
        <v>47</v>
      </c>
    </row>
    <row r="589" spans="1:15" x14ac:dyDescent="0.3">
      <c r="A589" t="s">
        <v>657</v>
      </c>
      <c r="B589" s="2">
        <v>45879</v>
      </c>
      <c r="C589" t="s">
        <v>58</v>
      </c>
      <c r="D589" t="str">
        <f t="shared" si="9"/>
        <v>August</v>
      </c>
      <c r="E589" t="s">
        <v>72</v>
      </c>
      <c r="F589" t="s">
        <v>53</v>
      </c>
      <c r="G589" t="s">
        <v>65</v>
      </c>
      <c r="H589" t="s">
        <v>19</v>
      </c>
      <c r="I589" t="s">
        <v>20</v>
      </c>
      <c r="J589" t="s">
        <v>43</v>
      </c>
      <c r="K589">
        <v>5</v>
      </c>
      <c r="L589">
        <v>38929.629999999997</v>
      </c>
      <c r="M589">
        <v>0</v>
      </c>
      <c r="N589">
        <v>194648.17</v>
      </c>
      <c r="O589" t="s">
        <v>29</v>
      </c>
    </row>
    <row r="590" spans="1:15" x14ac:dyDescent="0.3">
      <c r="A590" t="s">
        <v>658</v>
      </c>
      <c r="B590" s="2">
        <v>45880</v>
      </c>
      <c r="C590" t="s">
        <v>38</v>
      </c>
      <c r="D590" t="str">
        <f t="shared" si="9"/>
        <v>August</v>
      </c>
      <c r="E590" t="s">
        <v>24</v>
      </c>
      <c r="F590" t="s">
        <v>40</v>
      </c>
      <c r="G590" t="s">
        <v>41</v>
      </c>
      <c r="H590" t="s">
        <v>45</v>
      </c>
      <c r="I590" t="s">
        <v>20</v>
      </c>
      <c r="J590" t="s">
        <v>28</v>
      </c>
      <c r="K590">
        <v>2</v>
      </c>
      <c r="L590">
        <v>5159.51</v>
      </c>
      <c r="M590">
        <v>10</v>
      </c>
      <c r="N590">
        <v>9287.11</v>
      </c>
      <c r="O590" t="s">
        <v>47</v>
      </c>
    </row>
    <row r="591" spans="1:15" x14ac:dyDescent="0.3">
      <c r="A591" t="s">
        <v>659</v>
      </c>
      <c r="B591" s="2">
        <v>45881</v>
      </c>
      <c r="C591" t="s">
        <v>38</v>
      </c>
      <c r="D591" t="str">
        <f t="shared" si="9"/>
        <v>August</v>
      </c>
      <c r="E591" t="s">
        <v>100</v>
      </c>
      <c r="F591" t="s">
        <v>40</v>
      </c>
      <c r="G591" t="s">
        <v>41</v>
      </c>
      <c r="H591" t="s">
        <v>33</v>
      </c>
      <c r="I591" t="s">
        <v>34</v>
      </c>
      <c r="J591" t="s">
        <v>43</v>
      </c>
      <c r="K591">
        <v>3</v>
      </c>
      <c r="L591">
        <v>7656.33</v>
      </c>
      <c r="M591">
        <v>10</v>
      </c>
      <c r="N591">
        <v>20672.099999999999</v>
      </c>
      <c r="O591" t="s">
        <v>47</v>
      </c>
    </row>
    <row r="592" spans="1:15" x14ac:dyDescent="0.3">
      <c r="A592" t="s">
        <v>660</v>
      </c>
      <c r="B592" s="2">
        <v>45882</v>
      </c>
      <c r="C592" t="s">
        <v>31</v>
      </c>
      <c r="D592" t="str">
        <f t="shared" si="9"/>
        <v>August</v>
      </c>
      <c r="E592" t="s">
        <v>69</v>
      </c>
      <c r="F592" t="s">
        <v>25</v>
      </c>
      <c r="G592" t="s">
        <v>81</v>
      </c>
      <c r="H592" t="s">
        <v>33</v>
      </c>
      <c r="I592" t="s">
        <v>42</v>
      </c>
      <c r="J592" t="s">
        <v>21</v>
      </c>
      <c r="K592">
        <v>2</v>
      </c>
      <c r="L592">
        <v>2557.84</v>
      </c>
      <c r="M592">
        <v>15</v>
      </c>
      <c r="N592">
        <v>4348.33</v>
      </c>
      <c r="O592" t="s">
        <v>22</v>
      </c>
    </row>
    <row r="593" spans="1:15" x14ac:dyDescent="0.3">
      <c r="A593" t="s">
        <v>661</v>
      </c>
      <c r="B593" s="2">
        <v>45883</v>
      </c>
      <c r="C593" t="s">
        <v>49</v>
      </c>
      <c r="D593" t="str">
        <f t="shared" si="9"/>
        <v>August</v>
      </c>
      <c r="E593" t="s">
        <v>32</v>
      </c>
      <c r="F593" t="s">
        <v>53</v>
      </c>
      <c r="G593" t="s">
        <v>54</v>
      </c>
      <c r="H593" t="s">
        <v>27</v>
      </c>
      <c r="I593" t="s">
        <v>34</v>
      </c>
      <c r="J593" t="s">
        <v>35</v>
      </c>
      <c r="K593">
        <v>5</v>
      </c>
      <c r="L593">
        <v>28708.82</v>
      </c>
      <c r="M593">
        <v>10</v>
      </c>
      <c r="N593">
        <v>129189.69</v>
      </c>
      <c r="O593" t="s">
        <v>47</v>
      </c>
    </row>
    <row r="594" spans="1:15" x14ac:dyDescent="0.3">
      <c r="A594" t="s">
        <v>662</v>
      </c>
      <c r="B594" s="2">
        <v>45884</v>
      </c>
      <c r="C594" t="s">
        <v>58</v>
      </c>
      <c r="D594" t="str">
        <f t="shared" si="9"/>
        <v>August</v>
      </c>
      <c r="E594" t="s">
        <v>52</v>
      </c>
      <c r="F594" t="s">
        <v>60</v>
      </c>
      <c r="G594" t="s">
        <v>73</v>
      </c>
      <c r="H594" t="s">
        <v>19</v>
      </c>
      <c r="I594" t="s">
        <v>20</v>
      </c>
      <c r="J594" t="s">
        <v>28</v>
      </c>
      <c r="K594">
        <v>3</v>
      </c>
      <c r="L594">
        <v>44603.78</v>
      </c>
      <c r="M594">
        <v>0</v>
      </c>
      <c r="N594">
        <v>133811.32999999999</v>
      </c>
      <c r="O594" t="s">
        <v>47</v>
      </c>
    </row>
    <row r="595" spans="1:15" x14ac:dyDescent="0.3">
      <c r="A595" t="s">
        <v>663</v>
      </c>
      <c r="B595" s="2">
        <v>45885</v>
      </c>
      <c r="C595" t="s">
        <v>15</v>
      </c>
      <c r="D595" t="str">
        <f t="shared" si="9"/>
        <v>August</v>
      </c>
      <c r="E595" t="s">
        <v>100</v>
      </c>
      <c r="F595" t="s">
        <v>60</v>
      </c>
      <c r="G595" t="s">
        <v>78</v>
      </c>
      <c r="H595" t="s">
        <v>19</v>
      </c>
      <c r="I595" t="s">
        <v>20</v>
      </c>
      <c r="J595" t="s">
        <v>46</v>
      </c>
      <c r="K595">
        <v>2</v>
      </c>
      <c r="L595">
        <v>33920.71</v>
      </c>
      <c r="M595">
        <v>0</v>
      </c>
      <c r="N595">
        <v>67841.42</v>
      </c>
      <c r="O595" t="s">
        <v>36</v>
      </c>
    </row>
    <row r="596" spans="1:15" x14ac:dyDescent="0.3">
      <c r="A596" t="s">
        <v>664</v>
      </c>
      <c r="B596" s="2">
        <v>45886</v>
      </c>
      <c r="C596" t="s">
        <v>38</v>
      </c>
      <c r="D596" t="str">
        <f t="shared" si="9"/>
        <v>August</v>
      </c>
      <c r="E596" t="s">
        <v>77</v>
      </c>
      <c r="F596" t="s">
        <v>53</v>
      </c>
      <c r="G596" t="s">
        <v>65</v>
      </c>
      <c r="H596" t="s">
        <v>27</v>
      </c>
      <c r="I596" t="s">
        <v>20</v>
      </c>
      <c r="J596" t="s">
        <v>28</v>
      </c>
      <c r="K596">
        <v>3</v>
      </c>
      <c r="L596">
        <v>38034.720000000001</v>
      </c>
      <c r="M596">
        <v>0</v>
      </c>
      <c r="N596">
        <v>114104.15</v>
      </c>
      <c r="O596" t="s">
        <v>47</v>
      </c>
    </row>
    <row r="597" spans="1:15" x14ac:dyDescent="0.3">
      <c r="A597" t="s">
        <v>665</v>
      </c>
      <c r="B597" s="2">
        <v>45887</v>
      </c>
      <c r="C597" t="s">
        <v>31</v>
      </c>
      <c r="D597" t="str">
        <f t="shared" si="9"/>
        <v>August</v>
      </c>
      <c r="E597" t="s">
        <v>39</v>
      </c>
      <c r="F597" t="s">
        <v>40</v>
      </c>
      <c r="G597" t="s">
        <v>118</v>
      </c>
      <c r="H597" t="s">
        <v>45</v>
      </c>
      <c r="I597" t="s">
        <v>42</v>
      </c>
      <c r="J597" t="s">
        <v>28</v>
      </c>
      <c r="K597">
        <v>1</v>
      </c>
      <c r="L597">
        <v>5743.84</v>
      </c>
      <c r="M597">
        <v>5</v>
      </c>
      <c r="N597">
        <v>5456.65</v>
      </c>
      <c r="O597" t="s">
        <v>36</v>
      </c>
    </row>
    <row r="598" spans="1:15" x14ac:dyDescent="0.3">
      <c r="A598" t="s">
        <v>666</v>
      </c>
      <c r="B598" s="2">
        <v>45888</v>
      </c>
      <c r="C598" t="s">
        <v>15</v>
      </c>
      <c r="D598" t="str">
        <f t="shared" si="9"/>
        <v>August</v>
      </c>
      <c r="E598" t="s">
        <v>16</v>
      </c>
      <c r="F598" t="s">
        <v>17</v>
      </c>
      <c r="G598" t="s">
        <v>18</v>
      </c>
      <c r="H598" t="s">
        <v>33</v>
      </c>
      <c r="I598" t="s">
        <v>20</v>
      </c>
      <c r="J598" t="s">
        <v>43</v>
      </c>
      <c r="K598">
        <v>4</v>
      </c>
      <c r="L598">
        <v>43744.06</v>
      </c>
      <c r="M598">
        <v>10</v>
      </c>
      <c r="N598">
        <v>157478.62</v>
      </c>
      <c r="O598" t="s">
        <v>47</v>
      </c>
    </row>
    <row r="599" spans="1:15" x14ac:dyDescent="0.3">
      <c r="A599" t="s">
        <v>667</v>
      </c>
      <c r="B599" s="2">
        <v>45889</v>
      </c>
      <c r="C599" t="s">
        <v>31</v>
      </c>
      <c r="D599" t="str">
        <f t="shared" si="9"/>
        <v>August</v>
      </c>
      <c r="E599" t="s">
        <v>77</v>
      </c>
      <c r="F599" t="s">
        <v>17</v>
      </c>
      <c r="G599" t="s">
        <v>63</v>
      </c>
      <c r="H599" t="s">
        <v>27</v>
      </c>
      <c r="I599" t="s">
        <v>34</v>
      </c>
      <c r="J599" t="s">
        <v>35</v>
      </c>
      <c r="K599">
        <v>1</v>
      </c>
      <c r="L599">
        <v>65110.75</v>
      </c>
      <c r="M599">
        <v>15</v>
      </c>
      <c r="N599">
        <v>55344.14</v>
      </c>
      <c r="O599" t="s">
        <v>29</v>
      </c>
    </row>
    <row r="600" spans="1:15" x14ac:dyDescent="0.3">
      <c r="A600" t="s">
        <v>668</v>
      </c>
      <c r="B600" s="2">
        <v>45890</v>
      </c>
      <c r="C600" t="s">
        <v>49</v>
      </c>
      <c r="D600" t="str">
        <f t="shared" si="9"/>
        <v>August</v>
      </c>
      <c r="E600" t="s">
        <v>52</v>
      </c>
      <c r="F600" t="s">
        <v>25</v>
      </c>
      <c r="G600" t="s">
        <v>92</v>
      </c>
      <c r="H600" t="s">
        <v>45</v>
      </c>
      <c r="I600" t="s">
        <v>42</v>
      </c>
      <c r="J600" t="s">
        <v>43</v>
      </c>
      <c r="K600">
        <v>4</v>
      </c>
      <c r="L600">
        <v>2066.13</v>
      </c>
      <c r="M600">
        <v>10</v>
      </c>
      <c r="N600">
        <v>7438.09</v>
      </c>
      <c r="O600" t="s">
        <v>22</v>
      </c>
    </row>
    <row r="601" spans="1:15" x14ac:dyDescent="0.3">
      <c r="A601" t="s">
        <v>669</v>
      </c>
      <c r="B601" s="2">
        <v>45891</v>
      </c>
      <c r="C601" t="s">
        <v>58</v>
      </c>
      <c r="D601" t="str">
        <f t="shared" si="9"/>
        <v>August</v>
      </c>
      <c r="E601" t="s">
        <v>16</v>
      </c>
      <c r="F601" t="s">
        <v>40</v>
      </c>
      <c r="G601" t="s">
        <v>115</v>
      </c>
      <c r="H601" t="s">
        <v>45</v>
      </c>
      <c r="I601" t="s">
        <v>34</v>
      </c>
      <c r="J601" t="s">
        <v>46</v>
      </c>
      <c r="K601">
        <v>1</v>
      </c>
      <c r="L601">
        <v>7107.1</v>
      </c>
      <c r="M601">
        <v>5</v>
      </c>
      <c r="N601">
        <v>6751.75</v>
      </c>
      <c r="O601" t="s">
        <v>22</v>
      </c>
    </row>
    <row r="602" spans="1:15" x14ac:dyDescent="0.3">
      <c r="A602" t="s">
        <v>670</v>
      </c>
      <c r="B602" s="2">
        <v>45892</v>
      </c>
      <c r="C602" t="s">
        <v>38</v>
      </c>
      <c r="D602" t="str">
        <f t="shared" si="9"/>
        <v>August</v>
      </c>
      <c r="E602" t="s">
        <v>24</v>
      </c>
      <c r="F602" t="s">
        <v>40</v>
      </c>
      <c r="G602" t="s">
        <v>115</v>
      </c>
      <c r="H602" t="s">
        <v>19</v>
      </c>
      <c r="I602" t="s">
        <v>20</v>
      </c>
      <c r="J602" t="s">
        <v>21</v>
      </c>
      <c r="K602">
        <v>2</v>
      </c>
      <c r="L602">
        <v>6170.87</v>
      </c>
      <c r="M602">
        <v>15</v>
      </c>
      <c r="N602">
        <v>10490.48</v>
      </c>
      <c r="O602" t="s">
        <v>47</v>
      </c>
    </row>
    <row r="603" spans="1:15" x14ac:dyDescent="0.3">
      <c r="A603" t="s">
        <v>671</v>
      </c>
      <c r="B603" s="2">
        <v>45893</v>
      </c>
      <c r="C603" t="s">
        <v>31</v>
      </c>
      <c r="D603" t="str">
        <f t="shared" si="9"/>
        <v>August</v>
      </c>
      <c r="E603" t="s">
        <v>16</v>
      </c>
      <c r="F603" t="s">
        <v>25</v>
      </c>
      <c r="G603" t="s">
        <v>81</v>
      </c>
      <c r="H603" t="s">
        <v>45</v>
      </c>
      <c r="I603" t="s">
        <v>20</v>
      </c>
      <c r="J603" t="s">
        <v>43</v>
      </c>
      <c r="K603">
        <v>2</v>
      </c>
      <c r="L603">
        <v>3001.33</v>
      </c>
      <c r="M603">
        <v>0</v>
      </c>
      <c r="N603">
        <v>6002.66</v>
      </c>
      <c r="O603" t="s">
        <v>22</v>
      </c>
    </row>
    <row r="604" spans="1:15" x14ac:dyDescent="0.3">
      <c r="A604" t="s">
        <v>672</v>
      </c>
      <c r="B604" s="2">
        <v>45894</v>
      </c>
      <c r="C604" t="s">
        <v>38</v>
      </c>
      <c r="D604" t="str">
        <f t="shared" si="9"/>
        <v>August</v>
      </c>
      <c r="E604" t="s">
        <v>72</v>
      </c>
      <c r="F604" t="s">
        <v>60</v>
      </c>
      <c r="G604" t="s">
        <v>70</v>
      </c>
      <c r="H604" t="s">
        <v>33</v>
      </c>
      <c r="I604" t="s">
        <v>20</v>
      </c>
      <c r="J604" t="s">
        <v>43</v>
      </c>
      <c r="K604">
        <v>2</v>
      </c>
      <c r="L604">
        <v>34791.1</v>
      </c>
      <c r="M604">
        <v>5</v>
      </c>
      <c r="N604">
        <v>66103.100000000006</v>
      </c>
      <c r="O604" t="s">
        <v>47</v>
      </c>
    </row>
    <row r="605" spans="1:15" x14ac:dyDescent="0.3">
      <c r="A605" t="s">
        <v>673</v>
      </c>
      <c r="B605" s="2">
        <v>45895</v>
      </c>
      <c r="C605" t="s">
        <v>58</v>
      </c>
      <c r="D605" t="str">
        <f t="shared" si="9"/>
        <v>August</v>
      </c>
      <c r="E605" t="s">
        <v>72</v>
      </c>
      <c r="F605" t="s">
        <v>25</v>
      </c>
      <c r="G605" t="s">
        <v>81</v>
      </c>
      <c r="H605" t="s">
        <v>19</v>
      </c>
      <c r="I605" t="s">
        <v>20</v>
      </c>
      <c r="J605" t="s">
        <v>43</v>
      </c>
      <c r="K605">
        <v>1</v>
      </c>
      <c r="L605">
        <v>2056.67</v>
      </c>
      <c r="M605">
        <v>10</v>
      </c>
      <c r="N605">
        <v>1851</v>
      </c>
      <c r="O605" t="s">
        <v>47</v>
      </c>
    </row>
    <row r="606" spans="1:15" x14ac:dyDescent="0.3">
      <c r="A606" t="s">
        <v>674</v>
      </c>
      <c r="B606" s="2">
        <v>45896</v>
      </c>
      <c r="C606" t="s">
        <v>31</v>
      </c>
      <c r="D606" t="str">
        <f t="shared" si="9"/>
        <v>August</v>
      </c>
      <c r="E606" t="s">
        <v>50</v>
      </c>
      <c r="F606" t="s">
        <v>53</v>
      </c>
      <c r="G606" t="s">
        <v>105</v>
      </c>
      <c r="H606" t="s">
        <v>19</v>
      </c>
      <c r="I606" t="s">
        <v>34</v>
      </c>
      <c r="J606" t="s">
        <v>46</v>
      </c>
      <c r="K606">
        <v>3</v>
      </c>
      <c r="L606">
        <v>36289.81</v>
      </c>
      <c r="M606">
        <v>0</v>
      </c>
      <c r="N606">
        <v>108869.44</v>
      </c>
      <c r="O606" t="s">
        <v>47</v>
      </c>
    </row>
    <row r="607" spans="1:15" x14ac:dyDescent="0.3">
      <c r="A607" t="s">
        <v>675</v>
      </c>
      <c r="B607" s="2">
        <v>45897</v>
      </c>
      <c r="C607" t="s">
        <v>31</v>
      </c>
      <c r="D607" t="str">
        <f t="shared" si="9"/>
        <v>August</v>
      </c>
      <c r="E607" t="s">
        <v>72</v>
      </c>
      <c r="F607" t="s">
        <v>53</v>
      </c>
      <c r="G607" t="s">
        <v>129</v>
      </c>
      <c r="H607" t="s">
        <v>27</v>
      </c>
      <c r="I607" t="s">
        <v>34</v>
      </c>
      <c r="J607" t="s">
        <v>35</v>
      </c>
      <c r="K607">
        <v>2</v>
      </c>
      <c r="L607">
        <v>37433.599999999999</v>
      </c>
      <c r="M607">
        <v>0</v>
      </c>
      <c r="N607">
        <v>74867.19</v>
      </c>
      <c r="O607" t="s">
        <v>47</v>
      </c>
    </row>
    <row r="608" spans="1:15" x14ac:dyDescent="0.3">
      <c r="A608" t="s">
        <v>676</v>
      </c>
      <c r="B608" s="2">
        <v>45898</v>
      </c>
      <c r="C608" t="s">
        <v>49</v>
      </c>
      <c r="D608" t="str">
        <f t="shared" si="9"/>
        <v>August</v>
      </c>
      <c r="E608" t="s">
        <v>100</v>
      </c>
      <c r="F608" t="s">
        <v>60</v>
      </c>
      <c r="G608" t="s">
        <v>73</v>
      </c>
      <c r="H608" t="s">
        <v>27</v>
      </c>
      <c r="I608" t="s">
        <v>34</v>
      </c>
      <c r="J608" t="s">
        <v>46</v>
      </c>
      <c r="K608">
        <v>1</v>
      </c>
      <c r="L608">
        <v>33428.080000000002</v>
      </c>
      <c r="M608">
        <v>5</v>
      </c>
      <c r="N608">
        <v>31756.67</v>
      </c>
      <c r="O608" t="s">
        <v>47</v>
      </c>
    </row>
    <row r="609" spans="1:15" x14ac:dyDescent="0.3">
      <c r="A609" t="s">
        <v>677</v>
      </c>
      <c r="B609" s="2">
        <v>45899</v>
      </c>
      <c r="C609" t="s">
        <v>58</v>
      </c>
      <c r="D609" t="str">
        <f t="shared" si="9"/>
        <v>August</v>
      </c>
      <c r="E609" t="s">
        <v>72</v>
      </c>
      <c r="F609" t="s">
        <v>53</v>
      </c>
      <c r="G609" t="s">
        <v>54</v>
      </c>
      <c r="H609" t="s">
        <v>45</v>
      </c>
      <c r="I609" t="s">
        <v>42</v>
      </c>
      <c r="J609" t="s">
        <v>43</v>
      </c>
      <c r="K609">
        <v>3</v>
      </c>
      <c r="L609">
        <v>35807.980000000003</v>
      </c>
      <c r="M609">
        <v>10</v>
      </c>
      <c r="N609">
        <v>96681.55</v>
      </c>
      <c r="O609" t="s">
        <v>22</v>
      </c>
    </row>
    <row r="610" spans="1:15" x14ac:dyDescent="0.3">
      <c r="A610" t="s">
        <v>678</v>
      </c>
      <c r="B610" s="2">
        <v>45900</v>
      </c>
      <c r="C610" t="s">
        <v>58</v>
      </c>
      <c r="D610" t="str">
        <f t="shared" si="9"/>
        <v>August</v>
      </c>
      <c r="E610" t="s">
        <v>24</v>
      </c>
      <c r="F610" t="s">
        <v>17</v>
      </c>
      <c r="G610" t="s">
        <v>63</v>
      </c>
      <c r="H610" t="s">
        <v>33</v>
      </c>
      <c r="I610" t="s">
        <v>42</v>
      </c>
      <c r="J610" t="s">
        <v>46</v>
      </c>
      <c r="K610">
        <v>5</v>
      </c>
      <c r="L610">
        <v>65517.64</v>
      </c>
      <c r="M610">
        <v>0</v>
      </c>
      <c r="N610">
        <v>327588.21000000002</v>
      </c>
      <c r="O610" t="s">
        <v>47</v>
      </c>
    </row>
    <row r="611" spans="1:15" x14ac:dyDescent="0.3">
      <c r="A611" t="s">
        <v>679</v>
      </c>
      <c r="B611" s="2">
        <v>45901</v>
      </c>
      <c r="C611" t="s">
        <v>38</v>
      </c>
      <c r="D611" t="str">
        <f t="shared" si="9"/>
        <v>September</v>
      </c>
      <c r="E611" t="s">
        <v>39</v>
      </c>
      <c r="F611" t="s">
        <v>17</v>
      </c>
      <c r="G611" t="s">
        <v>123</v>
      </c>
      <c r="H611" t="s">
        <v>19</v>
      </c>
      <c r="I611" t="s">
        <v>20</v>
      </c>
      <c r="J611" t="s">
        <v>28</v>
      </c>
      <c r="K611">
        <v>5</v>
      </c>
      <c r="L611">
        <v>71781.289999999994</v>
      </c>
      <c r="M611">
        <v>0</v>
      </c>
      <c r="N611">
        <v>358906.45</v>
      </c>
      <c r="O611" t="s">
        <v>22</v>
      </c>
    </row>
    <row r="612" spans="1:15" x14ac:dyDescent="0.3">
      <c r="A612" t="s">
        <v>680</v>
      </c>
      <c r="B612" s="2">
        <v>45902</v>
      </c>
      <c r="C612" t="s">
        <v>49</v>
      </c>
      <c r="D612" t="str">
        <f t="shared" si="9"/>
        <v>September</v>
      </c>
      <c r="E612" t="s">
        <v>39</v>
      </c>
      <c r="F612" t="s">
        <v>60</v>
      </c>
      <c r="G612" t="s">
        <v>73</v>
      </c>
      <c r="H612" t="s">
        <v>27</v>
      </c>
      <c r="I612" t="s">
        <v>34</v>
      </c>
      <c r="J612" t="s">
        <v>43</v>
      </c>
      <c r="K612">
        <v>4</v>
      </c>
      <c r="L612">
        <v>39587.54</v>
      </c>
      <c r="M612">
        <v>0</v>
      </c>
      <c r="N612">
        <v>158350.16</v>
      </c>
      <c r="O612" t="s">
        <v>29</v>
      </c>
    </row>
    <row r="613" spans="1:15" x14ac:dyDescent="0.3">
      <c r="A613" t="s">
        <v>681</v>
      </c>
      <c r="B613" s="2">
        <v>45903</v>
      </c>
      <c r="C613" t="s">
        <v>38</v>
      </c>
      <c r="D613" t="str">
        <f t="shared" si="9"/>
        <v>September</v>
      </c>
      <c r="E613" t="s">
        <v>69</v>
      </c>
      <c r="F613" t="s">
        <v>25</v>
      </c>
      <c r="G613" t="s">
        <v>92</v>
      </c>
      <c r="H613" t="s">
        <v>33</v>
      </c>
      <c r="I613" t="s">
        <v>42</v>
      </c>
      <c r="J613" t="s">
        <v>43</v>
      </c>
      <c r="K613">
        <v>5</v>
      </c>
      <c r="L613">
        <v>3085.61</v>
      </c>
      <c r="M613">
        <v>20</v>
      </c>
      <c r="N613">
        <v>12342.46</v>
      </c>
      <c r="O613" t="s">
        <v>29</v>
      </c>
    </row>
    <row r="614" spans="1:15" x14ac:dyDescent="0.3">
      <c r="A614" t="s">
        <v>682</v>
      </c>
      <c r="B614" s="2">
        <v>45904</v>
      </c>
      <c r="C614" t="s">
        <v>31</v>
      </c>
      <c r="D614" t="str">
        <f t="shared" si="9"/>
        <v>September</v>
      </c>
      <c r="E614" t="s">
        <v>39</v>
      </c>
      <c r="F614" t="s">
        <v>17</v>
      </c>
      <c r="G614" t="s">
        <v>123</v>
      </c>
      <c r="H614" t="s">
        <v>33</v>
      </c>
      <c r="I614" t="s">
        <v>34</v>
      </c>
      <c r="J614" t="s">
        <v>28</v>
      </c>
      <c r="K614">
        <v>1</v>
      </c>
      <c r="L614">
        <v>47787.25</v>
      </c>
      <c r="M614">
        <v>5</v>
      </c>
      <c r="N614">
        <v>45397.88</v>
      </c>
      <c r="O614" t="s">
        <v>47</v>
      </c>
    </row>
    <row r="615" spans="1:15" x14ac:dyDescent="0.3">
      <c r="A615" t="s">
        <v>683</v>
      </c>
      <c r="B615" s="2">
        <v>45905</v>
      </c>
      <c r="C615" t="s">
        <v>49</v>
      </c>
      <c r="D615" t="str">
        <f t="shared" si="9"/>
        <v>September</v>
      </c>
      <c r="E615" t="s">
        <v>16</v>
      </c>
      <c r="F615" t="s">
        <v>53</v>
      </c>
      <c r="G615" t="s">
        <v>65</v>
      </c>
      <c r="H615" t="s">
        <v>45</v>
      </c>
      <c r="I615" t="s">
        <v>20</v>
      </c>
      <c r="J615" t="s">
        <v>35</v>
      </c>
      <c r="K615">
        <v>4</v>
      </c>
      <c r="L615">
        <v>32305.58</v>
      </c>
      <c r="M615">
        <v>5</v>
      </c>
      <c r="N615">
        <v>122761.22</v>
      </c>
      <c r="O615" t="s">
        <v>47</v>
      </c>
    </row>
    <row r="616" spans="1:15" x14ac:dyDescent="0.3">
      <c r="A616" t="s">
        <v>684</v>
      </c>
      <c r="B616" s="2">
        <v>45906</v>
      </c>
      <c r="C616" t="s">
        <v>49</v>
      </c>
      <c r="D616" t="str">
        <f t="shared" si="9"/>
        <v>September</v>
      </c>
      <c r="E616" t="s">
        <v>52</v>
      </c>
      <c r="F616" t="s">
        <v>17</v>
      </c>
      <c r="G616" t="s">
        <v>67</v>
      </c>
      <c r="H616" t="s">
        <v>27</v>
      </c>
      <c r="I616" t="s">
        <v>42</v>
      </c>
      <c r="J616" t="s">
        <v>28</v>
      </c>
      <c r="K616">
        <v>2</v>
      </c>
      <c r="L616">
        <v>52704.4</v>
      </c>
      <c r="M616">
        <v>10</v>
      </c>
      <c r="N616">
        <v>94867.93</v>
      </c>
      <c r="O616" t="s">
        <v>36</v>
      </c>
    </row>
    <row r="617" spans="1:15" x14ac:dyDescent="0.3">
      <c r="A617" t="s">
        <v>685</v>
      </c>
      <c r="B617" s="2">
        <v>45907</v>
      </c>
      <c r="C617" t="s">
        <v>31</v>
      </c>
      <c r="D617" t="str">
        <f t="shared" si="9"/>
        <v>September</v>
      </c>
      <c r="E617" t="s">
        <v>52</v>
      </c>
      <c r="F617" t="s">
        <v>40</v>
      </c>
      <c r="G617" t="s">
        <v>75</v>
      </c>
      <c r="H617" t="s">
        <v>45</v>
      </c>
      <c r="I617" t="s">
        <v>20</v>
      </c>
      <c r="J617" t="s">
        <v>28</v>
      </c>
      <c r="K617">
        <v>1</v>
      </c>
      <c r="L617">
        <v>7927.41</v>
      </c>
      <c r="M617">
        <v>15</v>
      </c>
      <c r="N617">
        <v>6738.3</v>
      </c>
      <c r="O617" t="s">
        <v>47</v>
      </c>
    </row>
    <row r="618" spans="1:15" x14ac:dyDescent="0.3">
      <c r="A618" t="s">
        <v>686</v>
      </c>
      <c r="B618" s="2">
        <v>45908</v>
      </c>
      <c r="C618" t="s">
        <v>58</v>
      </c>
      <c r="D618" t="str">
        <f t="shared" si="9"/>
        <v>September</v>
      </c>
      <c r="E618" t="s">
        <v>77</v>
      </c>
      <c r="F618" t="s">
        <v>53</v>
      </c>
      <c r="G618" t="s">
        <v>65</v>
      </c>
      <c r="H618" t="s">
        <v>45</v>
      </c>
      <c r="I618" t="s">
        <v>20</v>
      </c>
      <c r="J618" t="s">
        <v>43</v>
      </c>
      <c r="K618">
        <v>1</v>
      </c>
      <c r="L618">
        <v>37936.21</v>
      </c>
      <c r="M618">
        <v>5</v>
      </c>
      <c r="N618">
        <v>36039.4</v>
      </c>
      <c r="O618" t="s">
        <v>47</v>
      </c>
    </row>
    <row r="619" spans="1:15" x14ac:dyDescent="0.3">
      <c r="A619" t="s">
        <v>687</v>
      </c>
      <c r="B619" s="2">
        <v>45909</v>
      </c>
      <c r="C619" t="s">
        <v>58</v>
      </c>
      <c r="D619" t="str">
        <f t="shared" si="9"/>
        <v>September</v>
      </c>
      <c r="E619" t="s">
        <v>77</v>
      </c>
      <c r="F619" t="s">
        <v>17</v>
      </c>
      <c r="G619" t="s">
        <v>67</v>
      </c>
      <c r="H619" t="s">
        <v>33</v>
      </c>
      <c r="I619" t="s">
        <v>42</v>
      </c>
      <c r="J619" t="s">
        <v>46</v>
      </c>
      <c r="K619">
        <v>3</v>
      </c>
      <c r="L619">
        <v>49198.13</v>
      </c>
      <c r="M619">
        <v>0</v>
      </c>
      <c r="N619">
        <v>147594.38</v>
      </c>
      <c r="O619" t="s">
        <v>47</v>
      </c>
    </row>
    <row r="620" spans="1:15" x14ac:dyDescent="0.3">
      <c r="A620" t="s">
        <v>688</v>
      </c>
      <c r="B620" s="2">
        <v>45910</v>
      </c>
      <c r="C620" t="s">
        <v>31</v>
      </c>
      <c r="D620" t="str">
        <f t="shared" si="9"/>
        <v>September</v>
      </c>
      <c r="E620" t="s">
        <v>32</v>
      </c>
      <c r="F620" t="s">
        <v>60</v>
      </c>
      <c r="G620" t="s">
        <v>78</v>
      </c>
      <c r="H620" t="s">
        <v>27</v>
      </c>
      <c r="I620" t="s">
        <v>34</v>
      </c>
      <c r="J620" t="s">
        <v>21</v>
      </c>
      <c r="K620">
        <v>1</v>
      </c>
      <c r="L620">
        <v>33396.42</v>
      </c>
      <c r="M620">
        <v>15</v>
      </c>
      <c r="N620">
        <v>28386.959999999999</v>
      </c>
      <c r="O620" t="s">
        <v>29</v>
      </c>
    </row>
    <row r="621" spans="1:15" x14ac:dyDescent="0.3">
      <c r="A621" t="s">
        <v>689</v>
      </c>
      <c r="B621" s="2">
        <v>45911</v>
      </c>
      <c r="C621" t="s">
        <v>49</v>
      </c>
      <c r="D621" t="str">
        <f t="shared" si="9"/>
        <v>September</v>
      </c>
      <c r="E621" t="s">
        <v>77</v>
      </c>
      <c r="F621" t="s">
        <v>25</v>
      </c>
      <c r="G621" t="s">
        <v>56</v>
      </c>
      <c r="H621" t="s">
        <v>45</v>
      </c>
      <c r="I621" t="s">
        <v>42</v>
      </c>
      <c r="J621" t="s">
        <v>46</v>
      </c>
      <c r="K621">
        <v>5</v>
      </c>
      <c r="L621">
        <v>2140.98</v>
      </c>
      <c r="M621">
        <v>0</v>
      </c>
      <c r="N621">
        <v>10704.92</v>
      </c>
      <c r="O621" t="s">
        <v>47</v>
      </c>
    </row>
    <row r="622" spans="1:15" x14ac:dyDescent="0.3">
      <c r="A622" t="s">
        <v>690</v>
      </c>
      <c r="B622" s="2">
        <v>45912</v>
      </c>
      <c r="C622" t="s">
        <v>38</v>
      </c>
      <c r="D622" t="str">
        <f t="shared" si="9"/>
        <v>September</v>
      </c>
      <c r="E622" t="s">
        <v>16</v>
      </c>
      <c r="F622" t="s">
        <v>40</v>
      </c>
      <c r="G622" t="s">
        <v>75</v>
      </c>
      <c r="H622" t="s">
        <v>27</v>
      </c>
      <c r="I622" t="s">
        <v>20</v>
      </c>
      <c r="J622" t="s">
        <v>46</v>
      </c>
      <c r="K622">
        <v>3</v>
      </c>
      <c r="L622">
        <v>6548.64</v>
      </c>
      <c r="M622">
        <v>10</v>
      </c>
      <c r="N622">
        <v>17681.34</v>
      </c>
      <c r="O622" t="s">
        <v>47</v>
      </c>
    </row>
    <row r="623" spans="1:15" x14ac:dyDescent="0.3">
      <c r="A623" t="s">
        <v>691</v>
      </c>
      <c r="B623" s="2">
        <v>45913</v>
      </c>
      <c r="C623" t="s">
        <v>38</v>
      </c>
      <c r="D623" t="str">
        <f t="shared" si="9"/>
        <v>September</v>
      </c>
      <c r="E623" t="s">
        <v>32</v>
      </c>
      <c r="F623" t="s">
        <v>40</v>
      </c>
      <c r="G623" t="s">
        <v>75</v>
      </c>
      <c r="H623" t="s">
        <v>45</v>
      </c>
      <c r="I623" t="s">
        <v>20</v>
      </c>
      <c r="J623" t="s">
        <v>46</v>
      </c>
      <c r="K623">
        <v>1</v>
      </c>
      <c r="L623">
        <v>6254.95</v>
      </c>
      <c r="M623">
        <v>5</v>
      </c>
      <c r="N623">
        <v>5942.2</v>
      </c>
      <c r="O623" t="s">
        <v>47</v>
      </c>
    </row>
    <row r="624" spans="1:15" x14ac:dyDescent="0.3">
      <c r="A624" t="s">
        <v>692</v>
      </c>
      <c r="B624" s="2">
        <v>45914</v>
      </c>
      <c r="C624" t="s">
        <v>31</v>
      </c>
      <c r="D624" t="str">
        <f t="shared" si="9"/>
        <v>September</v>
      </c>
      <c r="E624" t="s">
        <v>39</v>
      </c>
      <c r="F624" t="s">
        <v>17</v>
      </c>
      <c r="G624" t="s">
        <v>123</v>
      </c>
      <c r="H624" t="s">
        <v>19</v>
      </c>
      <c r="I624" t="s">
        <v>34</v>
      </c>
      <c r="J624" t="s">
        <v>21</v>
      </c>
      <c r="K624">
        <v>4</v>
      </c>
      <c r="L624">
        <v>67610.19</v>
      </c>
      <c r="M624">
        <v>10</v>
      </c>
      <c r="N624">
        <v>243396.68</v>
      </c>
      <c r="O624" t="s">
        <v>36</v>
      </c>
    </row>
    <row r="625" spans="1:15" x14ac:dyDescent="0.3">
      <c r="A625" t="s">
        <v>693</v>
      </c>
      <c r="B625" s="2">
        <v>45915</v>
      </c>
      <c r="C625" t="s">
        <v>38</v>
      </c>
      <c r="D625" t="str">
        <f t="shared" si="9"/>
        <v>September</v>
      </c>
      <c r="E625" t="s">
        <v>50</v>
      </c>
      <c r="F625" t="s">
        <v>53</v>
      </c>
      <c r="G625" t="s">
        <v>105</v>
      </c>
      <c r="H625" t="s">
        <v>45</v>
      </c>
      <c r="I625" t="s">
        <v>34</v>
      </c>
      <c r="J625" t="s">
        <v>46</v>
      </c>
      <c r="K625">
        <v>4</v>
      </c>
      <c r="L625">
        <v>38871.730000000003</v>
      </c>
      <c r="M625">
        <v>10</v>
      </c>
      <c r="N625">
        <v>139938.23999999999</v>
      </c>
      <c r="O625" t="s">
        <v>47</v>
      </c>
    </row>
    <row r="626" spans="1:15" x14ac:dyDescent="0.3">
      <c r="A626" t="s">
        <v>694</v>
      </c>
      <c r="B626" s="2">
        <v>45916</v>
      </c>
      <c r="C626" t="s">
        <v>58</v>
      </c>
      <c r="D626" t="str">
        <f t="shared" si="9"/>
        <v>September</v>
      </c>
      <c r="E626" t="s">
        <v>24</v>
      </c>
      <c r="F626" t="s">
        <v>17</v>
      </c>
      <c r="G626" t="s">
        <v>63</v>
      </c>
      <c r="H626" t="s">
        <v>27</v>
      </c>
      <c r="I626" t="s">
        <v>20</v>
      </c>
      <c r="J626" t="s">
        <v>43</v>
      </c>
      <c r="K626">
        <v>5</v>
      </c>
      <c r="L626">
        <v>52716.77</v>
      </c>
      <c r="M626">
        <v>0</v>
      </c>
      <c r="N626">
        <v>263583.87</v>
      </c>
      <c r="O626" t="s">
        <v>47</v>
      </c>
    </row>
    <row r="627" spans="1:15" x14ac:dyDescent="0.3">
      <c r="A627" t="s">
        <v>695</v>
      </c>
      <c r="B627" s="2">
        <v>45917</v>
      </c>
      <c r="C627" t="s">
        <v>49</v>
      </c>
      <c r="D627" t="str">
        <f t="shared" si="9"/>
        <v>September</v>
      </c>
      <c r="E627" t="s">
        <v>69</v>
      </c>
      <c r="F627" t="s">
        <v>53</v>
      </c>
      <c r="G627" t="s">
        <v>129</v>
      </c>
      <c r="H627" t="s">
        <v>19</v>
      </c>
      <c r="I627" t="s">
        <v>34</v>
      </c>
      <c r="J627" t="s">
        <v>35</v>
      </c>
      <c r="K627">
        <v>2</v>
      </c>
      <c r="L627">
        <v>38420.400000000001</v>
      </c>
      <c r="M627">
        <v>10</v>
      </c>
      <c r="N627">
        <v>69156.710000000006</v>
      </c>
      <c r="O627" t="s">
        <v>29</v>
      </c>
    </row>
    <row r="628" spans="1:15" x14ac:dyDescent="0.3">
      <c r="A628" t="s">
        <v>696</v>
      </c>
      <c r="B628" s="2">
        <v>45918</v>
      </c>
      <c r="C628" t="s">
        <v>31</v>
      </c>
      <c r="D628" t="str">
        <f t="shared" si="9"/>
        <v>September</v>
      </c>
      <c r="E628" t="s">
        <v>39</v>
      </c>
      <c r="F628" t="s">
        <v>25</v>
      </c>
      <c r="G628" t="s">
        <v>92</v>
      </c>
      <c r="H628" t="s">
        <v>19</v>
      </c>
      <c r="I628" t="s">
        <v>34</v>
      </c>
      <c r="J628" t="s">
        <v>21</v>
      </c>
      <c r="K628">
        <v>5</v>
      </c>
      <c r="L628">
        <v>3090.12</v>
      </c>
      <c r="M628">
        <v>5</v>
      </c>
      <c r="N628">
        <v>14678.05</v>
      </c>
      <c r="O628" t="s">
        <v>36</v>
      </c>
    </row>
    <row r="629" spans="1:15" x14ac:dyDescent="0.3">
      <c r="A629" t="s">
        <v>697</v>
      </c>
      <c r="B629" s="2">
        <v>45919</v>
      </c>
      <c r="C629" t="s">
        <v>49</v>
      </c>
      <c r="D629" t="str">
        <f t="shared" si="9"/>
        <v>September</v>
      </c>
      <c r="E629" t="s">
        <v>52</v>
      </c>
      <c r="F629" t="s">
        <v>60</v>
      </c>
      <c r="G629" t="s">
        <v>73</v>
      </c>
      <c r="H629" t="s">
        <v>45</v>
      </c>
      <c r="I629" t="s">
        <v>34</v>
      </c>
      <c r="J629" t="s">
        <v>28</v>
      </c>
      <c r="K629">
        <v>3</v>
      </c>
      <c r="L629">
        <v>41615.870000000003</v>
      </c>
      <c r="M629">
        <v>10</v>
      </c>
      <c r="N629">
        <v>112362.86</v>
      </c>
      <c r="O629" t="s">
        <v>36</v>
      </c>
    </row>
    <row r="630" spans="1:15" x14ac:dyDescent="0.3">
      <c r="A630" t="s">
        <v>698</v>
      </c>
      <c r="B630" s="2">
        <v>45920</v>
      </c>
      <c r="C630" t="s">
        <v>15</v>
      </c>
      <c r="D630" t="str">
        <f t="shared" si="9"/>
        <v>September</v>
      </c>
      <c r="E630" t="s">
        <v>16</v>
      </c>
      <c r="F630" t="s">
        <v>17</v>
      </c>
      <c r="G630" t="s">
        <v>18</v>
      </c>
      <c r="H630" t="s">
        <v>19</v>
      </c>
      <c r="I630" t="s">
        <v>20</v>
      </c>
      <c r="J630" t="s">
        <v>28</v>
      </c>
      <c r="K630">
        <v>2</v>
      </c>
      <c r="L630">
        <v>53357.15</v>
      </c>
      <c r="M630">
        <v>5</v>
      </c>
      <c r="N630">
        <v>101378.59</v>
      </c>
      <c r="O630" t="s">
        <v>22</v>
      </c>
    </row>
    <row r="631" spans="1:15" x14ac:dyDescent="0.3">
      <c r="A631" t="s">
        <v>699</v>
      </c>
      <c r="B631" s="2">
        <v>45921</v>
      </c>
      <c r="C631" t="s">
        <v>49</v>
      </c>
      <c r="D631" t="str">
        <f t="shared" si="9"/>
        <v>September</v>
      </c>
      <c r="E631" t="s">
        <v>69</v>
      </c>
      <c r="F631" t="s">
        <v>60</v>
      </c>
      <c r="G631" t="s">
        <v>70</v>
      </c>
      <c r="H631" t="s">
        <v>33</v>
      </c>
      <c r="I631" t="s">
        <v>20</v>
      </c>
      <c r="J631" t="s">
        <v>28</v>
      </c>
      <c r="K631">
        <v>5</v>
      </c>
      <c r="L631">
        <v>39544.339999999997</v>
      </c>
      <c r="M631">
        <v>0</v>
      </c>
      <c r="N631">
        <v>197721.69</v>
      </c>
      <c r="O631" t="s">
        <v>22</v>
      </c>
    </row>
    <row r="632" spans="1:15" x14ac:dyDescent="0.3">
      <c r="A632" t="s">
        <v>700</v>
      </c>
      <c r="B632" s="2">
        <v>45922</v>
      </c>
      <c r="C632" t="s">
        <v>58</v>
      </c>
      <c r="D632" t="str">
        <f t="shared" si="9"/>
        <v>September</v>
      </c>
      <c r="E632" t="s">
        <v>77</v>
      </c>
      <c r="F632" t="s">
        <v>53</v>
      </c>
      <c r="G632" t="s">
        <v>54</v>
      </c>
      <c r="H632" t="s">
        <v>19</v>
      </c>
      <c r="I632" t="s">
        <v>20</v>
      </c>
      <c r="J632" t="s">
        <v>28</v>
      </c>
      <c r="K632">
        <v>1</v>
      </c>
      <c r="L632">
        <v>30396.2</v>
      </c>
      <c r="M632">
        <v>15</v>
      </c>
      <c r="N632">
        <v>25836.77</v>
      </c>
      <c r="O632" t="s">
        <v>36</v>
      </c>
    </row>
    <row r="633" spans="1:15" x14ac:dyDescent="0.3">
      <c r="A633" t="s">
        <v>701</v>
      </c>
      <c r="B633" s="2">
        <v>45923</v>
      </c>
      <c r="C633" t="s">
        <v>38</v>
      </c>
      <c r="D633" t="str">
        <f t="shared" si="9"/>
        <v>September</v>
      </c>
      <c r="E633" t="s">
        <v>100</v>
      </c>
      <c r="F633" t="s">
        <v>60</v>
      </c>
      <c r="G633" t="s">
        <v>61</v>
      </c>
      <c r="H633" t="s">
        <v>27</v>
      </c>
      <c r="I633" t="s">
        <v>20</v>
      </c>
      <c r="J633" t="s">
        <v>21</v>
      </c>
      <c r="K633">
        <v>2</v>
      </c>
      <c r="L633">
        <v>42442.85</v>
      </c>
      <c r="M633">
        <v>10</v>
      </c>
      <c r="N633">
        <v>76397.14</v>
      </c>
      <c r="O633" t="s">
        <v>47</v>
      </c>
    </row>
    <row r="634" spans="1:15" x14ac:dyDescent="0.3">
      <c r="A634" t="s">
        <v>702</v>
      </c>
      <c r="B634" s="2">
        <v>45924</v>
      </c>
      <c r="C634" t="s">
        <v>38</v>
      </c>
      <c r="D634" t="str">
        <f t="shared" si="9"/>
        <v>September</v>
      </c>
      <c r="E634" t="s">
        <v>16</v>
      </c>
      <c r="F634" t="s">
        <v>40</v>
      </c>
      <c r="G634" t="s">
        <v>75</v>
      </c>
      <c r="H634" t="s">
        <v>45</v>
      </c>
      <c r="I634" t="s">
        <v>42</v>
      </c>
      <c r="J634" t="s">
        <v>21</v>
      </c>
      <c r="K634">
        <v>2</v>
      </c>
      <c r="L634">
        <v>7046.2</v>
      </c>
      <c r="M634">
        <v>0</v>
      </c>
      <c r="N634">
        <v>14092.4</v>
      </c>
      <c r="O634" t="s">
        <v>47</v>
      </c>
    </row>
    <row r="635" spans="1:15" x14ac:dyDescent="0.3">
      <c r="A635" t="s">
        <v>703</v>
      </c>
      <c r="B635" s="2">
        <v>45925</v>
      </c>
      <c r="C635" t="s">
        <v>15</v>
      </c>
      <c r="D635" t="str">
        <f t="shared" si="9"/>
        <v>September</v>
      </c>
      <c r="E635" t="s">
        <v>16</v>
      </c>
      <c r="F635" t="s">
        <v>25</v>
      </c>
      <c r="G635" t="s">
        <v>56</v>
      </c>
      <c r="H635" t="s">
        <v>45</v>
      </c>
      <c r="I635" t="s">
        <v>42</v>
      </c>
      <c r="J635" t="s">
        <v>35</v>
      </c>
      <c r="K635">
        <v>1</v>
      </c>
      <c r="L635">
        <v>2592.0100000000002</v>
      </c>
      <c r="M635">
        <v>10</v>
      </c>
      <c r="N635">
        <v>2332.81</v>
      </c>
      <c r="O635" t="s">
        <v>47</v>
      </c>
    </row>
    <row r="636" spans="1:15" x14ac:dyDescent="0.3">
      <c r="A636" t="s">
        <v>704</v>
      </c>
      <c r="B636" s="2">
        <v>45926</v>
      </c>
      <c r="C636" t="s">
        <v>49</v>
      </c>
      <c r="D636" t="str">
        <f t="shared" si="9"/>
        <v>September</v>
      </c>
      <c r="E636" t="s">
        <v>52</v>
      </c>
      <c r="F636" t="s">
        <v>53</v>
      </c>
      <c r="G636" t="s">
        <v>129</v>
      </c>
      <c r="H636" t="s">
        <v>19</v>
      </c>
      <c r="I636" t="s">
        <v>20</v>
      </c>
      <c r="J636" t="s">
        <v>21</v>
      </c>
      <c r="K636">
        <v>4</v>
      </c>
      <c r="L636">
        <v>37246.769999999997</v>
      </c>
      <c r="M636">
        <v>10</v>
      </c>
      <c r="N636">
        <v>134088.35</v>
      </c>
      <c r="O636" t="s">
        <v>29</v>
      </c>
    </row>
    <row r="637" spans="1:15" x14ac:dyDescent="0.3">
      <c r="A637" t="s">
        <v>705</v>
      </c>
      <c r="B637" s="2">
        <v>45927</v>
      </c>
      <c r="C637" t="s">
        <v>15</v>
      </c>
      <c r="D637" t="str">
        <f t="shared" si="9"/>
        <v>September</v>
      </c>
      <c r="E637" t="s">
        <v>24</v>
      </c>
      <c r="F637" t="s">
        <v>53</v>
      </c>
      <c r="G637" t="s">
        <v>129</v>
      </c>
      <c r="H637" t="s">
        <v>45</v>
      </c>
      <c r="I637" t="s">
        <v>34</v>
      </c>
      <c r="J637" t="s">
        <v>28</v>
      </c>
      <c r="K637">
        <v>4</v>
      </c>
      <c r="L637">
        <v>39143.51</v>
      </c>
      <c r="M637">
        <v>0</v>
      </c>
      <c r="N637">
        <v>156574.03</v>
      </c>
      <c r="O637" t="s">
        <v>47</v>
      </c>
    </row>
    <row r="638" spans="1:15" x14ac:dyDescent="0.3">
      <c r="A638" t="s">
        <v>706</v>
      </c>
      <c r="B638" s="2">
        <v>45928</v>
      </c>
      <c r="C638" t="s">
        <v>49</v>
      </c>
      <c r="D638" t="str">
        <f t="shared" si="9"/>
        <v>September</v>
      </c>
      <c r="E638" t="s">
        <v>32</v>
      </c>
      <c r="F638" t="s">
        <v>17</v>
      </c>
      <c r="G638" t="s">
        <v>123</v>
      </c>
      <c r="H638" t="s">
        <v>27</v>
      </c>
      <c r="I638" t="s">
        <v>20</v>
      </c>
      <c r="J638" t="s">
        <v>28</v>
      </c>
      <c r="K638">
        <v>3</v>
      </c>
      <c r="L638">
        <v>46984.81</v>
      </c>
      <c r="M638">
        <v>10</v>
      </c>
      <c r="N638">
        <v>126858.98</v>
      </c>
      <c r="O638" t="s">
        <v>36</v>
      </c>
    </row>
    <row r="639" spans="1:15" x14ac:dyDescent="0.3">
      <c r="A639" t="s">
        <v>707</v>
      </c>
      <c r="B639" s="2">
        <v>45929</v>
      </c>
      <c r="C639" t="s">
        <v>31</v>
      </c>
      <c r="D639" t="str">
        <f t="shared" si="9"/>
        <v>September</v>
      </c>
      <c r="E639" t="s">
        <v>52</v>
      </c>
      <c r="F639" t="s">
        <v>53</v>
      </c>
      <c r="G639" t="s">
        <v>65</v>
      </c>
      <c r="H639" t="s">
        <v>19</v>
      </c>
      <c r="I639" t="s">
        <v>42</v>
      </c>
      <c r="J639" t="s">
        <v>46</v>
      </c>
      <c r="K639">
        <v>3</v>
      </c>
      <c r="L639">
        <v>37337.769999999997</v>
      </c>
      <c r="M639">
        <v>20</v>
      </c>
      <c r="N639">
        <v>89610.65</v>
      </c>
      <c r="O639" t="s">
        <v>36</v>
      </c>
    </row>
    <row r="640" spans="1:15" x14ac:dyDescent="0.3">
      <c r="A640" t="s">
        <v>708</v>
      </c>
      <c r="B640" s="2">
        <v>45930</v>
      </c>
      <c r="C640" t="s">
        <v>49</v>
      </c>
      <c r="D640" t="str">
        <f t="shared" si="9"/>
        <v>September</v>
      </c>
      <c r="E640" t="s">
        <v>32</v>
      </c>
      <c r="F640" t="s">
        <v>17</v>
      </c>
      <c r="G640" t="s">
        <v>67</v>
      </c>
      <c r="H640" t="s">
        <v>19</v>
      </c>
      <c r="I640" t="s">
        <v>20</v>
      </c>
      <c r="J640" t="s">
        <v>21</v>
      </c>
      <c r="K640">
        <v>1</v>
      </c>
      <c r="L640">
        <v>67727.740000000005</v>
      </c>
      <c r="M640">
        <v>5</v>
      </c>
      <c r="N640">
        <v>64341.35</v>
      </c>
      <c r="O640" t="s">
        <v>36</v>
      </c>
    </row>
    <row r="641" spans="1:15" x14ac:dyDescent="0.3">
      <c r="A641" t="s">
        <v>709</v>
      </c>
      <c r="B641" s="2">
        <v>45931</v>
      </c>
      <c r="C641" t="s">
        <v>58</v>
      </c>
      <c r="D641" t="str">
        <f t="shared" si="9"/>
        <v>October</v>
      </c>
      <c r="E641" t="s">
        <v>50</v>
      </c>
      <c r="F641" t="s">
        <v>40</v>
      </c>
      <c r="G641" t="s">
        <v>75</v>
      </c>
      <c r="H641" t="s">
        <v>33</v>
      </c>
      <c r="I641" t="s">
        <v>20</v>
      </c>
      <c r="J641" t="s">
        <v>43</v>
      </c>
      <c r="K641">
        <v>5</v>
      </c>
      <c r="L641">
        <v>5822.74</v>
      </c>
      <c r="M641">
        <v>10</v>
      </c>
      <c r="N641">
        <v>26202.31</v>
      </c>
      <c r="O641" t="s">
        <v>29</v>
      </c>
    </row>
    <row r="642" spans="1:15" x14ac:dyDescent="0.3">
      <c r="A642" t="s">
        <v>710</v>
      </c>
      <c r="B642" s="2">
        <v>45932</v>
      </c>
      <c r="C642" t="s">
        <v>58</v>
      </c>
      <c r="D642" t="str">
        <f t="shared" si="9"/>
        <v>October</v>
      </c>
      <c r="E642" t="s">
        <v>50</v>
      </c>
      <c r="F642" t="s">
        <v>17</v>
      </c>
      <c r="G642" t="s">
        <v>67</v>
      </c>
      <c r="H642" t="s">
        <v>45</v>
      </c>
      <c r="I642" t="s">
        <v>34</v>
      </c>
      <c r="J642" t="s">
        <v>46</v>
      </c>
      <c r="K642">
        <v>3</v>
      </c>
      <c r="L642">
        <v>46798.14</v>
      </c>
      <c r="M642">
        <v>0</v>
      </c>
      <c r="N642">
        <v>140394.42000000001</v>
      </c>
      <c r="O642" t="s">
        <v>47</v>
      </c>
    </row>
    <row r="643" spans="1:15" x14ac:dyDescent="0.3">
      <c r="A643" t="s">
        <v>711</v>
      </c>
      <c r="B643" s="2">
        <v>45933</v>
      </c>
      <c r="C643" t="s">
        <v>49</v>
      </c>
      <c r="D643" t="str">
        <f t="shared" ref="D643:D706" si="10">TEXT(B643,"mmmm")</f>
        <v>October</v>
      </c>
      <c r="E643" t="s">
        <v>77</v>
      </c>
      <c r="F643" t="s">
        <v>17</v>
      </c>
      <c r="G643" t="s">
        <v>63</v>
      </c>
      <c r="H643" t="s">
        <v>45</v>
      </c>
      <c r="I643" t="s">
        <v>34</v>
      </c>
      <c r="J643" t="s">
        <v>28</v>
      </c>
      <c r="K643">
        <v>5</v>
      </c>
      <c r="L643">
        <v>45465.98</v>
      </c>
      <c r="M643">
        <v>0</v>
      </c>
      <c r="N643">
        <v>227329.91</v>
      </c>
      <c r="O643" t="s">
        <v>47</v>
      </c>
    </row>
    <row r="644" spans="1:15" x14ac:dyDescent="0.3">
      <c r="A644" t="s">
        <v>712</v>
      </c>
      <c r="B644" s="2">
        <v>45934</v>
      </c>
      <c r="C644" t="s">
        <v>38</v>
      </c>
      <c r="D644" t="str">
        <f t="shared" si="10"/>
        <v>October</v>
      </c>
      <c r="E644" t="s">
        <v>69</v>
      </c>
      <c r="F644" t="s">
        <v>53</v>
      </c>
      <c r="G644" t="s">
        <v>129</v>
      </c>
      <c r="H644" t="s">
        <v>27</v>
      </c>
      <c r="I644" t="s">
        <v>42</v>
      </c>
      <c r="J644" t="s">
        <v>43</v>
      </c>
      <c r="K644">
        <v>2</v>
      </c>
      <c r="L644">
        <v>29444.49</v>
      </c>
      <c r="M644">
        <v>15</v>
      </c>
      <c r="N644">
        <v>50055.63</v>
      </c>
      <c r="O644" t="s">
        <v>47</v>
      </c>
    </row>
    <row r="645" spans="1:15" x14ac:dyDescent="0.3">
      <c r="A645" t="s">
        <v>713</v>
      </c>
      <c r="B645" s="2">
        <v>45935</v>
      </c>
      <c r="C645" t="s">
        <v>15</v>
      </c>
      <c r="D645" t="str">
        <f t="shared" si="10"/>
        <v>October</v>
      </c>
      <c r="E645" t="s">
        <v>52</v>
      </c>
      <c r="F645" t="s">
        <v>53</v>
      </c>
      <c r="G645" t="s">
        <v>105</v>
      </c>
      <c r="H645" t="s">
        <v>45</v>
      </c>
      <c r="I645" t="s">
        <v>20</v>
      </c>
      <c r="J645" t="s">
        <v>28</v>
      </c>
      <c r="K645">
        <v>5</v>
      </c>
      <c r="L645">
        <v>26489.33</v>
      </c>
      <c r="M645">
        <v>10</v>
      </c>
      <c r="N645">
        <v>119202</v>
      </c>
      <c r="O645" t="s">
        <v>36</v>
      </c>
    </row>
    <row r="646" spans="1:15" x14ac:dyDescent="0.3">
      <c r="A646" t="s">
        <v>714</v>
      </c>
      <c r="B646" s="2">
        <v>45936</v>
      </c>
      <c r="C646" t="s">
        <v>58</v>
      </c>
      <c r="D646" t="str">
        <f t="shared" si="10"/>
        <v>October</v>
      </c>
      <c r="E646" t="s">
        <v>72</v>
      </c>
      <c r="F646" t="s">
        <v>53</v>
      </c>
      <c r="G646" t="s">
        <v>105</v>
      </c>
      <c r="H646" t="s">
        <v>19</v>
      </c>
      <c r="I646" t="s">
        <v>42</v>
      </c>
      <c r="J646" t="s">
        <v>46</v>
      </c>
      <c r="K646">
        <v>1</v>
      </c>
      <c r="L646">
        <v>28193.47</v>
      </c>
      <c r="M646">
        <v>20</v>
      </c>
      <c r="N646">
        <v>22554.78</v>
      </c>
      <c r="O646" t="s">
        <v>36</v>
      </c>
    </row>
    <row r="647" spans="1:15" x14ac:dyDescent="0.3">
      <c r="A647" t="s">
        <v>715</v>
      </c>
      <c r="B647" s="2">
        <v>45937</v>
      </c>
      <c r="C647" t="s">
        <v>49</v>
      </c>
      <c r="D647" t="str">
        <f t="shared" si="10"/>
        <v>October</v>
      </c>
      <c r="E647" t="s">
        <v>50</v>
      </c>
      <c r="F647" t="s">
        <v>53</v>
      </c>
      <c r="G647" t="s">
        <v>129</v>
      </c>
      <c r="H647" t="s">
        <v>19</v>
      </c>
      <c r="I647" t="s">
        <v>20</v>
      </c>
      <c r="J647" t="s">
        <v>46</v>
      </c>
      <c r="K647">
        <v>2</v>
      </c>
      <c r="L647">
        <v>28144.94</v>
      </c>
      <c r="M647">
        <v>20</v>
      </c>
      <c r="N647">
        <v>45031.9</v>
      </c>
      <c r="O647" t="s">
        <v>47</v>
      </c>
    </row>
    <row r="648" spans="1:15" x14ac:dyDescent="0.3">
      <c r="A648" t="s">
        <v>716</v>
      </c>
      <c r="B648" s="2">
        <v>45938</v>
      </c>
      <c r="C648" t="s">
        <v>38</v>
      </c>
      <c r="D648" t="str">
        <f t="shared" si="10"/>
        <v>October</v>
      </c>
      <c r="E648" t="s">
        <v>32</v>
      </c>
      <c r="F648" t="s">
        <v>53</v>
      </c>
      <c r="G648" t="s">
        <v>65</v>
      </c>
      <c r="H648" t="s">
        <v>45</v>
      </c>
      <c r="I648" t="s">
        <v>42</v>
      </c>
      <c r="J648" t="s">
        <v>46</v>
      </c>
      <c r="K648">
        <v>5</v>
      </c>
      <c r="L648">
        <v>26854.38</v>
      </c>
      <c r="M648">
        <v>0</v>
      </c>
      <c r="N648">
        <v>134271.9</v>
      </c>
      <c r="O648" t="s">
        <v>36</v>
      </c>
    </row>
    <row r="649" spans="1:15" x14ac:dyDescent="0.3">
      <c r="A649" t="s">
        <v>717</v>
      </c>
      <c r="B649" s="2">
        <v>45939</v>
      </c>
      <c r="C649" t="s">
        <v>58</v>
      </c>
      <c r="D649" t="str">
        <f t="shared" si="10"/>
        <v>October</v>
      </c>
      <c r="E649" t="s">
        <v>69</v>
      </c>
      <c r="F649" t="s">
        <v>25</v>
      </c>
      <c r="G649" t="s">
        <v>81</v>
      </c>
      <c r="H649" t="s">
        <v>45</v>
      </c>
      <c r="I649" t="s">
        <v>42</v>
      </c>
      <c r="J649" t="s">
        <v>43</v>
      </c>
      <c r="K649">
        <v>3</v>
      </c>
      <c r="L649">
        <v>2919.49</v>
      </c>
      <c r="M649">
        <v>10</v>
      </c>
      <c r="N649">
        <v>7882.61</v>
      </c>
      <c r="O649" t="s">
        <v>47</v>
      </c>
    </row>
    <row r="650" spans="1:15" x14ac:dyDescent="0.3">
      <c r="A650" t="s">
        <v>718</v>
      </c>
      <c r="B650" s="2">
        <v>45940</v>
      </c>
      <c r="C650" t="s">
        <v>49</v>
      </c>
      <c r="D650" t="str">
        <f t="shared" si="10"/>
        <v>October</v>
      </c>
      <c r="E650" t="s">
        <v>52</v>
      </c>
      <c r="F650" t="s">
        <v>53</v>
      </c>
      <c r="G650" t="s">
        <v>54</v>
      </c>
      <c r="H650" t="s">
        <v>27</v>
      </c>
      <c r="I650" t="s">
        <v>20</v>
      </c>
      <c r="J650" t="s">
        <v>35</v>
      </c>
      <c r="K650">
        <v>1</v>
      </c>
      <c r="L650">
        <v>32155.72</v>
      </c>
      <c r="M650">
        <v>5</v>
      </c>
      <c r="N650">
        <v>30547.94</v>
      </c>
      <c r="O650" t="s">
        <v>47</v>
      </c>
    </row>
    <row r="651" spans="1:15" x14ac:dyDescent="0.3">
      <c r="A651" t="s">
        <v>719</v>
      </c>
      <c r="B651" s="2">
        <v>45941</v>
      </c>
      <c r="C651" t="s">
        <v>58</v>
      </c>
      <c r="D651" t="str">
        <f t="shared" si="10"/>
        <v>October</v>
      </c>
      <c r="E651" t="s">
        <v>50</v>
      </c>
      <c r="F651" t="s">
        <v>17</v>
      </c>
      <c r="G651" t="s">
        <v>67</v>
      </c>
      <c r="H651" t="s">
        <v>27</v>
      </c>
      <c r="I651" t="s">
        <v>34</v>
      </c>
      <c r="J651" t="s">
        <v>28</v>
      </c>
      <c r="K651">
        <v>3</v>
      </c>
      <c r="L651">
        <v>59302.2</v>
      </c>
      <c r="M651">
        <v>0</v>
      </c>
      <c r="N651">
        <v>177906.59</v>
      </c>
      <c r="O651" t="s">
        <v>22</v>
      </c>
    </row>
    <row r="652" spans="1:15" x14ac:dyDescent="0.3">
      <c r="A652" t="s">
        <v>720</v>
      </c>
      <c r="B652" s="2">
        <v>45942</v>
      </c>
      <c r="C652" t="s">
        <v>31</v>
      </c>
      <c r="D652" t="str">
        <f t="shared" si="10"/>
        <v>October</v>
      </c>
      <c r="E652" t="s">
        <v>16</v>
      </c>
      <c r="F652" t="s">
        <v>53</v>
      </c>
      <c r="G652" t="s">
        <v>54</v>
      </c>
      <c r="H652" t="s">
        <v>27</v>
      </c>
      <c r="I652" t="s">
        <v>34</v>
      </c>
      <c r="J652" t="s">
        <v>35</v>
      </c>
      <c r="K652">
        <v>2</v>
      </c>
      <c r="L652">
        <v>34037.69</v>
      </c>
      <c r="M652">
        <v>0</v>
      </c>
      <c r="N652">
        <v>68075.38</v>
      </c>
      <c r="O652" t="s">
        <v>29</v>
      </c>
    </row>
    <row r="653" spans="1:15" x14ac:dyDescent="0.3">
      <c r="A653" t="s">
        <v>721</v>
      </c>
      <c r="B653" s="2">
        <v>45943</v>
      </c>
      <c r="C653" t="s">
        <v>38</v>
      </c>
      <c r="D653" t="str">
        <f t="shared" si="10"/>
        <v>October</v>
      </c>
      <c r="E653" t="s">
        <v>52</v>
      </c>
      <c r="F653" t="s">
        <v>17</v>
      </c>
      <c r="G653" t="s">
        <v>63</v>
      </c>
      <c r="H653" t="s">
        <v>33</v>
      </c>
      <c r="I653" t="s">
        <v>34</v>
      </c>
      <c r="J653" t="s">
        <v>21</v>
      </c>
      <c r="K653">
        <v>5</v>
      </c>
      <c r="L653">
        <v>52158.18</v>
      </c>
      <c r="M653">
        <v>5</v>
      </c>
      <c r="N653">
        <v>247751.33</v>
      </c>
      <c r="O653" t="s">
        <v>47</v>
      </c>
    </row>
    <row r="654" spans="1:15" x14ac:dyDescent="0.3">
      <c r="A654" t="s">
        <v>722</v>
      </c>
      <c r="B654" s="2">
        <v>45944</v>
      </c>
      <c r="C654" t="s">
        <v>38</v>
      </c>
      <c r="D654" t="str">
        <f t="shared" si="10"/>
        <v>October</v>
      </c>
      <c r="E654" t="s">
        <v>32</v>
      </c>
      <c r="F654" t="s">
        <v>53</v>
      </c>
      <c r="G654" t="s">
        <v>65</v>
      </c>
      <c r="H654" t="s">
        <v>19</v>
      </c>
      <c r="I654" t="s">
        <v>34</v>
      </c>
      <c r="J654" t="s">
        <v>43</v>
      </c>
      <c r="K654">
        <v>1</v>
      </c>
      <c r="L654">
        <v>25484.44</v>
      </c>
      <c r="M654">
        <v>10</v>
      </c>
      <c r="N654">
        <v>22935.99</v>
      </c>
      <c r="O654" t="s">
        <v>47</v>
      </c>
    </row>
    <row r="655" spans="1:15" x14ac:dyDescent="0.3">
      <c r="A655" t="s">
        <v>723</v>
      </c>
      <c r="B655" s="2">
        <v>45945</v>
      </c>
      <c r="C655" t="s">
        <v>15</v>
      </c>
      <c r="D655" t="str">
        <f t="shared" si="10"/>
        <v>October</v>
      </c>
      <c r="E655" t="s">
        <v>50</v>
      </c>
      <c r="F655" t="s">
        <v>53</v>
      </c>
      <c r="G655" t="s">
        <v>54</v>
      </c>
      <c r="H655" t="s">
        <v>45</v>
      </c>
      <c r="I655" t="s">
        <v>20</v>
      </c>
      <c r="J655" t="s">
        <v>35</v>
      </c>
      <c r="K655">
        <v>4</v>
      </c>
      <c r="L655">
        <v>27449.91</v>
      </c>
      <c r="M655">
        <v>5</v>
      </c>
      <c r="N655">
        <v>104309.64</v>
      </c>
      <c r="O655" t="s">
        <v>36</v>
      </c>
    </row>
    <row r="656" spans="1:15" x14ac:dyDescent="0.3">
      <c r="A656" t="s">
        <v>724</v>
      </c>
      <c r="B656" s="2">
        <v>45946</v>
      </c>
      <c r="C656" t="s">
        <v>58</v>
      </c>
      <c r="D656" t="str">
        <f t="shared" si="10"/>
        <v>October</v>
      </c>
      <c r="E656" t="s">
        <v>24</v>
      </c>
      <c r="F656" t="s">
        <v>25</v>
      </c>
      <c r="G656" t="s">
        <v>92</v>
      </c>
      <c r="H656" t="s">
        <v>33</v>
      </c>
      <c r="I656" t="s">
        <v>34</v>
      </c>
      <c r="J656" t="s">
        <v>21</v>
      </c>
      <c r="K656">
        <v>2</v>
      </c>
      <c r="L656">
        <v>2822.75</v>
      </c>
      <c r="M656">
        <v>10</v>
      </c>
      <c r="N656">
        <v>5080.95</v>
      </c>
      <c r="O656" t="s">
        <v>22</v>
      </c>
    </row>
    <row r="657" spans="1:15" x14ac:dyDescent="0.3">
      <c r="A657" t="s">
        <v>725</v>
      </c>
      <c r="B657" s="2">
        <v>45947</v>
      </c>
      <c r="C657" t="s">
        <v>31</v>
      </c>
      <c r="D657" t="str">
        <f t="shared" si="10"/>
        <v>October</v>
      </c>
      <c r="E657" t="s">
        <v>32</v>
      </c>
      <c r="F657" t="s">
        <v>25</v>
      </c>
      <c r="G657" t="s">
        <v>81</v>
      </c>
      <c r="H657" t="s">
        <v>19</v>
      </c>
      <c r="I657" t="s">
        <v>42</v>
      </c>
      <c r="J657" t="s">
        <v>28</v>
      </c>
      <c r="K657">
        <v>3</v>
      </c>
      <c r="L657">
        <v>2509.04</v>
      </c>
      <c r="M657">
        <v>20</v>
      </c>
      <c r="N657">
        <v>6021.69</v>
      </c>
      <c r="O657" t="s">
        <v>36</v>
      </c>
    </row>
    <row r="658" spans="1:15" x14ac:dyDescent="0.3">
      <c r="A658" t="s">
        <v>726</v>
      </c>
      <c r="B658" s="2">
        <v>45948</v>
      </c>
      <c r="C658" t="s">
        <v>31</v>
      </c>
      <c r="D658" t="str">
        <f t="shared" si="10"/>
        <v>October</v>
      </c>
      <c r="E658" t="s">
        <v>100</v>
      </c>
      <c r="F658" t="s">
        <v>53</v>
      </c>
      <c r="G658" t="s">
        <v>65</v>
      </c>
      <c r="H658" t="s">
        <v>27</v>
      </c>
      <c r="I658" t="s">
        <v>20</v>
      </c>
      <c r="J658" t="s">
        <v>35</v>
      </c>
      <c r="K658">
        <v>1</v>
      </c>
      <c r="L658">
        <v>38332.370000000003</v>
      </c>
      <c r="M658">
        <v>0</v>
      </c>
      <c r="N658">
        <v>38332.370000000003</v>
      </c>
      <c r="O658" t="s">
        <v>36</v>
      </c>
    </row>
    <row r="659" spans="1:15" x14ac:dyDescent="0.3">
      <c r="A659" t="s">
        <v>727</v>
      </c>
      <c r="B659" s="2">
        <v>45949</v>
      </c>
      <c r="C659" t="s">
        <v>31</v>
      </c>
      <c r="D659" t="str">
        <f t="shared" si="10"/>
        <v>October</v>
      </c>
      <c r="E659" t="s">
        <v>24</v>
      </c>
      <c r="F659" t="s">
        <v>17</v>
      </c>
      <c r="G659" t="s">
        <v>18</v>
      </c>
      <c r="H659" t="s">
        <v>19</v>
      </c>
      <c r="I659" t="s">
        <v>20</v>
      </c>
      <c r="J659" t="s">
        <v>43</v>
      </c>
      <c r="K659">
        <v>4</v>
      </c>
      <c r="L659">
        <v>66483.19</v>
      </c>
      <c r="M659">
        <v>0</v>
      </c>
      <c r="N659">
        <v>265932.75</v>
      </c>
      <c r="O659" t="s">
        <v>22</v>
      </c>
    </row>
    <row r="660" spans="1:15" x14ac:dyDescent="0.3">
      <c r="A660" t="s">
        <v>728</v>
      </c>
      <c r="B660" s="2">
        <v>45950</v>
      </c>
      <c r="C660" t="s">
        <v>49</v>
      </c>
      <c r="D660" t="str">
        <f t="shared" si="10"/>
        <v>October</v>
      </c>
      <c r="E660" t="s">
        <v>72</v>
      </c>
      <c r="F660" t="s">
        <v>17</v>
      </c>
      <c r="G660" t="s">
        <v>123</v>
      </c>
      <c r="H660" t="s">
        <v>27</v>
      </c>
      <c r="I660" t="s">
        <v>34</v>
      </c>
      <c r="J660" t="s">
        <v>28</v>
      </c>
      <c r="K660">
        <v>2</v>
      </c>
      <c r="L660">
        <v>54066.1</v>
      </c>
      <c r="M660">
        <v>10</v>
      </c>
      <c r="N660">
        <v>97318.98</v>
      </c>
      <c r="O660" t="s">
        <v>47</v>
      </c>
    </row>
    <row r="661" spans="1:15" x14ac:dyDescent="0.3">
      <c r="A661" t="s">
        <v>729</v>
      </c>
      <c r="B661" s="2">
        <v>45951</v>
      </c>
      <c r="C661" t="s">
        <v>15</v>
      </c>
      <c r="D661" t="str">
        <f t="shared" si="10"/>
        <v>October</v>
      </c>
      <c r="E661" t="s">
        <v>24</v>
      </c>
      <c r="F661" t="s">
        <v>25</v>
      </c>
      <c r="G661" t="s">
        <v>92</v>
      </c>
      <c r="H661" t="s">
        <v>33</v>
      </c>
      <c r="I661" t="s">
        <v>34</v>
      </c>
      <c r="J661" t="s">
        <v>28</v>
      </c>
      <c r="K661">
        <v>2</v>
      </c>
      <c r="L661">
        <v>2192.58</v>
      </c>
      <c r="M661">
        <v>0</v>
      </c>
      <c r="N661">
        <v>4385.17</v>
      </c>
      <c r="O661" t="s">
        <v>47</v>
      </c>
    </row>
    <row r="662" spans="1:15" x14ac:dyDescent="0.3">
      <c r="A662" t="s">
        <v>730</v>
      </c>
      <c r="B662" s="2">
        <v>45952</v>
      </c>
      <c r="C662" t="s">
        <v>49</v>
      </c>
      <c r="D662" t="str">
        <f t="shared" si="10"/>
        <v>October</v>
      </c>
      <c r="E662" t="s">
        <v>72</v>
      </c>
      <c r="F662" t="s">
        <v>17</v>
      </c>
      <c r="G662" t="s">
        <v>123</v>
      </c>
      <c r="H662" t="s">
        <v>19</v>
      </c>
      <c r="I662" t="s">
        <v>42</v>
      </c>
      <c r="J662" t="s">
        <v>46</v>
      </c>
      <c r="K662">
        <v>2</v>
      </c>
      <c r="L662">
        <v>66822.39</v>
      </c>
      <c r="M662">
        <v>10</v>
      </c>
      <c r="N662">
        <v>120280.3</v>
      </c>
      <c r="O662" t="s">
        <v>22</v>
      </c>
    </row>
    <row r="663" spans="1:15" x14ac:dyDescent="0.3">
      <c r="A663" t="s">
        <v>731</v>
      </c>
      <c r="B663" s="2">
        <v>45953</v>
      </c>
      <c r="C663" t="s">
        <v>31</v>
      </c>
      <c r="D663" t="str">
        <f t="shared" si="10"/>
        <v>October</v>
      </c>
      <c r="E663" t="s">
        <v>50</v>
      </c>
      <c r="F663" t="s">
        <v>53</v>
      </c>
      <c r="G663" t="s">
        <v>65</v>
      </c>
      <c r="H663" t="s">
        <v>19</v>
      </c>
      <c r="I663" t="s">
        <v>20</v>
      </c>
      <c r="J663" t="s">
        <v>43</v>
      </c>
      <c r="K663">
        <v>5</v>
      </c>
      <c r="L663">
        <v>35454.14</v>
      </c>
      <c r="M663">
        <v>20</v>
      </c>
      <c r="N663">
        <v>141816.57999999999</v>
      </c>
      <c r="O663" t="s">
        <v>22</v>
      </c>
    </row>
    <row r="664" spans="1:15" x14ac:dyDescent="0.3">
      <c r="A664" t="s">
        <v>732</v>
      </c>
      <c r="B664" s="2">
        <v>45954</v>
      </c>
      <c r="C664" t="s">
        <v>38</v>
      </c>
      <c r="D664" t="str">
        <f t="shared" si="10"/>
        <v>October</v>
      </c>
      <c r="E664" t="s">
        <v>32</v>
      </c>
      <c r="F664" t="s">
        <v>60</v>
      </c>
      <c r="G664" t="s">
        <v>61</v>
      </c>
      <c r="H664" t="s">
        <v>27</v>
      </c>
      <c r="I664" t="s">
        <v>34</v>
      </c>
      <c r="J664" t="s">
        <v>35</v>
      </c>
      <c r="K664">
        <v>4</v>
      </c>
      <c r="L664">
        <v>37577.269999999997</v>
      </c>
      <c r="M664">
        <v>10</v>
      </c>
      <c r="N664">
        <v>135278.18</v>
      </c>
      <c r="O664" t="s">
        <v>47</v>
      </c>
    </row>
    <row r="665" spans="1:15" x14ac:dyDescent="0.3">
      <c r="A665" t="s">
        <v>733</v>
      </c>
      <c r="B665" s="2">
        <v>45955</v>
      </c>
      <c r="C665" t="s">
        <v>31</v>
      </c>
      <c r="D665" t="str">
        <f t="shared" si="10"/>
        <v>October</v>
      </c>
      <c r="E665" t="s">
        <v>100</v>
      </c>
      <c r="F665" t="s">
        <v>60</v>
      </c>
      <c r="G665" t="s">
        <v>78</v>
      </c>
      <c r="H665" t="s">
        <v>27</v>
      </c>
      <c r="I665" t="s">
        <v>34</v>
      </c>
      <c r="J665" t="s">
        <v>28</v>
      </c>
      <c r="K665">
        <v>5</v>
      </c>
      <c r="L665">
        <v>50713.47</v>
      </c>
      <c r="M665">
        <v>10</v>
      </c>
      <c r="N665">
        <v>228210.59</v>
      </c>
      <c r="O665" t="s">
        <v>47</v>
      </c>
    </row>
    <row r="666" spans="1:15" x14ac:dyDescent="0.3">
      <c r="A666" t="s">
        <v>734</v>
      </c>
      <c r="B666" s="2">
        <v>45956</v>
      </c>
      <c r="C666" t="s">
        <v>49</v>
      </c>
      <c r="D666" t="str">
        <f t="shared" si="10"/>
        <v>October</v>
      </c>
      <c r="E666" t="s">
        <v>69</v>
      </c>
      <c r="F666" t="s">
        <v>17</v>
      </c>
      <c r="G666" t="s">
        <v>123</v>
      </c>
      <c r="H666" t="s">
        <v>45</v>
      </c>
      <c r="I666" t="s">
        <v>34</v>
      </c>
      <c r="J666" t="s">
        <v>35</v>
      </c>
      <c r="K666">
        <v>4</v>
      </c>
      <c r="L666">
        <v>54224.38</v>
      </c>
      <c r="M666">
        <v>20</v>
      </c>
      <c r="N666">
        <v>173518.01</v>
      </c>
      <c r="O666" t="s">
        <v>47</v>
      </c>
    </row>
    <row r="667" spans="1:15" x14ac:dyDescent="0.3">
      <c r="A667" t="s">
        <v>735</v>
      </c>
      <c r="B667" s="2">
        <v>45957</v>
      </c>
      <c r="C667" t="s">
        <v>31</v>
      </c>
      <c r="D667" t="str">
        <f t="shared" si="10"/>
        <v>October</v>
      </c>
      <c r="E667" t="s">
        <v>39</v>
      </c>
      <c r="F667" t="s">
        <v>25</v>
      </c>
      <c r="G667" t="s">
        <v>81</v>
      </c>
      <c r="H667" t="s">
        <v>33</v>
      </c>
      <c r="I667" t="s">
        <v>34</v>
      </c>
      <c r="J667" t="s">
        <v>35</v>
      </c>
      <c r="K667">
        <v>4</v>
      </c>
      <c r="L667">
        <v>2132.6</v>
      </c>
      <c r="M667">
        <v>20</v>
      </c>
      <c r="N667">
        <v>6824.31</v>
      </c>
      <c r="O667" t="s">
        <v>47</v>
      </c>
    </row>
    <row r="668" spans="1:15" x14ac:dyDescent="0.3">
      <c r="A668" t="s">
        <v>736</v>
      </c>
      <c r="B668" s="2">
        <v>45958</v>
      </c>
      <c r="C668" t="s">
        <v>49</v>
      </c>
      <c r="D668" t="str">
        <f t="shared" si="10"/>
        <v>October</v>
      </c>
      <c r="E668" t="s">
        <v>32</v>
      </c>
      <c r="F668" t="s">
        <v>40</v>
      </c>
      <c r="G668" t="s">
        <v>115</v>
      </c>
      <c r="H668" t="s">
        <v>19</v>
      </c>
      <c r="I668" t="s">
        <v>42</v>
      </c>
      <c r="J668" t="s">
        <v>35</v>
      </c>
      <c r="K668">
        <v>4</v>
      </c>
      <c r="L668">
        <v>5068.79</v>
      </c>
      <c r="M668">
        <v>20</v>
      </c>
      <c r="N668">
        <v>16220.14</v>
      </c>
      <c r="O668" t="s">
        <v>36</v>
      </c>
    </row>
    <row r="669" spans="1:15" x14ac:dyDescent="0.3">
      <c r="A669" t="s">
        <v>737</v>
      </c>
      <c r="B669" s="2">
        <v>45959</v>
      </c>
      <c r="C669" t="s">
        <v>49</v>
      </c>
      <c r="D669" t="str">
        <f t="shared" si="10"/>
        <v>October</v>
      </c>
      <c r="E669" t="s">
        <v>16</v>
      </c>
      <c r="F669" t="s">
        <v>40</v>
      </c>
      <c r="G669" t="s">
        <v>118</v>
      </c>
      <c r="H669" t="s">
        <v>27</v>
      </c>
      <c r="I669" t="s">
        <v>34</v>
      </c>
      <c r="J669" t="s">
        <v>28</v>
      </c>
      <c r="K669">
        <v>3</v>
      </c>
      <c r="L669">
        <v>7119.91</v>
      </c>
      <c r="M669">
        <v>5</v>
      </c>
      <c r="N669">
        <v>20291.759999999998</v>
      </c>
      <c r="O669" t="s">
        <v>36</v>
      </c>
    </row>
    <row r="670" spans="1:15" x14ac:dyDescent="0.3">
      <c r="A670" t="s">
        <v>738</v>
      </c>
      <c r="B670" s="2">
        <v>45960</v>
      </c>
      <c r="C670" t="s">
        <v>49</v>
      </c>
      <c r="D670" t="str">
        <f t="shared" si="10"/>
        <v>October</v>
      </c>
      <c r="E670" t="s">
        <v>39</v>
      </c>
      <c r="F670" t="s">
        <v>60</v>
      </c>
      <c r="G670" t="s">
        <v>70</v>
      </c>
      <c r="H670" t="s">
        <v>33</v>
      </c>
      <c r="I670" t="s">
        <v>42</v>
      </c>
      <c r="J670" t="s">
        <v>43</v>
      </c>
      <c r="K670">
        <v>1</v>
      </c>
      <c r="L670">
        <v>38713.120000000003</v>
      </c>
      <c r="M670">
        <v>10</v>
      </c>
      <c r="N670">
        <v>34841.81</v>
      </c>
      <c r="O670" t="s">
        <v>47</v>
      </c>
    </row>
    <row r="671" spans="1:15" x14ac:dyDescent="0.3">
      <c r="A671" t="s">
        <v>739</v>
      </c>
      <c r="B671" s="2">
        <v>45961</v>
      </c>
      <c r="C671" t="s">
        <v>38</v>
      </c>
      <c r="D671" t="str">
        <f t="shared" si="10"/>
        <v>October</v>
      </c>
      <c r="E671" t="s">
        <v>16</v>
      </c>
      <c r="F671" t="s">
        <v>25</v>
      </c>
      <c r="G671" t="s">
        <v>26</v>
      </c>
      <c r="H671" t="s">
        <v>45</v>
      </c>
      <c r="I671" t="s">
        <v>20</v>
      </c>
      <c r="J671" t="s">
        <v>46</v>
      </c>
      <c r="K671">
        <v>1</v>
      </c>
      <c r="L671">
        <v>1992.11</v>
      </c>
      <c r="M671">
        <v>0</v>
      </c>
      <c r="N671">
        <v>1992.11</v>
      </c>
      <c r="O671" t="s">
        <v>22</v>
      </c>
    </row>
    <row r="672" spans="1:15" x14ac:dyDescent="0.3">
      <c r="A672" t="s">
        <v>740</v>
      </c>
      <c r="B672" s="2">
        <v>45962</v>
      </c>
      <c r="C672" t="s">
        <v>49</v>
      </c>
      <c r="D672" t="str">
        <f t="shared" si="10"/>
        <v>November</v>
      </c>
      <c r="E672" t="s">
        <v>32</v>
      </c>
      <c r="F672" t="s">
        <v>60</v>
      </c>
      <c r="G672" t="s">
        <v>70</v>
      </c>
      <c r="H672" t="s">
        <v>27</v>
      </c>
      <c r="I672" t="s">
        <v>42</v>
      </c>
      <c r="J672" t="s">
        <v>21</v>
      </c>
      <c r="K672">
        <v>5</v>
      </c>
      <c r="L672">
        <v>42786.84</v>
      </c>
      <c r="M672">
        <v>10</v>
      </c>
      <c r="N672">
        <v>192540.78</v>
      </c>
      <c r="O672" t="s">
        <v>47</v>
      </c>
    </row>
    <row r="673" spans="1:15" x14ac:dyDescent="0.3">
      <c r="A673" t="s">
        <v>741</v>
      </c>
      <c r="B673" s="2">
        <v>45963</v>
      </c>
      <c r="C673" t="s">
        <v>49</v>
      </c>
      <c r="D673" t="str">
        <f t="shared" si="10"/>
        <v>November</v>
      </c>
      <c r="E673" t="s">
        <v>69</v>
      </c>
      <c r="F673" t="s">
        <v>25</v>
      </c>
      <c r="G673" t="s">
        <v>26</v>
      </c>
      <c r="H673" t="s">
        <v>19</v>
      </c>
      <c r="I673" t="s">
        <v>42</v>
      </c>
      <c r="J673" t="s">
        <v>35</v>
      </c>
      <c r="K673">
        <v>1</v>
      </c>
      <c r="L673">
        <v>2623.11</v>
      </c>
      <c r="M673">
        <v>20</v>
      </c>
      <c r="N673">
        <v>2098.4899999999998</v>
      </c>
      <c r="O673" t="s">
        <v>47</v>
      </c>
    </row>
    <row r="674" spans="1:15" x14ac:dyDescent="0.3">
      <c r="A674" t="s">
        <v>742</v>
      </c>
      <c r="B674" s="2">
        <v>45964</v>
      </c>
      <c r="C674" t="s">
        <v>58</v>
      </c>
      <c r="D674" t="str">
        <f t="shared" si="10"/>
        <v>November</v>
      </c>
      <c r="E674" t="s">
        <v>16</v>
      </c>
      <c r="F674" t="s">
        <v>60</v>
      </c>
      <c r="G674" t="s">
        <v>73</v>
      </c>
      <c r="H674" t="s">
        <v>19</v>
      </c>
      <c r="I674" t="s">
        <v>42</v>
      </c>
      <c r="J674" t="s">
        <v>43</v>
      </c>
      <c r="K674">
        <v>5</v>
      </c>
      <c r="L674">
        <v>48218.97</v>
      </c>
      <c r="M674">
        <v>15</v>
      </c>
      <c r="N674">
        <v>204930.61</v>
      </c>
      <c r="O674" t="s">
        <v>36</v>
      </c>
    </row>
    <row r="675" spans="1:15" x14ac:dyDescent="0.3">
      <c r="A675" t="s">
        <v>743</v>
      </c>
      <c r="B675" s="2">
        <v>45965</v>
      </c>
      <c r="C675" t="s">
        <v>31</v>
      </c>
      <c r="D675" t="str">
        <f t="shared" si="10"/>
        <v>November</v>
      </c>
      <c r="E675" t="s">
        <v>24</v>
      </c>
      <c r="F675" t="s">
        <v>17</v>
      </c>
      <c r="G675" t="s">
        <v>123</v>
      </c>
      <c r="H675" t="s">
        <v>27</v>
      </c>
      <c r="I675" t="s">
        <v>42</v>
      </c>
      <c r="J675" t="s">
        <v>35</v>
      </c>
      <c r="K675">
        <v>5</v>
      </c>
      <c r="L675">
        <v>49817.11</v>
      </c>
      <c r="M675">
        <v>15</v>
      </c>
      <c r="N675">
        <v>211722.71</v>
      </c>
      <c r="O675" t="s">
        <v>36</v>
      </c>
    </row>
    <row r="676" spans="1:15" x14ac:dyDescent="0.3">
      <c r="A676" t="s">
        <v>744</v>
      </c>
      <c r="B676" s="2">
        <v>45966</v>
      </c>
      <c r="C676" t="s">
        <v>58</v>
      </c>
      <c r="D676" t="str">
        <f t="shared" si="10"/>
        <v>November</v>
      </c>
      <c r="E676" t="s">
        <v>77</v>
      </c>
      <c r="F676" t="s">
        <v>17</v>
      </c>
      <c r="G676" t="s">
        <v>18</v>
      </c>
      <c r="H676" t="s">
        <v>33</v>
      </c>
      <c r="I676" t="s">
        <v>42</v>
      </c>
      <c r="J676" t="s">
        <v>46</v>
      </c>
      <c r="K676">
        <v>5</v>
      </c>
      <c r="L676">
        <v>48182.91</v>
      </c>
      <c r="M676">
        <v>10</v>
      </c>
      <c r="N676">
        <v>216823.1</v>
      </c>
      <c r="O676" t="s">
        <v>29</v>
      </c>
    </row>
    <row r="677" spans="1:15" x14ac:dyDescent="0.3">
      <c r="A677" t="s">
        <v>745</v>
      </c>
      <c r="B677" s="2">
        <v>45967</v>
      </c>
      <c r="C677" t="s">
        <v>49</v>
      </c>
      <c r="D677" t="str">
        <f t="shared" si="10"/>
        <v>November</v>
      </c>
      <c r="E677" t="s">
        <v>24</v>
      </c>
      <c r="F677" t="s">
        <v>40</v>
      </c>
      <c r="G677" t="s">
        <v>115</v>
      </c>
      <c r="H677" t="s">
        <v>19</v>
      </c>
      <c r="I677" t="s">
        <v>34</v>
      </c>
      <c r="J677" t="s">
        <v>21</v>
      </c>
      <c r="K677">
        <v>4</v>
      </c>
      <c r="L677">
        <v>7646.41</v>
      </c>
      <c r="M677">
        <v>10</v>
      </c>
      <c r="N677">
        <v>27527.07</v>
      </c>
      <c r="O677" t="s">
        <v>47</v>
      </c>
    </row>
    <row r="678" spans="1:15" x14ac:dyDescent="0.3">
      <c r="A678" t="s">
        <v>746</v>
      </c>
      <c r="B678" s="2">
        <v>45968</v>
      </c>
      <c r="C678" t="s">
        <v>15</v>
      </c>
      <c r="D678" t="str">
        <f t="shared" si="10"/>
        <v>November</v>
      </c>
      <c r="E678" t="s">
        <v>72</v>
      </c>
      <c r="F678" t="s">
        <v>40</v>
      </c>
      <c r="G678" t="s">
        <v>118</v>
      </c>
      <c r="H678" t="s">
        <v>33</v>
      </c>
      <c r="I678" t="s">
        <v>42</v>
      </c>
      <c r="J678" t="s">
        <v>21</v>
      </c>
      <c r="K678">
        <v>2</v>
      </c>
      <c r="L678">
        <v>7096.42</v>
      </c>
      <c r="M678">
        <v>5</v>
      </c>
      <c r="N678">
        <v>13483.2</v>
      </c>
      <c r="O678" t="s">
        <v>22</v>
      </c>
    </row>
    <row r="679" spans="1:15" x14ac:dyDescent="0.3">
      <c r="A679" t="s">
        <v>747</v>
      </c>
      <c r="B679" s="2">
        <v>45969</v>
      </c>
      <c r="C679" t="s">
        <v>38</v>
      </c>
      <c r="D679" t="str">
        <f t="shared" si="10"/>
        <v>November</v>
      </c>
      <c r="E679" t="s">
        <v>72</v>
      </c>
      <c r="F679" t="s">
        <v>53</v>
      </c>
      <c r="G679" t="s">
        <v>105</v>
      </c>
      <c r="H679" t="s">
        <v>27</v>
      </c>
      <c r="I679" t="s">
        <v>34</v>
      </c>
      <c r="J679" t="s">
        <v>46</v>
      </c>
      <c r="K679">
        <v>2</v>
      </c>
      <c r="L679">
        <v>30664.74</v>
      </c>
      <c r="M679">
        <v>5</v>
      </c>
      <c r="N679">
        <v>58263</v>
      </c>
      <c r="O679" t="s">
        <v>36</v>
      </c>
    </row>
    <row r="680" spans="1:15" x14ac:dyDescent="0.3">
      <c r="A680" t="s">
        <v>748</v>
      </c>
      <c r="B680" s="2">
        <v>45970</v>
      </c>
      <c r="C680" t="s">
        <v>58</v>
      </c>
      <c r="D680" t="str">
        <f t="shared" si="10"/>
        <v>November</v>
      </c>
      <c r="E680" t="s">
        <v>100</v>
      </c>
      <c r="F680" t="s">
        <v>60</v>
      </c>
      <c r="G680" t="s">
        <v>73</v>
      </c>
      <c r="H680" t="s">
        <v>45</v>
      </c>
      <c r="I680" t="s">
        <v>34</v>
      </c>
      <c r="J680" t="s">
        <v>46</v>
      </c>
      <c r="K680">
        <v>5</v>
      </c>
      <c r="L680">
        <v>51185.79</v>
      </c>
      <c r="M680">
        <v>10</v>
      </c>
      <c r="N680">
        <v>230336.06</v>
      </c>
      <c r="O680" t="s">
        <v>47</v>
      </c>
    </row>
    <row r="681" spans="1:15" x14ac:dyDescent="0.3">
      <c r="A681" t="s">
        <v>749</v>
      </c>
      <c r="B681" s="2">
        <v>45971</v>
      </c>
      <c r="C681" t="s">
        <v>49</v>
      </c>
      <c r="D681" t="str">
        <f t="shared" si="10"/>
        <v>November</v>
      </c>
      <c r="E681" t="s">
        <v>24</v>
      </c>
      <c r="F681" t="s">
        <v>53</v>
      </c>
      <c r="G681" t="s">
        <v>105</v>
      </c>
      <c r="H681" t="s">
        <v>45</v>
      </c>
      <c r="I681" t="s">
        <v>20</v>
      </c>
      <c r="J681" t="s">
        <v>28</v>
      </c>
      <c r="K681">
        <v>2</v>
      </c>
      <c r="L681">
        <v>34309.72</v>
      </c>
      <c r="M681">
        <v>0</v>
      </c>
      <c r="N681">
        <v>68619.44</v>
      </c>
      <c r="O681" t="s">
        <v>29</v>
      </c>
    </row>
    <row r="682" spans="1:15" x14ac:dyDescent="0.3">
      <c r="A682" t="s">
        <v>750</v>
      </c>
      <c r="B682" s="2">
        <v>45972</v>
      </c>
      <c r="C682" t="s">
        <v>31</v>
      </c>
      <c r="D682" t="str">
        <f t="shared" si="10"/>
        <v>November</v>
      </c>
      <c r="E682" t="s">
        <v>16</v>
      </c>
      <c r="F682" t="s">
        <v>53</v>
      </c>
      <c r="G682" t="s">
        <v>54</v>
      </c>
      <c r="H682" t="s">
        <v>45</v>
      </c>
      <c r="I682" t="s">
        <v>42</v>
      </c>
      <c r="J682" t="s">
        <v>21</v>
      </c>
      <c r="K682">
        <v>5</v>
      </c>
      <c r="L682">
        <v>35911.64</v>
      </c>
      <c r="M682">
        <v>5</v>
      </c>
      <c r="N682">
        <v>170580.3</v>
      </c>
      <c r="O682" t="s">
        <v>47</v>
      </c>
    </row>
    <row r="683" spans="1:15" x14ac:dyDescent="0.3">
      <c r="A683" t="s">
        <v>751</v>
      </c>
      <c r="B683" s="2">
        <v>45973</v>
      </c>
      <c r="C683" t="s">
        <v>38</v>
      </c>
      <c r="D683" t="str">
        <f t="shared" si="10"/>
        <v>November</v>
      </c>
      <c r="E683" t="s">
        <v>39</v>
      </c>
      <c r="F683" t="s">
        <v>40</v>
      </c>
      <c r="G683" t="s">
        <v>75</v>
      </c>
      <c r="H683" t="s">
        <v>27</v>
      </c>
      <c r="I683" t="s">
        <v>20</v>
      </c>
      <c r="J683" t="s">
        <v>35</v>
      </c>
      <c r="K683">
        <v>2</v>
      </c>
      <c r="L683">
        <v>6481.79</v>
      </c>
      <c r="M683">
        <v>15</v>
      </c>
      <c r="N683">
        <v>11019.03</v>
      </c>
      <c r="O683" t="s">
        <v>47</v>
      </c>
    </row>
    <row r="684" spans="1:15" x14ac:dyDescent="0.3">
      <c r="A684" t="s">
        <v>752</v>
      </c>
      <c r="B684" s="2">
        <v>45974</v>
      </c>
      <c r="C684" t="s">
        <v>31</v>
      </c>
      <c r="D684" t="str">
        <f t="shared" si="10"/>
        <v>November</v>
      </c>
      <c r="E684" t="s">
        <v>32</v>
      </c>
      <c r="F684" t="s">
        <v>25</v>
      </c>
      <c r="G684" t="s">
        <v>26</v>
      </c>
      <c r="H684" t="s">
        <v>45</v>
      </c>
      <c r="I684" t="s">
        <v>20</v>
      </c>
      <c r="J684" t="s">
        <v>35</v>
      </c>
      <c r="K684">
        <v>2</v>
      </c>
      <c r="L684">
        <v>2379.87</v>
      </c>
      <c r="M684">
        <v>5</v>
      </c>
      <c r="N684">
        <v>4521.76</v>
      </c>
      <c r="O684" t="s">
        <v>36</v>
      </c>
    </row>
    <row r="685" spans="1:15" x14ac:dyDescent="0.3">
      <c r="A685" t="s">
        <v>753</v>
      </c>
      <c r="B685" s="2">
        <v>45975</v>
      </c>
      <c r="C685" t="s">
        <v>38</v>
      </c>
      <c r="D685" t="str">
        <f t="shared" si="10"/>
        <v>November</v>
      </c>
      <c r="E685" t="s">
        <v>77</v>
      </c>
      <c r="F685" t="s">
        <v>40</v>
      </c>
      <c r="G685" t="s">
        <v>118</v>
      </c>
      <c r="H685" t="s">
        <v>19</v>
      </c>
      <c r="I685" t="s">
        <v>20</v>
      </c>
      <c r="J685" t="s">
        <v>43</v>
      </c>
      <c r="K685">
        <v>3</v>
      </c>
      <c r="L685">
        <v>6767.15</v>
      </c>
      <c r="M685">
        <v>10</v>
      </c>
      <c r="N685">
        <v>18271.3</v>
      </c>
      <c r="O685" t="s">
        <v>47</v>
      </c>
    </row>
    <row r="686" spans="1:15" x14ac:dyDescent="0.3">
      <c r="A686" t="s">
        <v>754</v>
      </c>
      <c r="B686" s="2">
        <v>45976</v>
      </c>
      <c r="C686" t="s">
        <v>49</v>
      </c>
      <c r="D686" t="str">
        <f t="shared" si="10"/>
        <v>November</v>
      </c>
      <c r="E686" t="s">
        <v>32</v>
      </c>
      <c r="F686" t="s">
        <v>40</v>
      </c>
      <c r="G686" t="s">
        <v>41</v>
      </c>
      <c r="H686" t="s">
        <v>27</v>
      </c>
      <c r="I686" t="s">
        <v>42</v>
      </c>
      <c r="J686" t="s">
        <v>21</v>
      </c>
      <c r="K686">
        <v>4</v>
      </c>
      <c r="L686">
        <v>6030.51</v>
      </c>
      <c r="M686">
        <v>15</v>
      </c>
      <c r="N686">
        <v>20503.740000000002</v>
      </c>
      <c r="O686" t="s">
        <v>47</v>
      </c>
    </row>
    <row r="687" spans="1:15" x14ac:dyDescent="0.3">
      <c r="A687" t="s">
        <v>755</v>
      </c>
      <c r="B687" s="2">
        <v>45977</v>
      </c>
      <c r="C687" t="s">
        <v>49</v>
      </c>
      <c r="D687" t="str">
        <f t="shared" si="10"/>
        <v>November</v>
      </c>
      <c r="E687" t="s">
        <v>52</v>
      </c>
      <c r="F687" t="s">
        <v>40</v>
      </c>
      <c r="G687" t="s">
        <v>75</v>
      </c>
      <c r="H687" t="s">
        <v>19</v>
      </c>
      <c r="I687" t="s">
        <v>42</v>
      </c>
      <c r="J687" t="s">
        <v>46</v>
      </c>
      <c r="K687">
        <v>5</v>
      </c>
      <c r="L687">
        <v>6119.28</v>
      </c>
      <c r="M687">
        <v>15</v>
      </c>
      <c r="N687">
        <v>26006.92</v>
      </c>
      <c r="O687" t="s">
        <v>22</v>
      </c>
    </row>
    <row r="688" spans="1:15" x14ac:dyDescent="0.3">
      <c r="A688" t="s">
        <v>756</v>
      </c>
      <c r="B688" s="2">
        <v>45978</v>
      </c>
      <c r="C688" t="s">
        <v>31</v>
      </c>
      <c r="D688" t="str">
        <f t="shared" si="10"/>
        <v>November</v>
      </c>
      <c r="E688" t="s">
        <v>32</v>
      </c>
      <c r="F688" t="s">
        <v>25</v>
      </c>
      <c r="G688" t="s">
        <v>92</v>
      </c>
      <c r="H688" t="s">
        <v>33</v>
      </c>
      <c r="I688" t="s">
        <v>42</v>
      </c>
      <c r="J688" t="s">
        <v>28</v>
      </c>
      <c r="K688">
        <v>3</v>
      </c>
      <c r="L688">
        <v>2514.56</v>
      </c>
      <c r="M688">
        <v>10</v>
      </c>
      <c r="N688">
        <v>6789.31</v>
      </c>
      <c r="O688" t="s">
        <v>47</v>
      </c>
    </row>
    <row r="689" spans="1:15" x14ac:dyDescent="0.3">
      <c r="A689" t="s">
        <v>757</v>
      </c>
      <c r="B689" s="2">
        <v>45979</v>
      </c>
      <c r="C689" t="s">
        <v>15</v>
      </c>
      <c r="D689" t="str">
        <f t="shared" si="10"/>
        <v>November</v>
      </c>
      <c r="E689" t="s">
        <v>50</v>
      </c>
      <c r="F689" t="s">
        <v>40</v>
      </c>
      <c r="G689" t="s">
        <v>115</v>
      </c>
      <c r="H689" t="s">
        <v>45</v>
      </c>
      <c r="I689" t="s">
        <v>42</v>
      </c>
      <c r="J689" t="s">
        <v>28</v>
      </c>
      <c r="K689">
        <v>2</v>
      </c>
      <c r="L689">
        <v>7057.95</v>
      </c>
      <c r="M689">
        <v>0</v>
      </c>
      <c r="N689">
        <v>14115.89</v>
      </c>
      <c r="O689" t="s">
        <v>47</v>
      </c>
    </row>
    <row r="690" spans="1:15" x14ac:dyDescent="0.3">
      <c r="A690" t="s">
        <v>758</v>
      </c>
      <c r="B690" s="2">
        <v>45980</v>
      </c>
      <c r="C690" t="s">
        <v>38</v>
      </c>
      <c r="D690" t="str">
        <f t="shared" si="10"/>
        <v>November</v>
      </c>
      <c r="E690" t="s">
        <v>24</v>
      </c>
      <c r="F690" t="s">
        <v>40</v>
      </c>
      <c r="G690" t="s">
        <v>41</v>
      </c>
      <c r="H690" t="s">
        <v>33</v>
      </c>
      <c r="I690" t="s">
        <v>42</v>
      </c>
      <c r="J690" t="s">
        <v>28</v>
      </c>
      <c r="K690">
        <v>3</v>
      </c>
      <c r="L690">
        <v>6338.75</v>
      </c>
      <c r="M690">
        <v>0</v>
      </c>
      <c r="N690">
        <v>19016.259999999998</v>
      </c>
      <c r="O690" t="s">
        <v>29</v>
      </c>
    </row>
    <row r="691" spans="1:15" x14ac:dyDescent="0.3">
      <c r="A691" t="s">
        <v>759</v>
      </c>
      <c r="B691" s="2">
        <v>45981</v>
      </c>
      <c r="C691" t="s">
        <v>31</v>
      </c>
      <c r="D691" t="str">
        <f t="shared" si="10"/>
        <v>November</v>
      </c>
      <c r="E691" t="s">
        <v>72</v>
      </c>
      <c r="F691" t="s">
        <v>60</v>
      </c>
      <c r="G691" t="s">
        <v>78</v>
      </c>
      <c r="H691" t="s">
        <v>19</v>
      </c>
      <c r="I691" t="s">
        <v>42</v>
      </c>
      <c r="J691" t="s">
        <v>35</v>
      </c>
      <c r="K691">
        <v>1</v>
      </c>
      <c r="L691">
        <v>38423.61</v>
      </c>
      <c r="M691">
        <v>5</v>
      </c>
      <c r="N691">
        <v>36502.43</v>
      </c>
      <c r="O691" t="s">
        <v>47</v>
      </c>
    </row>
    <row r="692" spans="1:15" x14ac:dyDescent="0.3">
      <c r="A692" t="s">
        <v>760</v>
      </c>
      <c r="B692" s="2">
        <v>45982</v>
      </c>
      <c r="C692" t="s">
        <v>31</v>
      </c>
      <c r="D692" t="str">
        <f t="shared" si="10"/>
        <v>November</v>
      </c>
      <c r="E692" t="s">
        <v>50</v>
      </c>
      <c r="F692" t="s">
        <v>17</v>
      </c>
      <c r="G692" t="s">
        <v>123</v>
      </c>
      <c r="H692" t="s">
        <v>27</v>
      </c>
      <c r="I692" t="s">
        <v>42</v>
      </c>
      <c r="J692" t="s">
        <v>28</v>
      </c>
      <c r="K692">
        <v>1</v>
      </c>
      <c r="L692">
        <v>55307.79</v>
      </c>
      <c r="M692">
        <v>5</v>
      </c>
      <c r="N692">
        <v>52542.400000000001</v>
      </c>
      <c r="O692" t="s">
        <v>47</v>
      </c>
    </row>
    <row r="693" spans="1:15" x14ac:dyDescent="0.3">
      <c r="A693" t="s">
        <v>761</v>
      </c>
      <c r="B693" s="2">
        <v>45983</v>
      </c>
      <c r="C693" t="s">
        <v>49</v>
      </c>
      <c r="D693" t="str">
        <f t="shared" si="10"/>
        <v>November</v>
      </c>
      <c r="E693" t="s">
        <v>100</v>
      </c>
      <c r="F693" t="s">
        <v>40</v>
      </c>
      <c r="G693" t="s">
        <v>118</v>
      </c>
      <c r="H693" t="s">
        <v>33</v>
      </c>
      <c r="I693" t="s">
        <v>20</v>
      </c>
      <c r="J693" t="s">
        <v>28</v>
      </c>
      <c r="K693">
        <v>1</v>
      </c>
      <c r="L693">
        <v>6679.99</v>
      </c>
      <c r="M693">
        <v>0</v>
      </c>
      <c r="N693">
        <v>6679.99</v>
      </c>
      <c r="O693" t="s">
        <v>29</v>
      </c>
    </row>
    <row r="694" spans="1:15" x14ac:dyDescent="0.3">
      <c r="A694" t="s">
        <v>762</v>
      </c>
      <c r="B694" s="2">
        <v>45984</v>
      </c>
      <c r="C694" t="s">
        <v>49</v>
      </c>
      <c r="D694" t="str">
        <f t="shared" si="10"/>
        <v>November</v>
      </c>
      <c r="E694" t="s">
        <v>72</v>
      </c>
      <c r="F694" t="s">
        <v>17</v>
      </c>
      <c r="G694" t="s">
        <v>67</v>
      </c>
      <c r="H694" t="s">
        <v>45</v>
      </c>
      <c r="I694" t="s">
        <v>42</v>
      </c>
      <c r="J694" t="s">
        <v>35</v>
      </c>
      <c r="K694">
        <v>1</v>
      </c>
      <c r="L694">
        <v>72122.149999999994</v>
      </c>
      <c r="M694">
        <v>20</v>
      </c>
      <c r="N694">
        <v>57697.72</v>
      </c>
      <c r="O694" t="s">
        <v>47</v>
      </c>
    </row>
    <row r="695" spans="1:15" x14ac:dyDescent="0.3">
      <c r="A695" t="s">
        <v>763</v>
      </c>
      <c r="B695" s="2">
        <v>45985</v>
      </c>
      <c r="C695" t="s">
        <v>58</v>
      </c>
      <c r="D695" t="str">
        <f t="shared" si="10"/>
        <v>November</v>
      </c>
      <c r="E695" t="s">
        <v>69</v>
      </c>
      <c r="F695" t="s">
        <v>60</v>
      </c>
      <c r="G695" t="s">
        <v>70</v>
      </c>
      <c r="H695" t="s">
        <v>33</v>
      </c>
      <c r="I695" t="s">
        <v>42</v>
      </c>
      <c r="J695" t="s">
        <v>43</v>
      </c>
      <c r="K695">
        <v>1</v>
      </c>
      <c r="L695">
        <v>31596.240000000002</v>
      </c>
      <c r="M695">
        <v>0</v>
      </c>
      <c r="N695">
        <v>31596.240000000002</v>
      </c>
      <c r="O695" t="s">
        <v>36</v>
      </c>
    </row>
    <row r="696" spans="1:15" x14ac:dyDescent="0.3">
      <c r="A696" t="s">
        <v>764</v>
      </c>
      <c r="B696" s="2">
        <v>45986</v>
      </c>
      <c r="C696" t="s">
        <v>15</v>
      </c>
      <c r="D696" t="str">
        <f t="shared" si="10"/>
        <v>November</v>
      </c>
      <c r="E696" t="s">
        <v>69</v>
      </c>
      <c r="F696" t="s">
        <v>60</v>
      </c>
      <c r="G696" t="s">
        <v>78</v>
      </c>
      <c r="H696" t="s">
        <v>45</v>
      </c>
      <c r="I696" t="s">
        <v>20</v>
      </c>
      <c r="J696" t="s">
        <v>43</v>
      </c>
      <c r="K696">
        <v>2</v>
      </c>
      <c r="L696">
        <v>38803.620000000003</v>
      </c>
      <c r="M696">
        <v>20</v>
      </c>
      <c r="N696">
        <v>62085.79</v>
      </c>
      <c r="O696" t="s">
        <v>47</v>
      </c>
    </row>
    <row r="697" spans="1:15" x14ac:dyDescent="0.3">
      <c r="A697" t="s">
        <v>765</v>
      </c>
      <c r="B697" s="2">
        <v>45987</v>
      </c>
      <c r="C697" t="s">
        <v>49</v>
      </c>
      <c r="D697" t="str">
        <f t="shared" si="10"/>
        <v>November</v>
      </c>
      <c r="E697" t="s">
        <v>100</v>
      </c>
      <c r="F697" t="s">
        <v>25</v>
      </c>
      <c r="G697" t="s">
        <v>26</v>
      </c>
      <c r="H697" t="s">
        <v>19</v>
      </c>
      <c r="I697" t="s">
        <v>42</v>
      </c>
      <c r="J697" t="s">
        <v>43</v>
      </c>
      <c r="K697">
        <v>1</v>
      </c>
      <c r="L697">
        <v>1935.7</v>
      </c>
      <c r="M697">
        <v>5</v>
      </c>
      <c r="N697">
        <v>1838.92</v>
      </c>
      <c r="O697" t="s">
        <v>47</v>
      </c>
    </row>
    <row r="698" spans="1:15" x14ac:dyDescent="0.3">
      <c r="A698" t="s">
        <v>766</v>
      </c>
      <c r="B698" s="2">
        <v>45988</v>
      </c>
      <c r="C698" t="s">
        <v>31</v>
      </c>
      <c r="D698" t="str">
        <f t="shared" si="10"/>
        <v>November</v>
      </c>
      <c r="E698" t="s">
        <v>50</v>
      </c>
      <c r="F698" t="s">
        <v>53</v>
      </c>
      <c r="G698" t="s">
        <v>54</v>
      </c>
      <c r="H698" t="s">
        <v>45</v>
      </c>
      <c r="I698" t="s">
        <v>42</v>
      </c>
      <c r="J698" t="s">
        <v>46</v>
      </c>
      <c r="K698">
        <v>2</v>
      </c>
      <c r="L698">
        <v>25582.7</v>
      </c>
      <c r="M698">
        <v>0</v>
      </c>
      <c r="N698">
        <v>51165.41</v>
      </c>
      <c r="O698" t="s">
        <v>47</v>
      </c>
    </row>
    <row r="699" spans="1:15" x14ac:dyDescent="0.3">
      <c r="A699" t="s">
        <v>767</v>
      </c>
      <c r="B699" s="2">
        <v>45989</v>
      </c>
      <c r="C699" t="s">
        <v>49</v>
      </c>
      <c r="D699" t="str">
        <f t="shared" si="10"/>
        <v>November</v>
      </c>
      <c r="E699" t="s">
        <v>50</v>
      </c>
      <c r="F699" t="s">
        <v>53</v>
      </c>
      <c r="G699" t="s">
        <v>54</v>
      </c>
      <c r="H699" t="s">
        <v>19</v>
      </c>
      <c r="I699" t="s">
        <v>34</v>
      </c>
      <c r="J699" t="s">
        <v>21</v>
      </c>
      <c r="K699">
        <v>2</v>
      </c>
      <c r="L699">
        <v>39311.26</v>
      </c>
      <c r="M699">
        <v>10</v>
      </c>
      <c r="N699">
        <v>70760.28</v>
      </c>
      <c r="O699" t="s">
        <v>47</v>
      </c>
    </row>
    <row r="700" spans="1:15" x14ac:dyDescent="0.3">
      <c r="A700" t="s">
        <v>768</v>
      </c>
      <c r="B700" s="2">
        <v>45990</v>
      </c>
      <c r="C700" t="s">
        <v>49</v>
      </c>
      <c r="D700" t="str">
        <f t="shared" si="10"/>
        <v>November</v>
      </c>
      <c r="E700" t="s">
        <v>52</v>
      </c>
      <c r="F700" t="s">
        <v>25</v>
      </c>
      <c r="G700" t="s">
        <v>26</v>
      </c>
      <c r="H700" t="s">
        <v>27</v>
      </c>
      <c r="I700" t="s">
        <v>34</v>
      </c>
      <c r="J700" t="s">
        <v>43</v>
      </c>
      <c r="K700">
        <v>1</v>
      </c>
      <c r="L700">
        <v>2661.31</v>
      </c>
      <c r="M700">
        <v>5</v>
      </c>
      <c r="N700">
        <v>2528.2399999999998</v>
      </c>
      <c r="O700" t="s">
        <v>47</v>
      </c>
    </row>
    <row r="701" spans="1:15" x14ac:dyDescent="0.3">
      <c r="A701" t="s">
        <v>769</v>
      </c>
      <c r="B701" s="2">
        <v>45991</v>
      </c>
      <c r="C701" t="s">
        <v>15</v>
      </c>
      <c r="D701" t="str">
        <f t="shared" si="10"/>
        <v>November</v>
      </c>
      <c r="E701" t="s">
        <v>39</v>
      </c>
      <c r="F701" t="s">
        <v>53</v>
      </c>
      <c r="G701" t="s">
        <v>65</v>
      </c>
      <c r="H701" t="s">
        <v>33</v>
      </c>
      <c r="I701" t="s">
        <v>20</v>
      </c>
      <c r="J701" t="s">
        <v>43</v>
      </c>
      <c r="K701">
        <v>3</v>
      </c>
      <c r="L701">
        <v>31141.17</v>
      </c>
      <c r="M701">
        <v>10</v>
      </c>
      <c r="N701">
        <v>84081.17</v>
      </c>
      <c r="O701" t="s">
        <v>47</v>
      </c>
    </row>
    <row r="702" spans="1:15" x14ac:dyDescent="0.3">
      <c r="A702" t="s">
        <v>770</v>
      </c>
      <c r="B702" s="2">
        <v>45992</v>
      </c>
      <c r="C702" t="s">
        <v>31</v>
      </c>
      <c r="D702" t="str">
        <f t="shared" si="10"/>
        <v>December</v>
      </c>
      <c r="E702" t="s">
        <v>24</v>
      </c>
      <c r="F702" t="s">
        <v>40</v>
      </c>
      <c r="G702" t="s">
        <v>41</v>
      </c>
      <c r="H702" t="s">
        <v>33</v>
      </c>
      <c r="I702" t="s">
        <v>34</v>
      </c>
      <c r="J702" t="s">
        <v>46</v>
      </c>
      <c r="K702">
        <v>1</v>
      </c>
      <c r="L702">
        <v>8123.03</v>
      </c>
      <c r="M702">
        <v>10</v>
      </c>
      <c r="N702">
        <v>7310.73</v>
      </c>
      <c r="O702" t="s">
        <v>47</v>
      </c>
    </row>
    <row r="703" spans="1:15" x14ac:dyDescent="0.3">
      <c r="A703" t="s">
        <v>771</v>
      </c>
      <c r="B703" s="2">
        <v>45993</v>
      </c>
      <c r="C703" t="s">
        <v>38</v>
      </c>
      <c r="D703" t="str">
        <f t="shared" si="10"/>
        <v>December</v>
      </c>
      <c r="E703" t="s">
        <v>72</v>
      </c>
      <c r="F703" t="s">
        <v>17</v>
      </c>
      <c r="G703" t="s">
        <v>123</v>
      </c>
      <c r="H703" t="s">
        <v>45</v>
      </c>
      <c r="I703" t="s">
        <v>42</v>
      </c>
      <c r="J703" t="s">
        <v>46</v>
      </c>
      <c r="K703">
        <v>4</v>
      </c>
      <c r="L703">
        <v>52252.639999999999</v>
      </c>
      <c r="M703">
        <v>15</v>
      </c>
      <c r="N703">
        <v>177658.97</v>
      </c>
      <c r="O703" t="s">
        <v>36</v>
      </c>
    </row>
    <row r="704" spans="1:15" x14ac:dyDescent="0.3">
      <c r="A704" t="s">
        <v>772</v>
      </c>
      <c r="B704" s="2">
        <v>45994</v>
      </c>
      <c r="C704" t="s">
        <v>31</v>
      </c>
      <c r="D704" t="str">
        <f t="shared" si="10"/>
        <v>December</v>
      </c>
      <c r="E704" t="s">
        <v>69</v>
      </c>
      <c r="F704" t="s">
        <v>40</v>
      </c>
      <c r="G704" t="s">
        <v>75</v>
      </c>
      <c r="H704" t="s">
        <v>45</v>
      </c>
      <c r="I704" t="s">
        <v>34</v>
      </c>
      <c r="J704" t="s">
        <v>43</v>
      </c>
      <c r="K704">
        <v>5</v>
      </c>
      <c r="L704">
        <v>7883.55</v>
      </c>
      <c r="M704">
        <v>10</v>
      </c>
      <c r="N704">
        <v>35475.96</v>
      </c>
      <c r="O704" t="s">
        <v>29</v>
      </c>
    </row>
    <row r="705" spans="1:15" x14ac:dyDescent="0.3">
      <c r="A705" t="s">
        <v>773</v>
      </c>
      <c r="B705" s="2">
        <v>45995</v>
      </c>
      <c r="C705" t="s">
        <v>58</v>
      </c>
      <c r="D705" t="str">
        <f t="shared" si="10"/>
        <v>December</v>
      </c>
      <c r="E705" t="s">
        <v>52</v>
      </c>
      <c r="F705" t="s">
        <v>53</v>
      </c>
      <c r="G705" t="s">
        <v>54</v>
      </c>
      <c r="H705" t="s">
        <v>27</v>
      </c>
      <c r="I705" t="s">
        <v>34</v>
      </c>
      <c r="J705" t="s">
        <v>28</v>
      </c>
      <c r="K705">
        <v>5</v>
      </c>
      <c r="L705">
        <v>27585.67</v>
      </c>
      <c r="M705">
        <v>10</v>
      </c>
      <c r="N705">
        <v>124135.51</v>
      </c>
      <c r="O705" t="s">
        <v>47</v>
      </c>
    </row>
    <row r="706" spans="1:15" x14ac:dyDescent="0.3">
      <c r="A706" t="s">
        <v>774</v>
      </c>
      <c r="B706" s="2">
        <v>45996</v>
      </c>
      <c r="C706" t="s">
        <v>38</v>
      </c>
      <c r="D706" t="str">
        <f t="shared" si="10"/>
        <v>December</v>
      </c>
      <c r="E706" t="s">
        <v>77</v>
      </c>
      <c r="F706" t="s">
        <v>17</v>
      </c>
      <c r="G706" t="s">
        <v>123</v>
      </c>
      <c r="H706" t="s">
        <v>33</v>
      </c>
      <c r="I706" t="s">
        <v>42</v>
      </c>
      <c r="J706" t="s">
        <v>46</v>
      </c>
      <c r="K706">
        <v>5</v>
      </c>
      <c r="L706">
        <v>61262.29</v>
      </c>
      <c r="M706">
        <v>10</v>
      </c>
      <c r="N706">
        <v>275680.31</v>
      </c>
      <c r="O706" t="s">
        <v>47</v>
      </c>
    </row>
    <row r="707" spans="1:15" x14ac:dyDescent="0.3">
      <c r="A707" t="s">
        <v>775</v>
      </c>
      <c r="B707" s="2">
        <v>45997</v>
      </c>
      <c r="C707" t="s">
        <v>49</v>
      </c>
      <c r="D707" t="str">
        <f t="shared" ref="D707:D770" si="11">TEXT(B707,"mmmm")</f>
        <v>December</v>
      </c>
      <c r="E707" t="s">
        <v>50</v>
      </c>
      <c r="F707" t="s">
        <v>17</v>
      </c>
      <c r="G707" t="s">
        <v>67</v>
      </c>
      <c r="H707" t="s">
        <v>45</v>
      </c>
      <c r="I707" t="s">
        <v>42</v>
      </c>
      <c r="J707" t="s">
        <v>21</v>
      </c>
      <c r="K707">
        <v>5</v>
      </c>
      <c r="L707">
        <v>51545.599999999999</v>
      </c>
      <c r="M707">
        <v>0</v>
      </c>
      <c r="N707">
        <v>257728</v>
      </c>
      <c r="O707" t="s">
        <v>29</v>
      </c>
    </row>
    <row r="708" spans="1:15" x14ac:dyDescent="0.3">
      <c r="A708" t="s">
        <v>776</v>
      </c>
      <c r="B708" s="2">
        <v>45998</v>
      </c>
      <c r="C708" t="s">
        <v>15</v>
      </c>
      <c r="D708" t="str">
        <f t="shared" si="11"/>
        <v>December</v>
      </c>
      <c r="E708" t="s">
        <v>72</v>
      </c>
      <c r="F708" t="s">
        <v>60</v>
      </c>
      <c r="G708" t="s">
        <v>70</v>
      </c>
      <c r="H708" t="s">
        <v>27</v>
      </c>
      <c r="I708" t="s">
        <v>34</v>
      </c>
      <c r="J708" t="s">
        <v>35</v>
      </c>
      <c r="K708">
        <v>4</v>
      </c>
      <c r="L708">
        <v>40488.61</v>
      </c>
      <c r="M708">
        <v>0</v>
      </c>
      <c r="N708">
        <v>161954.43</v>
      </c>
      <c r="O708" t="s">
        <v>22</v>
      </c>
    </row>
    <row r="709" spans="1:15" x14ac:dyDescent="0.3">
      <c r="A709" t="s">
        <v>777</v>
      </c>
      <c r="B709" s="2">
        <v>45999</v>
      </c>
      <c r="C709" t="s">
        <v>31</v>
      </c>
      <c r="D709" t="str">
        <f t="shared" si="11"/>
        <v>December</v>
      </c>
      <c r="E709" t="s">
        <v>50</v>
      </c>
      <c r="F709" t="s">
        <v>25</v>
      </c>
      <c r="G709" t="s">
        <v>92</v>
      </c>
      <c r="H709" t="s">
        <v>19</v>
      </c>
      <c r="I709" t="s">
        <v>42</v>
      </c>
      <c r="J709" t="s">
        <v>43</v>
      </c>
      <c r="K709">
        <v>5</v>
      </c>
      <c r="L709">
        <v>2295.54</v>
      </c>
      <c r="M709">
        <v>10</v>
      </c>
      <c r="N709">
        <v>10329.92</v>
      </c>
      <c r="O709" t="s">
        <v>22</v>
      </c>
    </row>
    <row r="710" spans="1:15" x14ac:dyDescent="0.3">
      <c r="A710" t="s">
        <v>778</v>
      </c>
      <c r="B710" s="2">
        <v>46000</v>
      </c>
      <c r="C710" t="s">
        <v>58</v>
      </c>
      <c r="D710" t="str">
        <f t="shared" si="11"/>
        <v>December</v>
      </c>
      <c r="E710" t="s">
        <v>52</v>
      </c>
      <c r="F710" t="s">
        <v>25</v>
      </c>
      <c r="G710" t="s">
        <v>92</v>
      </c>
      <c r="H710" t="s">
        <v>27</v>
      </c>
      <c r="I710" t="s">
        <v>42</v>
      </c>
      <c r="J710" t="s">
        <v>43</v>
      </c>
      <c r="K710">
        <v>3</v>
      </c>
      <c r="L710">
        <v>1974.07</v>
      </c>
      <c r="M710">
        <v>20</v>
      </c>
      <c r="N710">
        <v>4737.7700000000004</v>
      </c>
      <c r="O710" t="s">
        <v>47</v>
      </c>
    </row>
    <row r="711" spans="1:15" x14ac:dyDescent="0.3">
      <c r="A711" t="s">
        <v>779</v>
      </c>
      <c r="B711" s="2">
        <v>46001</v>
      </c>
      <c r="C711" t="s">
        <v>49</v>
      </c>
      <c r="D711" t="str">
        <f t="shared" si="11"/>
        <v>December</v>
      </c>
      <c r="E711" t="s">
        <v>77</v>
      </c>
      <c r="F711" t="s">
        <v>25</v>
      </c>
      <c r="G711" t="s">
        <v>26</v>
      </c>
      <c r="H711" t="s">
        <v>19</v>
      </c>
      <c r="I711" t="s">
        <v>42</v>
      </c>
      <c r="J711" t="s">
        <v>28</v>
      </c>
      <c r="K711">
        <v>5</v>
      </c>
      <c r="L711">
        <v>2398.79</v>
      </c>
      <c r="M711">
        <v>10</v>
      </c>
      <c r="N711">
        <v>10794.54</v>
      </c>
      <c r="O711" t="s">
        <v>36</v>
      </c>
    </row>
    <row r="712" spans="1:15" x14ac:dyDescent="0.3">
      <c r="A712" t="s">
        <v>780</v>
      </c>
      <c r="B712" s="2">
        <v>46002</v>
      </c>
      <c r="C712" t="s">
        <v>49</v>
      </c>
      <c r="D712" t="str">
        <f t="shared" si="11"/>
        <v>December</v>
      </c>
      <c r="E712" t="s">
        <v>39</v>
      </c>
      <c r="F712" t="s">
        <v>53</v>
      </c>
      <c r="G712" t="s">
        <v>129</v>
      </c>
      <c r="H712" t="s">
        <v>19</v>
      </c>
      <c r="I712" t="s">
        <v>42</v>
      </c>
      <c r="J712" t="s">
        <v>46</v>
      </c>
      <c r="K712">
        <v>3</v>
      </c>
      <c r="L712">
        <v>28186.44</v>
      </c>
      <c r="M712">
        <v>0</v>
      </c>
      <c r="N712">
        <v>84559.32</v>
      </c>
      <c r="O712" t="s">
        <v>47</v>
      </c>
    </row>
    <row r="713" spans="1:15" x14ac:dyDescent="0.3">
      <c r="A713" t="s">
        <v>781</v>
      </c>
      <c r="B713" s="2">
        <v>46003</v>
      </c>
      <c r="C713" t="s">
        <v>58</v>
      </c>
      <c r="D713" t="str">
        <f t="shared" si="11"/>
        <v>December</v>
      </c>
      <c r="E713" t="s">
        <v>100</v>
      </c>
      <c r="F713" t="s">
        <v>25</v>
      </c>
      <c r="G713" t="s">
        <v>26</v>
      </c>
      <c r="H713" t="s">
        <v>27</v>
      </c>
      <c r="I713" t="s">
        <v>42</v>
      </c>
      <c r="J713" t="s">
        <v>43</v>
      </c>
      <c r="K713">
        <v>3</v>
      </c>
      <c r="L713">
        <v>2393.65</v>
      </c>
      <c r="M713">
        <v>15</v>
      </c>
      <c r="N713">
        <v>6103.8</v>
      </c>
      <c r="O713" t="s">
        <v>47</v>
      </c>
    </row>
    <row r="714" spans="1:15" x14ac:dyDescent="0.3">
      <c r="A714" t="s">
        <v>782</v>
      </c>
      <c r="B714" s="2">
        <v>46004</v>
      </c>
      <c r="C714" t="s">
        <v>49</v>
      </c>
      <c r="D714" t="str">
        <f t="shared" si="11"/>
        <v>December</v>
      </c>
      <c r="E714" t="s">
        <v>24</v>
      </c>
      <c r="F714" t="s">
        <v>17</v>
      </c>
      <c r="G714" t="s">
        <v>63</v>
      </c>
      <c r="H714" t="s">
        <v>45</v>
      </c>
      <c r="I714" t="s">
        <v>42</v>
      </c>
      <c r="J714" t="s">
        <v>43</v>
      </c>
      <c r="K714">
        <v>2</v>
      </c>
      <c r="L714">
        <v>57471.5</v>
      </c>
      <c r="M714">
        <v>5</v>
      </c>
      <c r="N714">
        <v>109195.85</v>
      </c>
      <c r="O714" t="s">
        <v>47</v>
      </c>
    </row>
    <row r="715" spans="1:15" x14ac:dyDescent="0.3">
      <c r="A715" t="s">
        <v>783</v>
      </c>
      <c r="B715" s="2">
        <v>46005</v>
      </c>
      <c r="C715" t="s">
        <v>15</v>
      </c>
      <c r="D715" t="str">
        <f t="shared" si="11"/>
        <v>December</v>
      </c>
      <c r="E715" t="s">
        <v>69</v>
      </c>
      <c r="F715" t="s">
        <v>40</v>
      </c>
      <c r="G715" t="s">
        <v>118</v>
      </c>
      <c r="H715" t="s">
        <v>27</v>
      </c>
      <c r="I715" t="s">
        <v>20</v>
      </c>
      <c r="J715" t="s">
        <v>43</v>
      </c>
      <c r="K715">
        <v>2</v>
      </c>
      <c r="L715">
        <v>7873.27</v>
      </c>
      <c r="M715">
        <v>5</v>
      </c>
      <c r="N715">
        <v>14959.2</v>
      </c>
      <c r="O715" t="s">
        <v>47</v>
      </c>
    </row>
    <row r="716" spans="1:15" x14ac:dyDescent="0.3">
      <c r="A716" t="s">
        <v>784</v>
      </c>
      <c r="B716" s="2">
        <v>46006</v>
      </c>
      <c r="C716" t="s">
        <v>31</v>
      </c>
      <c r="D716" t="str">
        <f t="shared" si="11"/>
        <v>December</v>
      </c>
      <c r="E716" t="s">
        <v>50</v>
      </c>
      <c r="F716" t="s">
        <v>17</v>
      </c>
      <c r="G716" t="s">
        <v>123</v>
      </c>
      <c r="H716" t="s">
        <v>19</v>
      </c>
      <c r="I716" t="s">
        <v>42</v>
      </c>
      <c r="J716" t="s">
        <v>21</v>
      </c>
      <c r="K716">
        <v>2</v>
      </c>
      <c r="L716">
        <v>47676.14</v>
      </c>
      <c r="M716">
        <v>20</v>
      </c>
      <c r="N716">
        <v>76281.83</v>
      </c>
      <c r="O716" t="s">
        <v>47</v>
      </c>
    </row>
    <row r="717" spans="1:15" x14ac:dyDescent="0.3">
      <c r="A717" t="s">
        <v>785</v>
      </c>
      <c r="B717" s="2">
        <v>46007</v>
      </c>
      <c r="C717" t="s">
        <v>58</v>
      </c>
      <c r="D717" t="str">
        <f t="shared" si="11"/>
        <v>December</v>
      </c>
      <c r="E717" t="s">
        <v>50</v>
      </c>
      <c r="F717" t="s">
        <v>40</v>
      </c>
      <c r="G717" t="s">
        <v>115</v>
      </c>
      <c r="H717" t="s">
        <v>27</v>
      </c>
      <c r="I717" t="s">
        <v>34</v>
      </c>
      <c r="J717" t="s">
        <v>21</v>
      </c>
      <c r="K717">
        <v>5</v>
      </c>
      <c r="L717">
        <v>5346.28</v>
      </c>
      <c r="M717">
        <v>5</v>
      </c>
      <c r="N717">
        <v>25394.85</v>
      </c>
      <c r="O717" t="s">
        <v>29</v>
      </c>
    </row>
    <row r="718" spans="1:15" x14ac:dyDescent="0.3">
      <c r="A718" t="s">
        <v>786</v>
      </c>
      <c r="B718" s="2">
        <v>46008</v>
      </c>
      <c r="C718" t="s">
        <v>58</v>
      </c>
      <c r="D718" t="str">
        <f t="shared" si="11"/>
        <v>December</v>
      </c>
      <c r="E718" t="s">
        <v>16</v>
      </c>
      <c r="F718" t="s">
        <v>53</v>
      </c>
      <c r="G718" t="s">
        <v>54</v>
      </c>
      <c r="H718" t="s">
        <v>33</v>
      </c>
      <c r="I718" t="s">
        <v>42</v>
      </c>
      <c r="J718" t="s">
        <v>21</v>
      </c>
      <c r="K718">
        <v>4</v>
      </c>
      <c r="L718">
        <v>31497.5</v>
      </c>
      <c r="M718">
        <v>20</v>
      </c>
      <c r="N718">
        <v>100792</v>
      </c>
      <c r="O718" t="s">
        <v>29</v>
      </c>
    </row>
    <row r="719" spans="1:15" x14ac:dyDescent="0.3">
      <c r="A719" t="s">
        <v>787</v>
      </c>
      <c r="B719" s="2">
        <v>46009</v>
      </c>
      <c r="C719" t="s">
        <v>31</v>
      </c>
      <c r="D719" t="str">
        <f t="shared" si="11"/>
        <v>December</v>
      </c>
      <c r="E719" t="s">
        <v>39</v>
      </c>
      <c r="F719" t="s">
        <v>17</v>
      </c>
      <c r="G719" t="s">
        <v>67</v>
      </c>
      <c r="H719" t="s">
        <v>27</v>
      </c>
      <c r="I719" t="s">
        <v>20</v>
      </c>
      <c r="J719" t="s">
        <v>46</v>
      </c>
      <c r="K719">
        <v>4</v>
      </c>
      <c r="L719">
        <v>70813.13</v>
      </c>
      <c r="M719">
        <v>5</v>
      </c>
      <c r="N719">
        <v>269089.88</v>
      </c>
      <c r="O719" t="s">
        <v>36</v>
      </c>
    </row>
    <row r="720" spans="1:15" x14ac:dyDescent="0.3">
      <c r="A720" t="s">
        <v>788</v>
      </c>
      <c r="B720" s="2">
        <v>46010</v>
      </c>
      <c r="C720" t="s">
        <v>38</v>
      </c>
      <c r="D720" t="str">
        <f t="shared" si="11"/>
        <v>December</v>
      </c>
      <c r="E720" t="s">
        <v>72</v>
      </c>
      <c r="F720" t="s">
        <v>17</v>
      </c>
      <c r="G720" t="s">
        <v>67</v>
      </c>
      <c r="H720" t="s">
        <v>33</v>
      </c>
      <c r="I720" t="s">
        <v>42</v>
      </c>
      <c r="J720" t="s">
        <v>46</v>
      </c>
      <c r="K720">
        <v>4</v>
      </c>
      <c r="L720">
        <v>51363.96</v>
      </c>
      <c r="M720">
        <v>5</v>
      </c>
      <c r="N720">
        <v>195183.05</v>
      </c>
      <c r="O720" t="s">
        <v>47</v>
      </c>
    </row>
    <row r="721" spans="1:15" x14ac:dyDescent="0.3">
      <c r="A721" t="s">
        <v>789</v>
      </c>
      <c r="B721" s="2">
        <v>46011</v>
      </c>
      <c r="C721" t="s">
        <v>38</v>
      </c>
      <c r="D721" t="str">
        <f t="shared" si="11"/>
        <v>December</v>
      </c>
      <c r="E721" t="s">
        <v>50</v>
      </c>
      <c r="F721" t="s">
        <v>40</v>
      </c>
      <c r="G721" t="s">
        <v>41</v>
      </c>
      <c r="H721" t="s">
        <v>19</v>
      </c>
      <c r="I721" t="s">
        <v>20</v>
      </c>
      <c r="J721" t="s">
        <v>46</v>
      </c>
      <c r="K721">
        <v>4</v>
      </c>
      <c r="L721">
        <v>5615.36</v>
      </c>
      <c r="M721">
        <v>10</v>
      </c>
      <c r="N721">
        <v>20215.3</v>
      </c>
      <c r="O721" t="s">
        <v>47</v>
      </c>
    </row>
    <row r="722" spans="1:15" x14ac:dyDescent="0.3">
      <c r="A722" t="s">
        <v>790</v>
      </c>
      <c r="B722" s="2">
        <v>46012</v>
      </c>
      <c r="C722" t="s">
        <v>49</v>
      </c>
      <c r="D722" t="str">
        <f t="shared" si="11"/>
        <v>December</v>
      </c>
      <c r="E722" t="s">
        <v>16</v>
      </c>
      <c r="F722" t="s">
        <v>53</v>
      </c>
      <c r="G722" t="s">
        <v>54</v>
      </c>
      <c r="H722" t="s">
        <v>19</v>
      </c>
      <c r="I722" t="s">
        <v>34</v>
      </c>
      <c r="J722" t="s">
        <v>21</v>
      </c>
      <c r="K722">
        <v>2</v>
      </c>
      <c r="L722">
        <v>26258.97</v>
      </c>
      <c r="M722">
        <v>5</v>
      </c>
      <c r="N722">
        <v>49892.04</v>
      </c>
      <c r="O722" t="s">
        <v>29</v>
      </c>
    </row>
    <row r="723" spans="1:15" x14ac:dyDescent="0.3">
      <c r="A723" t="s">
        <v>791</v>
      </c>
      <c r="B723" s="2">
        <v>46013</v>
      </c>
      <c r="C723" t="s">
        <v>49</v>
      </c>
      <c r="D723" t="str">
        <f t="shared" si="11"/>
        <v>December</v>
      </c>
      <c r="E723" t="s">
        <v>72</v>
      </c>
      <c r="F723" t="s">
        <v>53</v>
      </c>
      <c r="G723" t="s">
        <v>54</v>
      </c>
      <c r="H723" t="s">
        <v>19</v>
      </c>
      <c r="I723" t="s">
        <v>42</v>
      </c>
      <c r="J723" t="s">
        <v>35</v>
      </c>
      <c r="K723">
        <v>1</v>
      </c>
      <c r="L723">
        <v>28162.42</v>
      </c>
      <c r="M723">
        <v>10</v>
      </c>
      <c r="N723">
        <v>25346.18</v>
      </c>
      <c r="O723" t="s">
        <v>47</v>
      </c>
    </row>
    <row r="724" spans="1:15" x14ac:dyDescent="0.3">
      <c r="A724" t="s">
        <v>792</v>
      </c>
      <c r="B724" s="2">
        <v>46014</v>
      </c>
      <c r="C724" t="s">
        <v>15</v>
      </c>
      <c r="D724" t="str">
        <f t="shared" si="11"/>
        <v>December</v>
      </c>
      <c r="E724" t="s">
        <v>39</v>
      </c>
      <c r="F724" t="s">
        <v>40</v>
      </c>
      <c r="G724" t="s">
        <v>115</v>
      </c>
      <c r="H724" t="s">
        <v>27</v>
      </c>
      <c r="I724" t="s">
        <v>42</v>
      </c>
      <c r="J724" t="s">
        <v>35</v>
      </c>
      <c r="K724">
        <v>2</v>
      </c>
      <c r="L724">
        <v>5484.92</v>
      </c>
      <c r="M724">
        <v>10</v>
      </c>
      <c r="N724">
        <v>9872.85</v>
      </c>
      <c r="O724" t="s">
        <v>47</v>
      </c>
    </row>
    <row r="725" spans="1:15" x14ac:dyDescent="0.3">
      <c r="A725" t="s">
        <v>793</v>
      </c>
      <c r="B725" s="2">
        <v>46015</v>
      </c>
      <c r="C725" t="s">
        <v>15</v>
      </c>
      <c r="D725" t="str">
        <f t="shared" si="11"/>
        <v>December</v>
      </c>
      <c r="E725" t="s">
        <v>32</v>
      </c>
      <c r="F725" t="s">
        <v>40</v>
      </c>
      <c r="G725" t="s">
        <v>41</v>
      </c>
      <c r="H725" t="s">
        <v>33</v>
      </c>
      <c r="I725" t="s">
        <v>34</v>
      </c>
      <c r="J725" t="s">
        <v>43</v>
      </c>
      <c r="K725">
        <v>1</v>
      </c>
      <c r="L725">
        <v>7145.41</v>
      </c>
      <c r="M725">
        <v>10</v>
      </c>
      <c r="N725">
        <v>6430.87</v>
      </c>
      <c r="O725" t="s">
        <v>47</v>
      </c>
    </row>
    <row r="726" spans="1:15" x14ac:dyDescent="0.3">
      <c r="A726" t="s">
        <v>794</v>
      </c>
      <c r="B726" s="2">
        <v>46016</v>
      </c>
      <c r="C726" t="s">
        <v>15</v>
      </c>
      <c r="D726" t="str">
        <f t="shared" si="11"/>
        <v>December</v>
      </c>
      <c r="E726" t="s">
        <v>39</v>
      </c>
      <c r="F726" t="s">
        <v>53</v>
      </c>
      <c r="G726" t="s">
        <v>129</v>
      </c>
      <c r="H726" t="s">
        <v>33</v>
      </c>
      <c r="I726" t="s">
        <v>20</v>
      </c>
      <c r="J726" t="s">
        <v>21</v>
      </c>
      <c r="K726">
        <v>4</v>
      </c>
      <c r="L726">
        <v>37192.85</v>
      </c>
      <c r="M726">
        <v>0</v>
      </c>
      <c r="N726">
        <v>148771.41</v>
      </c>
      <c r="O726" t="s">
        <v>22</v>
      </c>
    </row>
    <row r="727" spans="1:15" x14ac:dyDescent="0.3">
      <c r="A727" t="s">
        <v>795</v>
      </c>
      <c r="B727" s="2">
        <v>46017</v>
      </c>
      <c r="C727" t="s">
        <v>15</v>
      </c>
      <c r="D727" t="str">
        <f t="shared" si="11"/>
        <v>December</v>
      </c>
      <c r="E727" t="s">
        <v>39</v>
      </c>
      <c r="F727" t="s">
        <v>25</v>
      </c>
      <c r="G727" t="s">
        <v>26</v>
      </c>
      <c r="H727" t="s">
        <v>33</v>
      </c>
      <c r="I727" t="s">
        <v>42</v>
      </c>
      <c r="J727" t="s">
        <v>21</v>
      </c>
      <c r="K727">
        <v>1</v>
      </c>
      <c r="L727">
        <v>2033.64</v>
      </c>
      <c r="M727">
        <v>15</v>
      </c>
      <c r="N727">
        <v>1728.59</v>
      </c>
      <c r="O727" t="s">
        <v>47</v>
      </c>
    </row>
    <row r="728" spans="1:15" x14ac:dyDescent="0.3">
      <c r="A728" t="s">
        <v>796</v>
      </c>
      <c r="B728" s="2">
        <v>46018</v>
      </c>
      <c r="C728" t="s">
        <v>38</v>
      </c>
      <c r="D728" t="str">
        <f t="shared" si="11"/>
        <v>December</v>
      </c>
      <c r="E728" t="s">
        <v>72</v>
      </c>
      <c r="F728" t="s">
        <v>25</v>
      </c>
      <c r="G728" t="s">
        <v>26</v>
      </c>
      <c r="H728" t="s">
        <v>27</v>
      </c>
      <c r="I728" t="s">
        <v>34</v>
      </c>
      <c r="J728" t="s">
        <v>28</v>
      </c>
      <c r="K728">
        <v>1</v>
      </c>
      <c r="L728">
        <v>1885.23</v>
      </c>
      <c r="M728">
        <v>0</v>
      </c>
      <c r="N728">
        <v>1885.23</v>
      </c>
      <c r="O728" t="s">
        <v>22</v>
      </c>
    </row>
    <row r="729" spans="1:15" x14ac:dyDescent="0.3">
      <c r="A729" t="s">
        <v>797</v>
      </c>
      <c r="B729" s="2">
        <v>46019</v>
      </c>
      <c r="C729" t="s">
        <v>38</v>
      </c>
      <c r="D729" t="str">
        <f t="shared" si="11"/>
        <v>December</v>
      </c>
      <c r="E729" t="s">
        <v>50</v>
      </c>
      <c r="F729" t="s">
        <v>53</v>
      </c>
      <c r="G729" t="s">
        <v>129</v>
      </c>
      <c r="H729" t="s">
        <v>27</v>
      </c>
      <c r="I729" t="s">
        <v>34</v>
      </c>
      <c r="J729" t="s">
        <v>28</v>
      </c>
      <c r="K729">
        <v>4</v>
      </c>
      <c r="L729">
        <v>30246.29</v>
      </c>
      <c r="M729">
        <v>15</v>
      </c>
      <c r="N729">
        <v>102837.39</v>
      </c>
      <c r="O729" t="s">
        <v>29</v>
      </c>
    </row>
    <row r="730" spans="1:15" x14ac:dyDescent="0.3">
      <c r="A730" t="s">
        <v>798</v>
      </c>
      <c r="B730" s="2">
        <v>46020</v>
      </c>
      <c r="C730" t="s">
        <v>38</v>
      </c>
      <c r="D730" t="str">
        <f t="shared" si="11"/>
        <v>December</v>
      </c>
      <c r="E730" t="s">
        <v>52</v>
      </c>
      <c r="F730" t="s">
        <v>17</v>
      </c>
      <c r="G730" t="s">
        <v>67</v>
      </c>
      <c r="H730" t="s">
        <v>33</v>
      </c>
      <c r="I730" t="s">
        <v>42</v>
      </c>
      <c r="J730" t="s">
        <v>35</v>
      </c>
      <c r="K730">
        <v>2</v>
      </c>
      <c r="L730">
        <v>46775.13</v>
      </c>
      <c r="M730">
        <v>0</v>
      </c>
      <c r="N730">
        <v>93550.25</v>
      </c>
      <c r="O730" t="s">
        <v>36</v>
      </c>
    </row>
    <row r="731" spans="1:15" x14ac:dyDescent="0.3">
      <c r="A731" t="s">
        <v>799</v>
      </c>
      <c r="B731" s="2">
        <v>46021</v>
      </c>
      <c r="C731" t="s">
        <v>58</v>
      </c>
      <c r="D731" t="str">
        <f t="shared" si="11"/>
        <v>December</v>
      </c>
      <c r="E731" t="s">
        <v>24</v>
      </c>
      <c r="F731" t="s">
        <v>17</v>
      </c>
      <c r="G731" t="s">
        <v>63</v>
      </c>
      <c r="H731" t="s">
        <v>33</v>
      </c>
      <c r="I731" t="s">
        <v>20</v>
      </c>
      <c r="J731" t="s">
        <v>28</v>
      </c>
      <c r="K731">
        <v>4</v>
      </c>
      <c r="L731">
        <v>65011.14</v>
      </c>
      <c r="M731">
        <v>5</v>
      </c>
      <c r="N731">
        <v>247042.32</v>
      </c>
      <c r="O731" t="s">
        <v>29</v>
      </c>
    </row>
    <row r="732" spans="1:15" x14ac:dyDescent="0.3">
      <c r="A732" t="s">
        <v>800</v>
      </c>
      <c r="B732" s="2">
        <v>46022</v>
      </c>
      <c r="C732" t="s">
        <v>58</v>
      </c>
      <c r="D732" t="str">
        <f t="shared" si="11"/>
        <v>December</v>
      </c>
      <c r="E732" t="s">
        <v>32</v>
      </c>
      <c r="F732" t="s">
        <v>17</v>
      </c>
      <c r="G732" t="s">
        <v>63</v>
      </c>
      <c r="H732" t="s">
        <v>19</v>
      </c>
      <c r="I732" t="s">
        <v>42</v>
      </c>
      <c r="J732" t="s">
        <v>28</v>
      </c>
      <c r="K732">
        <v>2</v>
      </c>
      <c r="L732">
        <v>72196.710000000006</v>
      </c>
      <c r="M732">
        <v>0</v>
      </c>
      <c r="N732">
        <v>144393.41</v>
      </c>
      <c r="O732" t="s">
        <v>47</v>
      </c>
    </row>
    <row r="733" spans="1:15" x14ac:dyDescent="0.3">
      <c r="A733" t="s">
        <v>801</v>
      </c>
      <c r="B733" s="2">
        <v>46023</v>
      </c>
      <c r="C733" t="s">
        <v>49</v>
      </c>
      <c r="D733" t="str">
        <f t="shared" si="11"/>
        <v>January</v>
      </c>
      <c r="E733" t="s">
        <v>72</v>
      </c>
      <c r="F733" t="s">
        <v>25</v>
      </c>
      <c r="G733" t="s">
        <v>92</v>
      </c>
      <c r="H733" t="s">
        <v>33</v>
      </c>
      <c r="I733" t="s">
        <v>34</v>
      </c>
      <c r="J733" t="s">
        <v>43</v>
      </c>
      <c r="K733">
        <v>1</v>
      </c>
      <c r="L733">
        <v>3070.01</v>
      </c>
      <c r="M733">
        <v>20</v>
      </c>
      <c r="N733">
        <v>2456.0100000000002</v>
      </c>
      <c r="O733" t="s">
        <v>29</v>
      </c>
    </row>
    <row r="734" spans="1:15" x14ac:dyDescent="0.3">
      <c r="A734" t="s">
        <v>802</v>
      </c>
      <c r="B734" s="2">
        <v>46024</v>
      </c>
      <c r="C734" t="s">
        <v>31</v>
      </c>
      <c r="D734" t="str">
        <f t="shared" si="11"/>
        <v>January</v>
      </c>
      <c r="E734" t="s">
        <v>39</v>
      </c>
      <c r="F734" t="s">
        <v>40</v>
      </c>
      <c r="G734" t="s">
        <v>118</v>
      </c>
      <c r="H734" t="s">
        <v>19</v>
      </c>
      <c r="I734" t="s">
        <v>42</v>
      </c>
      <c r="J734" t="s">
        <v>46</v>
      </c>
      <c r="K734">
        <v>1</v>
      </c>
      <c r="L734">
        <v>7102.41</v>
      </c>
      <c r="M734">
        <v>10</v>
      </c>
      <c r="N734">
        <v>6392.17</v>
      </c>
      <c r="O734" t="s">
        <v>47</v>
      </c>
    </row>
    <row r="735" spans="1:15" x14ac:dyDescent="0.3">
      <c r="A735" t="s">
        <v>803</v>
      </c>
      <c r="B735" s="2">
        <v>46025</v>
      </c>
      <c r="C735" t="s">
        <v>31</v>
      </c>
      <c r="D735" t="str">
        <f t="shared" si="11"/>
        <v>January</v>
      </c>
      <c r="E735" t="s">
        <v>24</v>
      </c>
      <c r="F735" t="s">
        <v>17</v>
      </c>
      <c r="G735" t="s">
        <v>63</v>
      </c>
      <c r="H735" t="s">
        <v>19</v>
      </c>
      <c r="I735" t="s">
        <v>34</v>
      </c>
      <c r="J735" t="s">
        <v>21</v>
      </c>
      <c r="K735">
        <v>1</v>
      </c>
      <c r="L735">
        <v>72325.42</v>
      </c>
      <c r="M735">
        <v>10</v>
      </c>
      <c r="N735">
        <v>65092.88</v>
      </c>
      <c r="O735" t="s">
        <v>29</v>
      </c>
    </row>
    <row r="736" spans="1:15" x14ac:dyDescent="0.3">
      <c r="A736" t="s">
        <v>804</v>
      </c>
      <c r="B736" s="2">
        <v>46026</v>
      </c>
      <c r="C736" t="s">
        <v>31</v>
      </c>
      <c r="D736" t="str">
        <f t="shared" si="11"/>
        <v>January</v>
      </c>
      <c r="E736" t="s">
        <v>24</v>
      </c>
      <c r="F736" t="s">
        <v>53</v>
      </c>
      <c r="G736" t="s">
        <v>129</v>
      </c>
      <c r="H736" t="s">
        <v>45</v>
      </c>
      <c r="I736" t="s">
        <v>34</v>
      </c>
      <c r="J736" t="s">
        <v>28</v>
      </c>
      <c r="K736">
        <v>4</v>
      </c>
      <c r="L736">
        <v>36703.360000000001</v>
      </c>
      <c r="M736">
        <v>20</v>
      </c>
      <c r="N736">
        <v>117450.76</v>
      </c>
      <c r="O736" t="s">
        <v>22</v>
      </c>
    </row>
    <row r="737" spans="1:15" x14ac:dyDescent="0.3">
      <c r="A737" t="s">
        <v>805</v>
      </c>
      <c r="B737" s="2">
        <v>46027</v>
      </c>
      <c r="C737" t="s">
        <v>31</v>
      </c>
      <c r="D737" t="str">
        <f t="shared" si="11"/>
        <v>January</v>
      </c>
      <c r="E737" t="s">
        <v>50</v>
      </c>
      <c r="F737" t="s">
        <v>17</v>
      </c>
      <c r="G737" t="s">
        <v>123</v>
      </c>
      <c r="H737" t="s">
        <v>19</v>
      </c>
      <c r="I737" t="s">
        <v>42</v>
      </c>
      <c r="J737" t="s">
        <v>28</v>
      </c>
      <c r="K737">
        <v>4</v>
      </c>
      <c r="L737">
        <v>55607.74</v>
      </c>
      <c r="M737">
        <v>0</v>
      </c>
      <c r="N737">
        <v>222430.98</v>
      </c>
      <c r="O737" t="s">
        <v>47</v>
      </c>
    </row>
    <row r="738" spans="1:15" x14ac:dyDescent="0.3">
      <c r="A738" t="s">
        <v>806</v>
      </c>
      <c r="B738" s="2">
        <v>46028</v>
      </c>
      <c r="C738" t="s">
        <v>31</v>
      </c>
      <c r="D738" t="str">
        <f t="shared" si="11"/>
        <v>January</v>
      </c>
      <c r="E738" t="s">
        <v>52</v>
      </c>
      <c r="F738" t="s">
        <v>53</v>
      </c>
      <c r="G738" t="s">
        <v>105</v>
      </c>
      <c r="H738" t="s">
        <v>45</v>
      </c>
      <c r="I738" t="s">
        <v>20</v>
      </c>
      <c r="J738" t="s">
        <v>43</v>
      </c>
      <c r="K738">
        <v>4</v>
      </c>
      <c r="L738">
        <v>25706</v>
      </c>
      <c r="M738">
        <v>10</v>
      </c>
      <c r="N738">
        <v>92541.59</v>
      </c>
      <c r="O738" t="s">
        <v>47</v>
      </c>
    </row>
    <row r="739" spans="1:15" x14ac:dyDescent="0.3">
      <c r="A739" t="s">
        <v>807</v>
      </c>
      <c r="B739" s="2">
        <v>46029</v>
      </c>
      <c r="C739" t="s">
        <v>49</v>
      </c>
      <c r="D739" t="str">
        <f t="shared" si="11"/>
        <v>January</v>
      </c>
      <c r="E739" t="s">
        <v>100</v>
      </c>
      <c r="F739" t="s">
        <v>40</v>
      </c>
      <c r="G739" t="s">
        <v>75</v>
      </c>
      <c r="H739" t="s">
        <v>45</v>
      </c>
      <c r="I739" t="s">
        <v>42</v>
      </c>
      <c r="J739" t="s">
        <v>21</v>
      </c>
      <c r="K739">
        <v>3</v>
      </c>
      <c r="L739">
        <v>5235.07</v>
      </c>
      <c r="M739">
        <v>5</v>
      </c>
      <c r="N739">
        <v>14919.95</v>
      </c>
      <c r="O739" t="s">
        <v>47</v>
      </c>
    </row>
    <row r="740" spans="1:15" x14ac:dyDescent="0.3">
      <c r="A740" t="s">
        <v>808</v>
      </c>
      <c r="B740" s="2">
        <v>46030</v>
      </c>
      <c r="C740" t="s">
        <v>15</v>
      </c>
      <c r="D740" t="str">
        <f t="shared" si="11"/>
        <v>January</v>
      </c>
      <c r="E740" t="s">
        <v>24</v>
      </c>
      <c r="F740" t="s">
        <v>60</v>
      </c>
      <c r="G740" t="s">
        <v>78</v>
      </c>
      <c r="H740" t="s">
        <v>27</v>
      </c>
      <c r="I740" t="s">
        <v>42</v>
      </c>
      <c r="J740" t="s">
        <v>21</v>
      </c>
      <c r="K740">
        <v>5</v>
      </c>
      <c r="L740">
        <v>31759.38</v>
      </c>
      <c r="M740">
        <v>10</v>
      </c>
      <c r="N740">
        <v>142917.21</v>
      </c>
      <c r="O740" t="s">
        <v>47</v>
      </c>
    </row>
    <row r="741" spans="1:15" x14ac:dyDescent="0.3">
      <c r="A741" t="s">
        <v>809</v>
      </c>
      <c r="B741" s="2">
        <v>46031</v>
      </c>
      <c r="C741" t="s">
        <v>58</v>
      </c>
      <c r="D741" t="str">
        <f t="shared" si="11"/>
        <v>January</v>
      </c>
      <c r="E741" t="s">
        <v>69</v>
      </c>
      <c r="F741" t="s">
        <v>60</v>
      </c>
      <c r="G741" t="s">
        <v>70</v>
      </c>
      <c r="H741" t="s">
        <v>27</v>
      </c>
      <c r="I741" t="s">
        <v>34</v>
      </c>
      <c r="J741" t="s">
        <v>46</v>
      </c>
      <c r="K741">
        <v>4</v>
      </c>
      <c r="L741">
        <v>43646.93</v>
      </c>
      <c r="M741">
        <v>20</v>
      </c>
      <c r="N741">
        <v>139670.17000000001</v>
      </c>
      <c r="O741" t="s">
        <v>29</v>
      </c>
    </row>
    <row r="742" spans="1:15" x14ac:dyDescent="0.3">
      <c r="A742" t="s">
        <v>810</v>
      </c>
      <c r="B742" s="2">
        <v>46032</v>
      </c>
      <c r="C742" t="s">
        <v>58</v>
      </c>
      <c r="D742" t="str">
        <f t="shared" si="11"/>
        <v>January</v>
      </c>
      <c r="E742" t="s">
        <v>24</v>
      </c>
      <c r="F742" t="s">
        <v>17</v>
      </c>
      <c r="G742" t="s">
        <v>123</v>
      </c>
      <c r="H742" t="s">
        <v>45</v>
      </c>
      <c r="I742" t="s">
        <v>34</v>
      </c>
      <c r="J742" t="s">
        <v>46</v>
      </c>
      <c r="K742">
        <v>5</v>
      </c>
      <c r="L742">
        <v>53914.35</v>
      </c>
      <c r="M742">
        <v>0</v>
      </c>
      <c r="N742">
        <v>269571.76</v>
      </c>
      <c r="O742" t="s">
        <v>47</v>
      </c>
    </row>
    <row r="743" spans="1:15" x14ac:dyDescent="0.3">
      <c r="A743" t="s">
        <v>811</v>
      </c>
      <c r="B743" s="2">
        <v>46033</v>
      </c>
      <c r="C743" t="s">
        <v>58</v>
      </c>
      <c r="D743" t="str">
        <f t="shared" si="11"/>
        <v>January</v>
      </c>
      <c r="E743" t="s">
        <v>77</v>
      </c>
      <c r="F743" t="s">
        <v>25</v>
      </c>
      <c r="G743" t="s">
        <v>81</v>
      </c>
      <c r="H743" t="s">
        <v>19</v>
      </c>
      <c r="I743" t="s">
        <v>42</v>
      </c>
      <c r="J743" t="s">
        <v>28</v>
      </c>
      <c r="K743">
        <v>2</v>
      </c>
      <c r="L743">
        <v>2289.15</v>
      </c>
      <c r="M743">
        <v>5</v>
      </c>
      <c r="N743">
        <v>4349.3900000000003</v>
      </c>
      <c r="O743" t="s">
        <v>36</v>
      </c>
    </row>
    <row r="744" spans="1:15" x14ac:dyDescent="0.3">
      <c r="A744" t="s">
        <v>812</v>
      </c>
      <c r="B744" s="2">
        <v>46034</v>
      </c>
      <c r="C744" t="s">
        <v>15</v>
      </c>
      <c r="D744" t="str">
        <f t="shared" si="11"/>
        <v>January</v>
      </c>
      <c r="E744" t="s">
        <v>100</v>
      </c>
      <c r="F744" t="s">
        <v>17</v>
      </c>
      <c r="G744" t="s">
        <v>123</v>
      </c>
      <c r="H744" t="s">
        <v>27</v>
      </c>
      <c r="I744" t="s">
        <v>42</v>
      </c>
      <c r="J744" t="s">
        <v>28</v>
      </c>
      <c r="K744">
        <v>5</v>
      </c>
      <c r="L744">
        <v>65885.440000000002</v>
      </c>
      <c r="M744">
        <v>10</v>
      </c>
      <c r="N744">
        <v>296484.46000000002</v>
      </c>
      <c r="O744" t="s">
        <v>22</v>
      </c>
    </row>
    <row r="745" spans="1:15" x14ac:dyDescent="0.3">
      <c r="A745" t="s">
        <v>813</v>
      </c>
      <c r="B745" s="2">
        <v>46035</v>
      </c>
      <c r="C745" t="s">
        <v>49</v>
      </c>
      <c r="D745" t="str">
        <f t="shared" si="11"/>
        <v>January</v>
      </c>
      <c r="E745" t="s">
        <v>52</v>
      </c>
      <c r="F745" t="s">
        <v>60</v>
      </c>
      <c r="G745" t="s">
        <v>78</v>
      </c>
      <c r="H745" t="s">
        <v>19</v>
      </c>
      <c r="I745" t="s">
        <v>42</v>
      </c>
      <c r="J745" t="s">
        <v>28</v>
      </c>
      <c r="K745">
        <v>3</v>
      </c>
      <c r="L745">
        <v>37083.129999999997</v>
      </c>
      <c r="M745">
        <v>5</v>
      </c>
      <c r="N745">
        <v>105686.91</v>
      </c>
      <c r="O745" t="s">
        <v>36</v>
      </c>
    </row>
    <row r="746" spans="1:15" x14ac:dyDescent="0.3">
      <c r="A746" t="s">
        <v>814</v>
      </c>
      <c r="B746" s="2">
        <v>46036</v>
      </c>
      <c r="C746" t="s">
        <v>58</v>
      </c>
      <c r="D746" t="str">
        <f t="shared" si="11"/>
        <v>January</v>
      </c>
      <c r="E746" t="s">
        <v>52</v>
      </c>
      <c r="F746" t="s">
        <v>40</v>
      </c>
      <c r="G746" t="s">
        <v>118</v>
      </c>
      <c r="H746" t="s">
        <v>19</v>
      </c>
      <c r="I746" t="s">
        <v>20</v>
      </c>
      <c r="J746" t="s">
        <v>35</v>
      </c>
      <c r="K746">
        <v>5</v>
      </c>
      <c r="L746">
        <v>5842.68</v>
      </c>
      <c r="M746">
        <v>10</v>
      </c>
      <c r="N746">
        <v>26292.04</v>
      </c>
      <c r="O746" t="s">
        <v>36</v>
      </c>
    </row>
    <row r="747" spans="1:15" x14ac:dyDescent="0.3">
      <c r="A747" t="s">
        <v>815</v>
      </c>
      <c r="B747" s="2">
        <v>46037</v>
      </c>
      <c r="C747" t="s">
        <v>38</v>
      </c>
      <c r="D747" t="str">
        <f t="shared" si="11"/>
        <v>January</v>
      </c>
      <c r="E747" t="s">
        <v>39</v>
      </c>
      <c r="F747" t="s">
        <v>40</v>
      </c>
      <c r="G747" t="s">
        <v>75</v>
      </c>
      <c r="H747" t="s">
        <v>27</v>
      </c>
      <c r="I747" t="s">
        <v>42</v>
      </c>
      <c r="J747" t="s">
        <v>43</v>
      </c>
      <c r="K747">
        <v>5</v>
      </c>
      <c r="L747">
        <v>8094.42</v>
      </c>
      <c r="M747">
        <v>10</v>
      </c>
      <c r="N747">
        <v>36424.879999999997</v>
      </c>
      <c r="O747" t="s">
        <v>36</v>
      </c>
    </row>
    <row r="748" spans="1:15" x14ac:dyDescent="0.3">
      <c r="A748" t="s">
        <v>816</v>
      </c>
      <c r="B748" s="2">
        <v>46038</v>
      </c>
      <c r="C748" t="s">
        <v>49</v>
      </c>
      <c r="D748" t="str">
        <f t="shared" si="11"/>
        <v>January</v>
      </c>
      <c r="E748" t="s">
        <v>72</v>
      </c>
      <c r="F748" t="s">
        <v>25</v>
      </c>
      <c r="G748" t="s">
        <v>56</v>
      </c>
      <c r="H748" t="s">
        <v>27</v>
      </c>
      <c r="I748" t="s">
        <v>20</v>
      </c>
      <c r="J748" t="s">
        <v>28</v>
      </c>
      <c r="K748">
        <v>4</v>
      </c>
      <c r="L748">
        <v>2906.98</v>
      </c>
      <c r="M748">
        <v>10</v>
      </c>
      <c r="N748">
        <v>10465.14</v>
      </c>
      <c r="O748" t="s">
        <v>22</v>
      </c>
    </row>
    <row r="749" spans="1:15" x14ac:dyDescent="0.3">
      <c r="A749" t="s">
        <v>817</v>
      </c>
      <c r="B749" s="2">
        <v>46039</v>
      </c>
      <c r="C749" t="s">
        <v>15</v>
      </c>
      <c r="D749" t="str">
        <f t="shared" si="11"/>
        <v>January</v>
      </c>
      <c r="E749" t="s">
        <v>24</v>
      </c>
      <c r="F749" t="s">
        <v>25</v>
      </c>
      <c r="G749" t="s">
        <v>26</v>
      </c>
      <c r="H749" t="s">
        <v>45</v>
      </c>
      <c r="I749" t="s">
        <v>34</v>
      </c>
      <c r="J749" t="s">
        <v>35</v>
      </c>
      <c r="K749">
        <v>3</v>
      </c>
      <c r="L749">
        <v>2086.77</v>
      </c>
      <c r="M749">
        <v>5</v>
      </c>
      <c r="N749">
        <v>5947.29</v>
      </c>
      <c r="O749" t="s">
        <v>47</v>
      </c>
    </row>
    <row r="750" spans="1:15" x14ac:dyDescent="0.3">
      <c r="A750" t="s">
        <v>818</v>
      </c>
      <c r="B750" s="2">
        <v>46040</v>
      </c>
      <c r="C750" t="s">
        <v>38</v>
      </c>
      <c r="D750" t="str">
        <f t="shared" si="11"/>
        <v>January</v>
      </c>
      <c r="E750" t="s">
        <v>69</v>
      </c>
      <c r="F750" t="s">
        <v>25</v>
      </c>
      <c r="G750" t="s">
        <v>26</v>
      </c>
      <c r="H750" t="s">
        <v>33</v>
      </c>
      <c r="I750" t="s">
        <v>20</v>
      </c>
      <c r="J750" t="s">
        <v>21</v>
      </c>
      <c r="K750">
        <v>4</v>
      </c>
      <c r="L750">
        <v>2582.04</v>
      </c>
      <c r="M750">
        <v>5</v>
      </c>
      <c r="N750">
        <v>9811.76</v>
      </c>
      <c r="O750" t="s">
        <v>29</v>
      </c>
    </row>
    <row r="751" spans="1:15" x14ac:dyDescent="0.3">
      <c r="A751" t="s">
        <v>819</v>
      </c>
      <c r="B751" s="2">
        <v>46041</v>
      </c>
      <c r="C751" t="s">
        <v>31</v>
      </c>
      <c r="D751" t="str">
        <f t="shared" si="11"/>
        <v>January</v>
      </c>
      <c r="E751" t="s">
        <v>32</v>
      </c>
      <c r="F751" t="s">
        <v>40</v>
      </c>
      <c r="G751" t="s">
        <v>41</v>
      </c>
      <c r="H751" t="s">
        <v>45</v>
      </c>
      <c r="I751" t="s">
        <v>42</v>
      </c>
      <c r="J751" t="s">
        <v>46</v>
      </c>
      <c r="K751">
        <v>5</v>
      </c>
      <c r="L751">
        <v>4967.5</v>
      </c>
      <c r="M751">
        <v>10</v>
      </c>
      <c r="N751">
        <v>22353.77</v>
      </c>
      <c r="O751" t="s">
        <v>36</v>
      </c>
    </row>
    <row r="752" spans="1:15" x14ac:dyDescent="0.3">
      <c r="A752" t="s">
        <v>820</v>
      </c>
      <c r="B752" s="2">
        <v>46042</v>
      </c>
      <c r="C752" t="s">
        <v>58</v>
      </c>
      <c r="D752" t="str">
        <f t="shared" si="11"/>
        <v>January</v>
      </c>
      <c r="E752" t="s">
        <v>24</v>
      </c>
      <c r="F752" t="s">
        <v>53</v>
      </c>
      <c r="G752" t="s">
        <v>105</v>
      </c>
      <c r="H752" t="s">
        <v>19</v>
      </c>
      <c r="I752" t="s">
        <v>20</v>
      </c>
      <c r="J752" t="s">
        <v>43</v>
      </c>
      <c r="K752">
        <v>5</v>
      </c>
      <c r="L752">
        <v>39119.730000000003</v>
      </c>
      <c r="M752">
        <v>5</v>
      </c>
      <c r="N752">
        <v>185818.7</v>
      </c>
      <c r="O752" t="s">
        <v>47</v>
      </c>
    </row>
    <row r="753" spans="1:15" x14ac:dyDescent="0.3">
      <c r="A753" t="s">
        <v>821</v>
      </c>
      <c r="B753" s="2">
        <v>46043</v>
      </c>
      <c r="C753" t="s">
        <v>58</v>
      </c>
      <c r="D753" t="str">
        <f t="shared" si="11"/>
        <v>January</v>
      </c>
      <c r="E753" t="s">
        <v>100</v>
      </c>
      <c r="F753" t="s">
        <v>25</v>
      </c>
      <c r="G753" t="s">
        <v>81</v>
      </c>
      <c r="H753" t="s">
        <v>27</v>
      </c>
      <c r="I753" t="s">
        <v>34</v>
      </c>
      <c r="J753" t="s">
        <v>21</v>
      </c>
      <c r="K753">
        <v>4</v>
      </c>
      <c r="L753">
        <v>2482.31</v>
      </c>
      <c r="M753">
        <v>20</v>
      </c>
      <c r="N753">
        <v>7943.38</v>
      </c>
      <c r="O753" t="s">
        <v>47</v>
      </c>
    </row>
    <row r="754" spans="1:15" x14ac:dyDescent="0.3">
      <c r="A754" t="s">
        <v>822</v>
      </c>
      <c r="B754" s="2">
        <v>46044</v>
      </c>
      <c r="C754" t="s">
        <v>38</v>
      </c>
      <c r="D754" t="str">
        <f t="shared" si="11"/>
        <v>January</v>
      </c>
      <c r="E754" t="s">
        <v>39</v>
      </c>
      <c r="F754" t="s">
        <v>25</v>
      </c>
      <c r="G754" t="s">
        <v>56</v>
      </c>
      <c r="H754" t="s">
        <v>33</v>
      </c>
      <c r="I754" t="s">
        <v>20</v>
      </c>
      <c r="J754" t="s">
        <v>21</v>
      </c>
      <c r="K754">
        <v>1</v>
      </c>
      <c r="L754">
        <v>1973.56</v>
      </c>
      <c r="M754">
        <v>5</v>
      </c>
      <c r="N754">
        <v>1874.88</v>
      </c>
      <c r="O754" t="s">
        <v>47</v>
      </c>
    </row>
    <row r="755" spans="1:15" x14ac:dyDescent="0.3">
      <c r="A755" t="s">
        <v>823</v>
      </c>
      <c r="B755" s="2">
        <v>46045</v>
      </c>
      <c r="C755" t="s">
        <v>38</v>
      </c>
      <c r="D755" t="str">
        <f t="shared" si="11"/>
        <v>January</v>
      </c>
      <c r="E755" t="s">
        <v>32</v>
      </c>
      <c r="F755" t="s">
        <v>17</v>
      </c>
      <c r="G755" t="s">
        <v>18</v>
      </c>
      <c r="H755" t="s">
        <v>19</v>
      </c>
      <c r="I755" t="s">
        <v>20</v>
      </c>
      <c r="J755" t="s">
        <v>21</v>
      </c>
      <c r="K755">
        <v>4</v>
      </c>
      <c r="L755">
        <v>47059.74</v>
      </c>
      <c r="M755">
        <v>10</v>
      </c>
      <c r="N755">
        <v>169415.07</v>
      </c>
      <c r="O755" t="s">
        <v>47</v>
      </c>
    </row>
    <row r="756" spans="1:15" x14ac:dyDescent="0.3">
      <c r="A756" t="s">
        <v>824</v>
      </c>
      <c r="B756" s="2">
        <v>46046</v>
      </c>
      <c r="C756" t="s">
        <v>15</v>
      </c>
      <c r="D756" t="str">
        <f t="shared" si="11"/>
        <v>January</v>
      </c>
      <c r="E756" t="s">
        <v>100</v>
      </c>
      <c r="F756" t="s">
        <v>53</v>
      </c>
      <c r="G756" t="s">
        <v>129</v>
      </c>
      <c r="H756" t="s">
        <v>27</v>
      </c>
      <c r="I756" t="s">
        <v>34</v>
      </c>
      <c r="J756" t="s">
        <v>35</v>
      </c>
      <c r="K756">
        <v>1</v>
      </c>
      <c r="L756">
        <v>31300.07</v>
      </c>
      <c r="M756">
        <v>10</v>
      </c>
      <c r="N756">
        <v>28170.07</v>
      </c>
      <c r="O756" t="s">
        <v>36</v>
      </c>
    </row>
    <row r="757" spans="1:15" x14ac:dyDescent="0.3">
      <c r="A757" t="s">
        <v>825</v>
      </c>
      <c r="B757" s="2">
        <v>46047</v>
      </c>
      <c r="C757" t="s">
        <v>31</v>
      </c>
      <c r="D757" t="str">
        <f t="shared" si="11"/>
        <v>January</v>
      </c>
      <c r="E757" t="s">
        <v>52</v>
      </c>
      <c r="F757" t="s">
        <v>40</v>
      </c>
      <c r="G757" t="s">
        <v>75</v>
      </c>
      <c r="H757" t="s">
        <v>19</v>
      </c>
      <c r="I757" t="s">
        <v>20</v>
      </c>
      <c r="J757" t="s">
        <v>46</v>
      </c>
      <c r="K757">
        <v>3</v>
      </c>
      <c r="L757">
        <v>7021.11</v>
      </c>
      <c r="M757">
        <v>0</v>
      </c>
      <c r="N757">
        <v>21063.32</v>
      </c>
      <c r="O757" t="s">
        <v>29</v>
      </c>
    </row>
    <row r="758" spans="1:15" x14ac:dyDescent="0.3">
      <c r="A758" t="s">
        <v>826</v>
      </c>
      <c r="B758" s="2">
        <v>46048</v>
      </c>
      <c r="C758" t="s">
        <v>58</v>
      </c>
      <c r="D758" t="str">
        <f t="shared" si="11"/>
        <v>January</v>
      </c>
      <c r="E758" t="s">
        <v>52</v>
      </c>
      <c r="F758" t="s">
        <v>25</v>
      </c>
      <c r="G758" t="s">
        <v>26</v>
      </c>
      <c r="H758" t="s">
        <v>33</v>
      </c>
      <c r="I758" t="s">
        <v>20</v>
      </c>
      <c r="J758" t="s">
        <v>28</v>
      </c>
      <c r="K758">
        <v>4</v>
      </c>
      <c r="L758">
        <v>1892.46</v>
      </c>
      <c r="M758">
        <v>0</v>
      </c>
      <c r="N758">
        <v>7569.85</v>
      </c>
      <c r="O758" t="s">
        <v>36</v>
      </c>
    </row>
    <row r="759" spans="1:15" x14ac:dyDescent="0.3">
      <c r="A759" t="s">
        <v>827</v>
      </c>
      <c r="B759" s="2">
        <v>46049</v>
      </c>
      <c r="C759" t="s">
        <v>31</v>
      </c>
      <c r="D759" t="str">
        <f t="shared" si="11"/>
        <v>January</v>
      </c>
      <c r="E759" t="s">
        <v>39</v>
      </c>
      <c r="F759" t="s">
        <v>60</v>
      </c>
      <c r="G759" t="s">
        <v>78</v>
      </c>
      <c r="H759" t="s">
        <v>33</v>
      </c>
      <c r="I759" t="s">
        <v>20</v>
      </c>
      <c r="J759" t="s">
        <v>28</v>
      </c>
      <c r="K759">
        <v>3</v>
      </c>
      <c r="L759">
        <v>49906.02</v>
      </c>
      <c r="M759">
        <v>10</v>
      </c>
      <c r="N759">
        <v>134746.25</v>
      </c>
      <c r="O759" t="s">
        <v>47</v>
      </c>
    </row>
    <row r="760" spans="1:15" x14ac:dyDescent="0.3">
      <c r="A760" t="s">
        <v>828</v>
      </c>
      <c r="B760" s="2">
        <v>46050</v>
      </c>
      <c r="C760" t="s">
        <v>49</v>
      </c>
      <c r="D760" t="str">
        <f t="shared" si="11"/>
        <v>January</v>
      </c>
      <c r="E760" t="s">
        <v>39</v>
      </c>
      <c r="F760" t="s">
        <v>53</v>
      </c>
      <c r="G760" t="s">
        <v>105</v>
      </c>
      <c r="H760" t="s">
        <v>19</v>
      </c>
      <c r="I760" t="s">
        <v>20</v>
      </c>
      <c r="J760" t="s">
        <v>28</v>
      </c>
      <c r="K760">
        <v>5</v>
      </c>
      <c r="L760">
        <v>38909.550000000003</v>
      </c>
      <c r="M760">
        <v>5</v>
      </c>
      <c r="N760">
        <v>184820.38</v>
      </c>
      <c r="O760" t="s">
        <v>47</v>
      </c>
    </row>
    <row r="761" spans="1:15" x14ac:dyDescent="0.3">
      <c r="A761" t="s">
        <v>829</v>
      </c>
      <c r="B761" s="2">
        <v>46051</v>
      </c>
      <c r="C761" t="s">
        <v>15</v>
      </c>
      <c r="D761" t="str">
        <f t="shared" si="11"/>
        <v>January</v>
      </c>
      <c r="E761" t="s">
        <v>69</v>
      </c>
      <c r="F761" t="s">
        <v>25</v>
      </c>
      <c r="G761" t="s">
        <v>81</v>
      </c>
      <c r="H761" t="s">
        <v>27</v>
      </c>
      <c r="I761" t="s">
        <v>20</v>
      </c>
      <c r="J761" t="s">
        <v>46</v>
      </c>
      <c r="K761">
        <v>4</v>
      </c>
      <c r="L761">
        <v>3105.89</v>
      </c>
      <c r="M761">
        <v>15</v>
      </c>
      <c r="N761">
        <v>10560.03</v>
      </c>
      <c r="O761" t="s">
        <v>47</v>
      </c>
    </row>
    <row r="762" spans="1:15" x14ac:dyDescent="0.3">
      <c r="A762" t="s">
        <v>830</v>
      </c>
      <c r="B762" s="2">
        <v>46052</v>
      </c>
      <c r="C762" t="s">
        <v>38</v>
      </c>
      <c r="D762" t="str">
        <f t="shared" si="11"/>
        <v>January</v>
      </c>
      <c r="E762" t="s">
        <v>50</v>
      </c>
      <c r="F762" t="s">
        <v>17</v>
      </c>
      <c r="G762" t="s">
        <v>123</v>
      </c>
      <c r="H762" t="s">
        <v>27</v>
      </c>
      <c r="I762" t="s">
        <v>20</v>
      </c>
      <c r="J762" t="s">
        <v>46</v>
      </c>
      <c r="K762">
        <v>4</v>
      </c>
      <c r="L762">
        <v>51213.49</v>
      </c>
      <c r="M762">
        <v>0</v>
      </c>
      <c r="N762">
        <v>204853.96</v>
      </c>
      <c r="O762" t="s">
        <v>47</v>
      </c>
    </row>
    <row r="763" spans="1:15" x14ac:dyDescent="0.3">
      <c r="A763" t="s">
        <v>831</v>
      </c>
      <c r="B763" s="2">
        <v>46053</v>
      </c>
      <c r="C763" t="s">
        <v>38</v>
      </c>
      <c r="D763" t="str">
        <f t="shared" si="11"/>
        <v>January</v>
      </c>
      <c r="E763" t="s">
        <v>24</v>
      </c>
      <c r="F763" t="s">
        <v>40</v>
      </c>
      <c r="G763" t="s">
        <v>75</v>
      </c>
      <c r="H763" t="s">
        <v>27</v>
      </c>
      <c r="I763" t="s">
        <v>42</v>
      </c>
      <c r="J763" t="s">
        <v>28</v>
      </c>
      <c r="K763">
        <v>5</v>
      </c>
      <c r="L763">
        <v>7711.37</v>
      </c>
      <c r="M763">
        <v>0</v>
      </c>
      <c r="N763">
        <v>38556.85</v>
      </c>
      <c r="O763" t="s">
        <v>47</v>
      </c>
    </row>
    <row r="764" spans="1:15" x14ac:dyDescent="0.3">
      <c r="A764" t="s">
        <v>832</v>
      </c>
      <c r="B764" s="2">
        <v>46054</v>
      </c>
      <c r="C764" t="s">
        <v>15</v>
      </c>
      <c r="D764" t="str">
        <f t="shared" si="11"/>
        <v>February</v>
      </c>
      <c r="E764" t="s">
        <v>52</v>
      </c>
      <c r="F764" t="s">
        <v>25</v>
      </c>
      <c r="G764" t="s">
        <v>81</v>
      </c>
      <c r="H764" t="s">
        <v>33</v>
      </c>
      <c r="I764" t="s">
        <v>20</v>
      </c>
      <c r="J764" t="s">
        <v>46</v>
      </c>
      <c r="K764">
        <v>4</v>
      </c>
      <c r="L764">
        <v>2185.9</v>
      </c>
      <c r="M764">
        <v>0</v>
      </c>
      <c r="N764">
        <v>8743.6</v>
      </c>
      <c r="O764" t="s">
        <v>29</v>
      </c>
    </row>
    <row r="765" spans="1:15" x14ac:dyDescent="0.3">
      <c r="A765" t="s">
        <v>833</v>
      </c>
      <c r="B765" s="2">
        <v>46055</v>
      </c>
      <c r="C765" t="s">
        <v>31</v>
      </c>
      <c r="D765" t="str">
        <f t="shared" si="11"/>
        <v>February</v>
      </c>
      <c r="E765" t="s">
        <v>16</v>
      </c>
      <c r="F765" t="s">
        <v>60</v>
      </c>
      <c r="G765" t="s">
        <v>70</v>
      </c>
      <c r="H765" t="s">
        <v>19</v>
      </c>
      <c r="I765" t="s">
        <v>42</v>
      </c>
      <c r="J765" t="s">
        <v>28</v>
      </c>
      <c r="K765">
        <v>1</v>
      </c>
      <c r="L765">
        <v>33678.86</v>
      </c>
      <c r="M765">
        <v>10</v>
      </c>
      <c r="N765">
        <v>30310.97</v>
      </c>
      <c r="O765" t="s">
        <v>47</v>
      </c>
    </row>
    <row r="766" spans="1:15" x14ac:dyDescent="0.3">
      <c r="A766" t="s">
        <v>834</v>
      </c>
      <c r="B766" s="2">
        <v>46056</v>
      </c>
      <c r="C766" t="s">
        <v>31</v>
      </c>
      <c r="D766" t="str">
        <f t="shared" si="11"/>
        <v>February</v>
      </c>
      <c r="E766" t="s">
        <v>77</v>
      </c>
      <c r="F766" t="s">
        <v>17</v>
      </c>
      <c r="G766" t="s">
        <v>67</v>
      </c>
      <c r="H766" t="s">
        <v>27</v>
      </c>
      <c r="I766" t="s">
        <v>42</v>
      </c>
      <c r="J766" t="s">
        <v>28</v>
      </c>
      <c r="K766">
        <v>3</v>
      </c>
      <c r="L766">
        <v>44252.49</v>
      </c>
      <c r="M766">
        <v>5</v>
      </c>
      <c r="N766">
        <v>126119.6</v>
      </c>
      <c r="O766" t="s">
        <v>29</v>
      </c>
    </row>
    <row r="767" spans="1:15" x14ac:dyDescent="0.3">
      <c r="A767" t="s">
        <v>835</v>
      </c>
      <c r="B767" s="2">
        <v>46057</v>
      </c>
      <c r="C767" t="s">
        <v>15</v>
      </c>
      <c r="D767" t="str">
        <f t="shared" si="11"/>
        <v>February</v>
      </c>
      <c r="E767" t="s">
        <v>77</v>
      </c>
      <c r="F767" t="s">
        <v>17</v>
      </c>
      <c r="G767" t="s">
        <v>67</v>
      </c>
      <c r="H767" t="s">
        <v>19</v>
      </c>
      <c r="I767" t="s">
        <v>20</v>
      </c>
      <c r="J767" t="s">
        <v>28</v>
      </c>
      <c r="K767">
        <v>2</v>
      </c>
      <c r="L767">
        <v>71828.570000000007</v>
      </c>
      <c r="M767">
        <v>15</v>
      </c>
      <c r="N767">
        <v>122108.57</v>
      </c>
      <c r="O767" t="s">
        <v>47</v>
      </c>
    </row>
    <row r="768" spans="1:15" x14ac:dyDescent="0.3">
      <c r="A768" t="s">
        <v>836</v>
      </c>
      <c r="B768" s="2">
        <v>46058</v>
      </c>
      <c r="C768" t="s">
        <v>38</v>
      </c>
      <c r="D768" t="str">
        <f t="shared" si="11"/>
        <v>February</v>
      </c>
      <c r="E768" t="s">
        <v>77</v>
      </c>
      <c r="F768" t="s">
        <v>40</v>
      </c>
      <c r="G768" t="s">
        <v>41</v>
      </c>
      <c r="H768" t="s">
        <v>19</v>
      </c>
      <c r="I768" t="s">
        <v>42</v>
      </c>
      <c r="J768" t="s">
        <v>21</v>
      </c>
      <c r="K768">
        <v>1</v>
      </c>
      <c r="L768">
        <v>5669.31</v>
      </c>
      <c r="M768">
        <v>5</v>
      </c>
      <c r="N768">
        <v>5385.84</v>
      </c>
      <c r="O768" t="s">
        <v>47</v>
      </c>
    </row>
    <row r="769" spans="1:15" x14ac:dyDescent="0.3">
      <c r="A769" t="s">
        <v>837</v>
      </c>
      <c r="B769" s="2">
        <v>46059</v>
      </c>
      <c r="C769" t="s">
        <v>31</v>
      </c>
      <c r="D769" t="str">
        <f t="shared" si="11"/>
        <v>February</v>
      </c>
      <c r="E769" t="s">
        <v>50</v>
      </c>
      <c r="F769" t="s">
        <v>17</v>
      </c>
      <c r="G769" t="s">
        <v>123</v>
      </c>
      <c r="H769" t="s">
        <v>19</v>
      </c>
      <c r="I769" t="s">
        <v>42</v>
      </c>
      <c r="J769" t="s">
        <v>21</v>
      </c>
      <c r="K769">
        <v>5</v>
      </c>
      <c r="L769">
        <v>72440.800000000003</v>
      </c>
      <c r="M769">
        <v>10</v>
      </c>
      <c r="N769">
        <v>325983.61</v>
      </c>
      <c r="O769" t="s">
        <v>36</v>
      </c>
    </row>
    <row r="770" spans="1:15" x14ac:dyDescent="0.3">
      <c r="A770" t="s">
        <v>838</v>
      </c>
      <c r="B770" s="2">
        <v>46060</v>
      </c>
      <c r="C770" t="s">
        <v>58</v>
      </c>
      <c r="D770" t="str">
        <f t="shared" si="11"/>
        <v>February</v>
      </c>
      <c r="E770" t="s">
        <v>16</v>
      </c>
      <c r="F770" t="s">
        <v>53</v>
      </c>
      <c r="G770" t="s">
        <v>54</v>
      </c>
      <c r="H770" t="s">
        <v>45</v>
      </c>
      <c r="I770" t="s">
        <v>42</v>
      </c>
      <c r="J770" t="s">
        <v>43</v>
      </c>
      <c r="K770">
        <v>1</v>
      </c>
      <c r="L770">
        <v>36196.239999999998</v>
      </c>
      <c r="M770">
        <v>0</v>
      </c>
      <c r="N770">
        <v>36196.239999999998</v>
      </c>
      <c r="O770" t="s">
        <v>36</v>
      </c>
    </row>
    <row r="771" spans="1:15" x14ac:dyDescent="0.3">
      <c r="A771" t="s">
        <v>839</v>
      </c>
      <c r="B771" s="2">
        <v>46061</v>
      </c>
      <c r="C771" t="s">
        <v>15</v>
      </c>
      <c r="D771" t="str">
        <f t="shared" ref="D771:D834" si="12">TEXT(B771,"mmmm")</f>
        <v>February</v>
      </c>
      <c r="E771" t="s">
        <v>24</v>
      </c>
      <c r="F771" t="s">
        <v>60</v>
      </c>
      <c r="G771" t="s">
        <v>70</v>
      </c>
      <c r="H771" t="s">
        <v>33</v>
      </c>
      <c r="I771" t="s">
        <v>34</v>
      </c>
      <c r="J771" t="s">
        <v>43</v>
      </c>
      <c r="K771">
        <v>4</v>
      </c>
      <c r="L771">
        <v>40235.17</v>
      </c>
      <c r="M771">
        <v>5</v>
      </c>
      <c r="N771">
        <v>152893.63</v>
      </c>
      <c r="O771" t="s">
        <v>47</v>
      </c>
    </row>
    <row r="772" spans="1:15" x14ac:dyDescent="0.3">
      <c r="A772" t="s">
        <v>840</v>
      </c>
      <c r="B772" s="2">
        <v>46062</v>
      </c>
      <c r="C772" t="s">
        <v>38</v>
      </c>
      <c r="D772" t="str">
        <f t="shared" si="12"/>
        <v>February</v>
      </c>
      <c r="E772" t="s">
        <v>77</v>
      </c>
      <c r="F772" t="s">
        <v>53</v>
      </c>
      <c r="G772" t="s">
        <v>65</v>
      </c>
      <c r="H772" t="s">
        <v>33</v>
      </c>
      <c r="I772" t="s">
        <v>42</v>
      </c>
      <c r="J772" t="s">
        <v>21</v>
      </c>
      <c r="K772">
        <v>2</v>
      </c>
      <c r="L772">
        <v>26028.51</v>
      </c>
      <c r="M772">
        <v>20</v>
      </c>
      <c r="N772">
        <v>41645.620000000003</v>
      </c>
      <c r="O772" t="s">
        <v>47</v>
      </c>
    </row>
    <row r="773" spans="1:15" x14ac:dyDescent="0.3">
      <c r="A773" t="s">
        <v>841</v>
      </c>
      <c r="B773" s="2">
        <v>46063</v>
      </c>
      <c r="C773" t="s">
        <v>15</v>
      </c>
      <c r="D773" t="str">
        <f t="shared" si="12"/>
        <v>February</v>
      </c>
      <c r="E773" t="s">
        <v>100</v>
      </c>
      <c r="F773" t="s">
        <v>53</v>
      </c>
      <c r="G773" t="s">
        <v>54</v>
      </c>
      <c r="H773" t="s">
        <v>33</v>
      </c>
      <c r="I773" t="s">
        <v>42</v>
      </c>
      <c r="J773" t="s">
        <v>28</v>
      </c>
      <c r="K773">
        <v>1</v>
      </c>
      <c r="L773">
        <v>33560.9</v>
      </c>
      <c r="M773">
        <v>15</v>
      </c>
      <c r="N773">
        <v>28526.77</v>
      </c>
      <c r="O773" t="s">
        <v>29</v>
      </c>
    </row>
    <row r="774" spans="1:15" x14ac:dyDescent="0.3">
      <c r="A774" t="s">
        <v>842</v>
      </c>
      <c r="B774" s="2">
        <v>46064</v>
      </c>
      <c r="C774" t="s">
        <v>31</v>
      </c>
      <c r="D774" t="str">
        <f t="shared" si="12"/>
        <v>February</v>
      </c>
      <c r="E774" t="s">
        <v>100</v>
      </c>
      <c r="F774" t="s">
        <v>53</v>
      </c>
      <c r="G774" t="s">
        <v>65</v>
      </c>
      <c r="H774" t="s">
        <v>33</v>
      </c>
      <c r="I774" t="s">
        <v>20</v>
      </c>
      <c r="J774" t="s">
        <v>43</v>
      </c>
      <c r="K774">
        <v>1</v>
      </c>
      <c r="L774">
        <v>29377.35</v>
      </c>
      <c r="M774">
        <v>5</v>
      </c>
      <c r="N774">
        <v>27908.48</v>
      </c>
      <c r="O774" t="s">
        <v>47</v>
      </c>
    </row>
    <row r="775" spans="1:15" x14ac:dyDescent="0.3">
      <c r="A775" t="s">
        <v>843</v>
      </c>
      <c r="B775" s="2">
        <v>46065</v>
      </c>
      <c r="C775" t="s">
        <v>15</v>
      </c>
      <c r="D775" t="str">
        <f t="shared" si="12"/>
        <v>February</v>
      </c>
      <c r="E775" t="s">
        <v>32</v>
      </c>
      <c r="F775" t="s">
        <v>25</v>
      </c>
      <c r="G775" t="s">
        <v>92</v>
      </c>
      <c r="H775" t="s">
        <v>27</v>
      </c>
      <c r="I775" t="s">
        <v>42</v>
      </c>
      <c r="J775" t="s">
        <v>21</v>
      </c>
      <c r="K775">
        <v>1</v>
      </c>
      <c r="L775">
        <v>2884.21</v>
      </c>
      <c r="M775">
        <v>10</v>
      </c>
      <c r="N775">
        <v>2595.79</v>
      </c>
      <c r="O775" t="s">
        <v>47</v>
      </c>
    </row>
    <row r="776" spans="1:15" x14ac:dyDescent="0.3">
      <c r="A776" t="s">
        <v>844</v>
      </c>
      <c r="B776" s="2">
        <v>46066</v>
      </c>
      <c r="C776" t="s">
        <v>58</v>
      </c>
      <c r="D776" t="str">
        <f t="shared" si="12"/>
        <v>February</v>
      </c>
      <c r="E776" t="s">
        <v>100</v>
      </c>
      <c r="F776" t="s">
        <v>25</v>
      </c>
      <c r="G776" t="s">
        <v>26</v>
      </c>
      <c r="H776" t="s">
        <v>27</v>
      </c>
      <c r="I776" t="s">
        <v>20</v>
      </c>
      <c r="J776" t="s">
        <v>35</v>
      </c>
      <c r="K776">
        <v>2</v>
      </c>
      <c r="L776">
        <v>2051.27</v>
      </c>
      <c r="M776">
        <v>10</v>
      </c>
      <c r="N776">
        <v>3692.29</v>
      </c>
      <c r="O776" t="s">
        <v>36</v>
      </c>
    </row>
    <row r="777" spans="1:15" x14ac:dyDescent="0.3">
      <c r="A777" t="s">
        <v>845</v>
      </c>
      <c r="B777" s="2">
        <v>46067</v>
      </c>
      <c r="C777" t="s">
        <v>49</v>
      </c>
      <c r="D777" t="str">
        <f t="shared" si="12"/>
        <v>February</v>
      </c>
      <c r="E777" t="s">
        <v>77</v>
      </c>
      <c r="F777" t="s">
        <v>60</v>
      </c>
      <c r="G777" t="s">
        <v>73</v>
      </c>
      <c r="H777" t="s">
        <v>45</v>
      </c>
      <c r="I777" t="s">
        <v>20</v>
      </c>
      <c r="J777" t="s">
        <v>46</v>
      </c>
      <c r="K777">
        <v>5</v>
      </c>
      <c r="L777">
        <v>44748.63</v>
      </c>
      <c r="M777">
        <v>0</v>
      </c>
      <c r="N777">
        <v>223743.15</v>
      </c>
      <c r="O777" t="s">
        <v>47</v>
      </c>
    </row>
    <row r="778" spans="1:15" x14ac:dyDescent="0.3">
      <c r="A778" t="s">
        <v>846</v>
      </c>
      <c r="B778" s="2">
        <v>46068</v>
      </c>
      <c r="C778" t="s">
        <v>15</v>
      </c>
      <c r="D778" t="str">
        <f t="shared" si="12"/>
        <v>February</v>
      </c>
      <c r="E778" t="s">
        <v>39</v>
      </c>
      <c r="F778" t="s">
        <v>17</v>
      </c>
      <c r="G778" t="s">
        <v>67</v>
      </c>
      <c r="H778" t="s">
        <v>19</v>
      </c>
      <c r="I778" t="s">
        <v>34</v>
      </c>
      <c r="J778" t="s">
        <v>35</v>
      </c>
      <c r="K778">
        <v>2</v>
      </c>
      <c r="L778">
        <v>51018.31</v>
      </c>
      <c r="M778">
        <v>10</v>
      </c>
      <c r="N778">
        <v>91832.960000000006</v>
      </c>
      <c r="O778" t="s">
        <v>47</v>
      </c>
    </row>
    <row r="779" spans="1:15" x14ac:dyDescent="0.3">
      <c r="A779" t="s">
        <v>847</v>
      </c>
      <c r="B779" s="2">
        <v>46069</v>
      </c>
      <c r="C779" t="s">
        <v>38</v>
      </c>
      <c r="D779" t="str">
        <f t="shared" si="12"/>
        <v>February</v>
      </c>
      <c r="E779" t="s">
        <v>32</v>
      </c>
      <c r="F779" t="s">
        <v>25</v>
      </c>
      <c r="G779" t="s">
        <v>92</v>
      </c>
      <c r="H779" t="s">
        <v>45</v>
      </c>
      <c r="I779" t="s">
        <v>20</v>
      </c>
      <c r="J779" t="s">
        <v>28</v>
      </c>
      <c r="K779">
        <v>2</v>
      </c>
      <c r="L779">
        <v>2841.9</v>
      </c>
      <c r="M779">
        <v>0</v>
      </c>
      <c r="N779">
        <v>5683.8</v>
      </c>
      <c r="O779" t="s">
        <v>47</v>
      </c>
    </row>
    <row r="780" spans="1:15" x14ac:dyDescent="0.3">
      <c r="A780" t="s">
        <v>848</v>
      </c>
      <c r="B780" s="2">
        <v>46070</v>
      </c>
      <c r="C780" t="s">
        <v>31</v>
      </c>
      <c r="D780" t="str">
        <f t="shared" si="12"/>
        <v>February</v>
      </c>
      <c r="E780" t="s">
        <v>77</v>
      </c>
      <c r="F780" t="s">
        <v>17</v>
      </c>
      <c r="G780" t="s">
        <v>123</v>
      </c>
      <c r="H780" t="s">
        <v>19</v>
      </c>
      <c r="I780" t="s">
        <v>20</v>
      </c>
      <c r="J780" t="s">
        <v>43</v>
      </c>
      <c r="K780">
        <v>5</v>
      </c>
      <c r="L780">
        <v>52840.27</v>
      </c>
      <c r="M780">
        <v>10</v>
      </c>
      <c r="N780">
        <v>237781.2</v>
      </c>
      <c r="O780" t="s">
        <v>22</v>
      </c>
    </row>
    <row r="781" spans="1:15" x14ac:dyDescent="0.3">
      <c r="A781" t="s">
        <v>849</v>
      </c>
      <c r="B781" s="2">
        <v>46071</v>
      </c>
      <c r="C781" t="s">
        <v>15</v>
      </c>
      <c r="D781" t="str">
        <f t="shared" si="12"/>
        <v>February</v>
      </c>
      <c r="E781" t="s">
        <v>100</v>
      </c>
      <c r="F781" t="s">
        <v>40</v>
      </c>
      <c r="G781" t="s">
        <v>115</v>
      </c>
      <c r="H781" t="s">
        <v>27</v>
      </c>
      <c r="I781" t="s">
        <v>20</v>
      </c>
      <c r="J781" t="s">
        <v>46</v>
      </c>
      <c r="K781">
        <v>2</v>
      </c>
      <c r="L781">
        <v>5098.95</v>
      </c>
      <c r="M781">
        <v>10</v>
      </c>
      <c r="N781">
        <v>9178.11</v>
      </c>
      <c r="O781" t="s">
        <v>47</v>
      </c>
    </row>
    <row r="782" spans="1:15" x14ac:dyDescent="0.3">
      <c r="A782" t="s">
        <v>850</v>
      </c>
      <c r="B782" s="2">
        <v>46072</v>
      </c>
      <c r="C782" t="s">
        <v>38</v>
      </c>
      <c r="D782" t="str">
        <f t="shared" si="12"/>
        <v>February</v>
      </c>
      <c r="E782" t="s">
        <v>24</v>
      </c>
      <c r="F782" t="s">
        <v>53</v>
      </c>
      <c r="G782" t="s">
        <v>129</v>
      </c>
      <c r="H782" t="s">
        <v>45</v>
      </c>
      <c r="I782" t="s">
        <v>34</v>
      </c>
      <c r="J782" t="s">
        <v>21</v>
      </c>
      <c r="K782">
        <v>2</v>
      </c>
      <c r="L782">
        <v>36470.26</v>
      </c>
      <c r="M782">
        <v>20</v>
      </c>
      <c r="N782">
        <v>58352.42</v>
      </c>
      <c r="O782" t="s">
        <v>47</v>
      </c>
    </row>
    <row r="783" spans="1:15" x14ac:dyDescent="0.3">
      <c r="A783" t="s">
        <v>851</v>
      </c>
      <c r="B783" s="2">
        <v>46073</v>
      </c>
      <c r="C783" t="s">
        <v>49</v>
      </c>
      <c r="D783" t="str">
        <f t="shared" si="12"/>
        <v>February</v>
      </c>
      <c r="E783" t="s">
        <v>32</v>
      </c>
      <c r="F783" t="s">
        <v>60</v>
      </c>
      <c r="G783" t="s">
        <v>78</v>
      </c>
      <c r="H783" t="s">
        <v>33</v>
      </c>
      <c r="I783" t="s">
        <v>34</v>
      </c>
      <c r="J783" t="s">
        <v>43</v>
      </c>
      <c r="K783">
        <v>5</v>
      </c>
      <c r="L783">
        <v>32287.49</v>
      </c>
      <c r="M783">
        <v>0</v>
      </c>
      <c r="N783">
        <v>161437.43</v>
      </c>
      <c r="O783" t="s">
        <v>29</v>
      </c>
    </row>
    <row r="784" spans="1:15" x14ac:dyDescent="0.3">
      <c r="A784" t="s">
        <v>852</v>
      </c>
      <c r="B784" s="2">
        <v>46074</v>
      </c>
      <c r="C784" t="s">
        <v>31</v>
      </c>
      <c r="D784" t="str">
        <f t="shared" si="12"/>
        <v>February</v>
      </c>
      <c r="E784" t="s">
        <v>16</v>
      </c>
      <c r="F784" t="s">
        <v>25</v>
      </c>
      <c r="G784" t="s">
        <v>81</v>
      </c>
      <c r="H784" t="s">
        <v>45</v>
      </c>
      <c r="I784" t="s">
        <v>42</v>
      </c>
      <c r="J784" t="s">
        <v>46</v>
      </c>
      <c r="K784">
        <v>4</v>
      </c>
      <c r="L784">
        <v>2208.8200000000002</v>
      </c>
      <c r="M784">
        <v>10</v>
      </c>
      <c r="N784">
        <v>7951.75</v>
      </c>
      <c r="O784" t="s">
        <v>36</v>
      </c>
    </row>
    <row r="785" spans="1:15" x14ac:dyDescent="0.3">
      <c r="A785" t="s">
        <v>853</v>
      </c>
      <c r="B785" s="2">
        <v>46075</v>
      </c>
      <c r="C785" t="s">
        <v>38</v>
      </c>
      <c r="D785" t="str">
        <f t="shared" si="12"/>
        <v>February</v>
      </c>
      <c r="E785" t="s">
        <v>32</v>
      </c>
      <c r="F785" t="s">
        <v>17</v>
      </c>
      <c r="G785" t="s">
        <v>123</v>
      </c>
      <c r="H785" t="s">
        <v>19</v>
      </c>
      <c r="I785" t="s">
        <v>20</v>
      </c>
      <c r="J785" t="s">
        <v>28</v>
      </c>
      <c r="K785">
        <v>4</v>
      </c>
      <c r="L785">
        <v>56542.51</v>
      </c>
      <c r="M785">
        <v>15</v>
      </c>
      <c r="N785">
        <v>192244.53</v>
      </c>
      <c r="O785" t="s">
        <v>36</v>
      </c>
    </row>
    <row r="786" spans="1:15" x14ac:dyDescent="0.3">
      <c r="A786" t="s">
        <v>854</v>
      </c>
      <c r="B786" s="2">
        <v>46076</v>
      </c>
      <c r="C786" t="s">
        <v>49</v>
      </c>
      <c r="D786" t="str">
        <f t="shared" si="12"/>
        <v>February</v>
      </c>
      <c r="E786" t="s">
        <v>52</v>
      </c>
      <c r="F786" t="s">
        <v>40</v>
      </c>
      <c r="G786" t="s">
        <v>75</v>
      </c>
      <c r="H786" t="s">
        <v>27</v>
      </c>
      <c r="I786" t="s">
        <v>42</v>
      </c>
      <c r="J786" t="s">
        <v>35</v>
      </c>
      <c r="K786">
        <v>5</v>
      </c>
      <c r="L786">
        <v>7859.15</v>
      </c>
      <c r="M786">
        <v>5</v>
      </c>
      <c r="N786">
        <v>37330.959999999999</v>
      </c>
      <c r="O786" t="s">
        <v>47</v>
      </c>
    </row>
    <row r="787" spans="1:15" x14ac:dyDescent="0.3">
      <c r="A787" t="s">
        <v>855</v>
      </c>
      <c r="B787" s="2">
        <v>46077</v>
      </c>
      <c r="C787" t="s">
        <v>15</v>
      </c>
      <c r="D787" t="str">
        <f t="shared" si="12"/>
        <v>February</v>
      </c>
      <c r="E787" t="s">
        <v>39</v>
      </c>
      <c r="F787" t="s">
        <v>17</v>
      </c>
      <c r="G787" t="s">
        <v>63</v>
      </c>
      <c r="H787" t="s">
        <v>33</v>
      </c>
      <c r="I787" t="s">
        <v>20</v>
      </c>
      <c r="J787" t="s">
        <v>35</v>
      </c>
      <c r="K787">
        <v>5</v>
      </c>
      <c r="L787">
        <v>59728.13</v>
      </c>
      <c r="M787">
        <v>20</v>
      </c>
      <c r="N787">
        <v>238912.5</v>
      </c>
      <c r="O787" t="s">
        <v>22</v>
      </c>
    </row>
    <row r="788" spans="1:15" x14ac:dyDescent="0.3">
      <c r="A788" t="s">
        <v>856</v>
      </c>
      <c r="B788" s="2">
        <v>46078</v>
      </c>
      <c r="C788" t="s">
        <v>31</v>
      </c>
      <c r="D788" t="str">
        <f t="shared" si="12"/>
        <v>February</v>
      </c>
      <c r="E788" t="s">
        <v>100</v>
      </c>
      <c r="F788" t="s">
        <v>25</v>
      </c>
      <c r="G788" t="s">
        <v>26</v>
      </c>
      <c r="H788" t="s">
        <v>27</v>
      </c>
      <c r="I788" t="s">
        <v>20</v>
      </c>
      <c r="J788" t="s">
        <v>35</v>
      </c>
      <c r="K788">
        <v>4</v>
      </c>
      <c r="L788">
        <v>2310.23</v>
      </c>
      <c r="M788">
        <v>0</v>
      </c>
      <c r="N788">
        <v>9240.92</v>
      </c>
      <c r="O788" t="s">
        <v>47</v>
      </c>
    </row>
    <row r="789" spans="1:15" x14ac:dyDescent="0.3">
      <c r="A789" t="s">
        <v>857</v>
      </c>
      <c r="B789" s="2">
        <v>46079</v>
      </c>
      <c r="C789" t="s">
        <v>49</v>
      </c>
      <c r="D789" t="str">
        <f t="shared" si="12"/>
        <v>February</v>
      </c>
      <c r="E789" t="s">
        <v>52</v>
      </c>
      <c r="F789" t="s">
        <v>17</v>
      </c>
      <c r="G789" t="s">
        <v>18</v>
      </c>
      <c r="H789" t="s">
        <v>33</v>
      </c>
      <c r="I789" t="s">
        <v>34</v>
      </c>
      <c r="J789" t="s">
        <v>35</v>
      </c>
      <c r="K789">
        <v>5</v>
      </c>
      <c r="L789">
        <v>47320.26</v>
      </c>
      <c r="M789">
        <v>20</v>
      </c>
      <c r="N789">
        <v>189281.03</v>
      </c>
      <c r="O789" t="s">
        <v>47</v>
      </c>
    </row>
    <row r="790" spans="1:15" x14ac:dyDescent="0.3">
      <c r="A790" t="s">
        <v>858</v>
      </c>
      <c r="B790" s="2">
        <v>46080</v>
      </c>
      <c r="C790" t="s">
        <v>58</v>
      </c>
      <c r="D790" t="str">
        <f t="shared" si="12"/>
        <v>February</v>
      </c>
      <c r="E790" t="s">
        <v>32</v>
      </c>
      <c r="F790" t="s">
        <v>40</v>
      </c>
      <c r="G790" t="s">
        <v>75</v>
      </c>
      <c r="H790" t="s">
        <v>45</v>
      </c>
      <c r="I790" t="s">
        <v>42</v>
      </c>
      <c r="J790" t="s">
        <v>21</v>
      </c>
      <c r="K790">
        <v>5</v>
      </c>
      <c r="L790">
        <v>4928.63</v>
      </c>
      <c r="M790">
        <v>5</v>
      </c>
      <c r="N790">
        <v>23411.01</v>
      </c>
      <c r="O790" t="s">
        <v>29</v>
      </c>
    </row>
    <row r="791" spans="1:15" x14ac:dyDescent="0.3">
      <c r="A791" t="s">
        <v>859</v>
      </c>
      <c r="B791" s="2">
        <v>46081</v>
      </c>
      <c r="C791" t="s">
        <v>38</v>
      </c>
      <c r="D791" t="str">
        <f t="shared" si="12"/>
        <v>February</v>
      </c>
      <c r="E791" t="s">
        <v>32</v>
      </c>
      <c r="F791" t="s">
        <v>40</v>
      </c>
      <c r="G791" t="s">
        <v>115</v>
      </c>
      <c r="H791" t="s">
        <v>33</v>
      </c>
      <c r="I791" t="s">
        <v>34</v>
      </c>
      <c r="J791" t="s">
        <v>35</v>
      </c>
      <c r="K791">
        <v>4</v>
      </c>
      <c r="L791">
        <v>7124.93</v>
      </c>
      <c r="M791">
        <v>10</v>
      </c>
      <c r="N791">
        <v>25649.74</v>
      </c>
      <c r="O791" t="s">
        <v>22</v>
      </c>
    </row>
    <row r="792" spans="1:15" x14ac:dyDescent="0.3">
      <c r="A792" t="s">
        <v>860</v>
      </c>
      <c r="B792" s="2">
        <v>46082</v>
      </c>
      <c r="C792" t="s">
        <v>15</v>
      </c>
      <c r="D792" t="str">
        <f t="shared" si="12"/>
        <v>March</v>
      </c>
      <c r="E792" t="s">
        <v>50</v>
      </c>
      <c r="F792" t="s">
        <v>25</v>
      </c>
      <c r="G792" t="s">
        <v>92</v>
      </c>
      <c r="H792" t="s">
        <v>27</v>
      </c>
      <c r="I792" t="s">
        <v>34</v>
      </c>
      <c r="J792" t="s">
        <v>46</v>
      </c>
      <c r="K792">
        <v>3</v>
      </c>
      <c r="L792">
        <v>2785.27</v>
      </c>
      <c r="M792">
        <v>20</v>
      </c>
      <c r="N792">
        <v>6684.66</v>
      </c>
      <c r="O792" t="s">
        <v>47</v>
      </c>
    </row>
    <row r="793" spans="1:15" x14ac:dyDescent="0.3">
      <c r="A793" t="s">
        <v>861</v>
      </c>
      <c r="B793" s="2">
        <v>46083</v>
      </c>
      <c r="C793" t="s">
        <v>38</v>
      </c>
      <c r="D793" t="str">
        <f t="shared" si="12"/>
        <v>March</v>
      </c>
      <c r="E793" t="s">
        <v>100</v>
      </c>
      <c r="F793" t="s">
        <v>25</v>
      </c>
      <c r="G793" t="s">
        <v>92</v>
      </c>
      <c r="H793" t="s">
        <v>33</v>
      </c>
      <c r="I793" t="s">
        <v>34</v>
      </c>
      <c r="J793" t="s">
        <v>43</v>
      </c>
      <c r="K793">
        <v>2</v>
      </c>
      <c r="L793">
        <v>2692.35</v>
      </c>
      <c r="M793">
        <v>15</v>
      </c>
      <c r="N793">
        <v>4576.99</v>
      </c>
      <c r="O793" t="s">
        <v>36</v>
      </c>
    </row>
    <row r="794" spans="1:15" x14ac:dyDescent="0.3">
      <c r="A794" t="s">
        <v>862</v>
      </c>
      <c r="B794" s="2">
        <v>46084</v>
      </c>
      <c r="C794" t="s">
        <v>38</v>
      </c>
      <c r="D794" t="str">
        <f t="shared" si="12"/>
        <v>March</v>
      </c>
      <c r="E794" t="s">
        <v>50</v>
      </c>
      <c r="F794" t="s">
        <v>60</v>
      </c>
      <c r="G794" t="s">
        <v>78</v>
      </c>
      <c r="H794" t="s">
        <v>19</v>
      </c>
      <c r="I794" t="s">
        <v>42</v>
      </c>
      <c r="J794" t="s">
        <v>46</v>
      </c>
      <c r="K794">
        <v>3</v>
      </c>
      <c r="L794">
        <v>46552.4</v>
      </c>
      <c r="M794">
        <v>0</v>
      </c>
      <c r="N794">
        <v>139657.20000000001</v>
      </c>
      <c r="O794" t="s">
        <v>47</v>
      </c>
    </row>
    <row r="795" spans="1:15" x14ac:dyDescent="0.3">
      <c r="A795" t="s">
        <v>863</v>
      </c>
      <c r="B795" s="2">
        <v>46085</v>
      </c>
      <c r="C795" t="s">
        <v>31</v>
      </c>
      <c r="D795" t="str">
        <f t="shared" si="12"/>
        <v>March</v>
      </c>
      <c r="E795" t="s">
        <v>16</v>
      </c>
      <c r="F795" t="s">
        <v>25</v>
      </c>
      <c r="G795" t="s">
        <v>56</v>
      </c>
      <c r="H795" t="s">
        <v>33</v>
      </c>
      <c r="I795" t="s">
        <v>20</v>
      </c>
      <c r="J795" t="s">
        <v>35</v>
      </c>
      <c r="K795">
        <v>4</v>
      </c>
      <c r="L795">
        <v>2632.91</v>
      </c>
      <c r="M795">
        <v>20</v>
      </c>
      <c r="N795">
        <v>8425.2999999999993</v>
      </c>
      <c r="O795" t="s">
        <v>47</v>
      </c>
    </row>
    <row r="796" spans="1:15" x14ac:dyDescent="0.3">
      <c r="A796" t="s">
        <v>864</v>
      </c>
      <c r="B796" s="2">
        <v>46086</v>
      </c>
      <c r="C796" t="s">
        <v>15</v>
      </c>
      <c r="D796" t="str">
        <f t="shared" si="12"/>
        <v>March</v>
      </c>
      <c r="E796" t="s">
        <v>72</v>
      </c>
      <c r="F796" t="s">
        <v>17</v>
      </c>
      <c r="G796" t="s">
        <v>63</v>
      </c>
      <c r="H796" t="s">
        <v>45</v>
      </c>
      <c r="I796" t="s">
        <v>20</v>
      </c>
      <c r="J796" t="s">
        <v>46</v>
      </c>
      <c r="K796">
        <v>1</v>
      </c>
      <c r="L796">
        <v>64983.58</v>
      </c>
      <c r="M796">
        <v>10</v>
      </c>
      <c r="N796">
        <v>58485.22</v>
      </c>
      <c r="O796" t="s">
        <v>29</v>
      </c>
    </row>
    <row r="797" spans="1:15" x14ac:dyDescent="0.3">
      <c r="A797" t="s">
        <v>865</v>
      </c>
      <c r="B797" s="2">
        <v>46087</v>
      </c>
      <c r="C797" t="s">
        <v>58</v>
      </c>
      <c r="D797" t="str">
        <f t="shared" si="12"/>
        <v>March</v>
      </c>
      <c r="E797" t="s">
        <v>39</v>
      </c>
      <c r="F797" t="s">
        <v>60</v>
      </c>
      <c r="G797" t="s">
        <v>61</v>
      </c>
      <c r="H797" t="s">
        <v>27</v>
      </c>
      <c r="I797" t="s">
        <v>34</v>
      </c>
      <c r="J797" t="s">
        <v>28</v>
      </c>
      <c r="K797">
        <v>3</v>
      </c>
      <c r="L797">
        <v>34598.199999999997</v>
      </c>
      <c r="M797">
        <v>0</v>
      </c>
      <c r="N797">
        <v>103794.59</v>
      </c>
      <c r="O797" t="s">
        <v>47</v>
      </c>
    </row>
    <row r="798" spans="1:15" x14ac:dyDescent="0.3">
      <c r="A798" t="s">
        <v>866</v>
      </c>
      <c r="B798" s="2">
        <v>46088</v>
      </c>
      <c r="C798" t="s">
        <v>15</v>
      </c>
      <c r="D798" t="str">
        <f t="shared" si="12"/>
        <v>March</v>
      </c>
      <c r="E798" t="s">
        <v>50</v>
      </c>
      <c r="F798" t="s">
        <v>25</v>
      </c>
      <c r="G798" t="s">
        <v>26</v>
      </c>
      <c r="H798" t="s">
        <v>19</v>
      </c>
      <c r="I798" t="s">
        <v>42</v>
      </c>
      <c r="J798" t="s">
        <v>21</v>
      </c>
      <c r="K798">
        <v>3</v>
      </c>
      <c r="L798">
        <v>2918.07</v>
      </c>
      <c r="M798">
        <v>5</v>
      </c>
      <c r="N798">
        <v>8316.51</v>
      </c>
      <c r="O798" t="s">
        <v>29</v>
      </c>
    </row>
    <row r="799" spans="1:15" x14ac:dyDescent="0.3">
      <c r="A799" t="s">
        <v>867</v>
      </c>
      <c r="B799" s="2">
        <v>46089</v>
      </c>
      <c r="C799" t="s">
        <v>38</v>
      </c>
      <c r="D799" t="str">
        <f t="shared" si="12"/>
        <v>March</v>
      </c>
      <c r="E799" t="s">
        <v>77</v>
      </c>
      <c r="F799" t="s">
        <v>60</v>
      </c>
      <c r="G799" t="s">
        <v>73</v>
      </c>
      <c r="H799" t="s">
        <v>45</v>
      </c>
      <c r="I799" t="s">
        <v>34</v>
      </c>
      <c r="J799" t="s">
        <v>28</v>
      </c>
      <c r="K799">
        <v>4</v>
      </c>
      <c r="L799">
        <v>49652.52</v>
      </c>
      <c r="M799">
        <v>20</v>
      </c>
      <c r="N799">
        <v>158888.07</v>
      </c>
      <c r="O799" t="s">
        <v>36</v>
      </c>
    </row>
    <row r="800" spans="1:15" x14ac:dyDescent="0.3">
      <c r="A800" t="s">
        <v>868</v>
      </c>
      <c r="B800" s="2">
        <v>46090</v>
      </c>
      <c r="C800" t="s">
        <v>49</v>
      </c>
      <c r="D800" t="str">
        <f t="shared" si="12"/>
        <v>March</v>
      </c>
      <c r="E800" t="s">
        <v>24</v>
      </c>
      <c r="F800" t="s">
        <v>53</v>
      </c>
      <c r="G800" t="s">
        <v>54</v>
      </c>
      <c r="H800" t="s">
        <v>45</v>
      </c>
      <c r="I800" t="s">
        <v>20</v>
      </c>
      <c r="J800" t="s">
        <v>21</v>
      </c>
      <c r="K800">
        <v>2</v>
      </c>
      <c r="L800">
        <v>30025.4</v>
      </c>
      <c r="M800">
        <v>10</v>
      </c>
      <c r="N800">
        <v>54045.72</v>
      </c>
      <c r="O800" t="s">
        <v>22</v>
      </c>
    </row>
    <row r="801" spans="1:15" x14ac:dyDescent="0.3">
      <c r="A801" t="s">
        <v>869</v>
      </c>
      <c r="B801" s="2">
        <v>46091</v>
      </c>
      <c r="C801" t="s">
        <v>58</v>
      </c>
      <c r="D801" t="str">
        <f t="shared" si="12"/>
        <v>March</v>
      </c>
      <c r="E801" t="s">
        <v>16</v>
      </c>
      <c r="F801" t="s">
        <v>53</v>
      </c>
      <c r="G801" t="s">
        <v>129</v>
      </c>
      <c r="H801" t="s">
        <v>45</v>
      </c>
      <c r="I801" t="s">
        <v>34</v>
      </c>
      <c r="J801" t="s">
        <v>35</v>
      </c>
      <c r="K801">
        <v>3</v>
      </c>
      <c r="L801">
        <v>32624.53</v>
      </c>
      <c r="M801">
        <v>10</v>
      </c>
      <c r="N801">
        <v>88086.24</v>
      </c>
      <c r="O801" t="s">
        <v>29</v>
      </c>
    </row>
    <row r="802" spans="1:15" x14ac:dyDescent="0.3">
      <c r="A802" t="s">
        <v>870</v>
      </c>
      <c r="B802" s="2">
        <v>46092</v>
      </c>
      <c r="C802" t="s">
        <v>58</v>
      </c>
      <c r="D802" t="str">
        <f t="shared" si="12"/>
        <v>March</v>
      </c>
      <c r="E802" t="s">
        <v>32</v>
      </c>
      <c r="F802" t="s">
        <v>17</v>
      </c>
      <c r="G802" t="s">
        <v>18</v>
      </c>
      <c r="H802" t="s">
        <v>19</v>
      </c>
      <c r="I802" t="s">
        <v>20</v>
      </c>
      <c r="J802" t="s">
        <v>21</v>
      </c>
      <c r="K802">
        <v>5</v>
      </c>
      <c r="L802">
        <v>60143.42</v>
      </c>
      <c r="M802">
        <v>10</v>
      </c>
      <c r="N802">
        <v>270645.40000000002</v>
      </c>
      <c r="O802" t="s">
        <v>47</v>
      </c>
    </row>
    <row r="803" spans="1:15" x14ac:dyDescent="0.3">
      <c r="A803" t="s">
        <v>871</v>
      </c>
      <c r="B803" s="2">
        <v>46093</v>
      </c>
      <c r="C803" t="s">
        <v>31</v>
      </c>
      <c r="D803" t="str">
        <f t="shared" si="12"/>
        <v>March</v>
      </c>
      <c r="E803" t="s">
        <v>39</v>
      </c>
      <c r="F803" t="s">
        <v>60</v>
      </c>
      <c r="G803" t="s">
        <v>73</v>
      </c>
      <c r="H803" t="s">
        <v>19</v>
      </c>
      <c r="I803" t="s">
        <v>42</v>
      </c>
      <c r="J803" t="s">
        <v>28</v>
      </c>
      <c r="K803">
        <v>2</v>
      </c>
      <c r="L803">
        <v>39221.629999999997</v>
      </c>
      <c r="M803">
        <v>10</v>
      </c>
      <c r="N803">
        <v>70598.929999999993</v>
      </c>
      <c r="O803" t="s">
        <v>47</v>
      </c>
    </row>
    <row r="804" spans="1:15" x14ac:dyDescent="0.3">
      <c r="A804" t="s">
        <v>872</v>
      </c>
      <c r="B804" s="2">
        <v>46094</v>
      </c>
      <c r="C804" t="s">
        <v>49</v>
      </c>
      <c r="D804" t="str">
        <f t="shared" si="12"/>
        <v>March</v>
      </c>
      <c r="E804" t="s">
        <v>50</v>
      </c>
      <c r="F804" t="s">
        <v>40</v>
      </c>
      <c r="G804" t="s">
        <v>41</v>
      </c>
      <c r="H804" t="s">
        <v>19</v>
      </c>
      <c r="I804" t="s">
        <v>34</v>
      </c>
      <c r="J804" t="s">
        <v>21</v>
      </c>
      <c r="K804">
        <v>5</v>
      </c>
      <c r="L804">
        <v>6659.01</v>
      </c>
      <c r="M804">
        <v>0</v>
      </c>
      <c r="N804">
        <v>33295.06</v>
      </c>
      <c r="O804" t="s">
        <v>47</v>
      </c>
    </row>
    <row r="805" spans="1:15" x14ac:dyDescent="0.3">
      <c r="A805" t="s">
        <v>873</v>
      </c>
      <c r="B805" s="2">
        <v>46095</v>
      </c>
      <c r="C805" t="s">
        <v>15</v>
      </c>
      <c r="D805" t="str">
        <f t="shared" si="12"/>
        <v>March</v>
      </c>
      <c r="E805" t="s">
        <v>24</v>
      </c>
      <c r="F805" t="s">
        <v>53</v>
      </c>
      <c r="G805" t="s">
        <v>54</v>
      </c>
      <c r="H805" t="s">
        <v>19</v>
      </c>
      <c r="I805" t="s">
        <v>34</v>
      </c>
      <c r="J805" t="s">
        <v>28</v>
      </c>
      <c r="K805">
        <v>1</v>
      </c>
      <c r="L805">
        <v>34651.839999999997</v>
      </c>
      <c r="M805">
        <v>0</v>
      </c>
      <c r="N805">
        <v>34651.839999999997</v>
      </c>
      <c r="O805" t="s">
        <v>47</v>
      </c>
    </row>
    <row r="806" spans="1:15" x14ac:dyDescent="0.3">
      <c r="A806" t="s">
        <v>874</v>
      </c>
      <c r="B806" s="2">
        <v>46096</v>
      </c>
      <c r="C806" t="s">
        <v>49</v>
      </c>
      <c r="D806" t="str">
        <f t="shared" si="12"/>
        <v>March</v>
      </c>
      <c r="E806" t="s">
        <v>77</v>
      </c>
      <c r="F806" t="s">
        <v>17</v>
      </c>
      <c r="G806" t="s">
        <v>18</v>
      </c>
      <c r="H806" t="s">
        <v>27</v>
      </c>
      <c r="I806" t="s">
        <v>34</v>
      </c>
      <c r="J806" t="s">
        <v>43</v>
      </c>
      <c r="K806">
        <v>4</v>
      </c>
      <c r="L806">
        <v>53687.72</v>
      </c>
      <c r="M806">
        <v>0</v>
      </c>
      <c r="N806">
        <v>214750.9</v>
      </c>
      <c r="O806" t="s">
        <v>47</v>
      </c>
    </row>
    <row r="807" spans="1:15" x14ac:dyDescent="0.3">
      <c r="A807" t="s">
        <v>875</v>
      </c>
      <c r="B807" s="2">
        <v>46097</v>
      </c>
      <c r="C807" t="s">
        <v>15</v>
      </c>
      <c r="D807" t="str">
        <f t="shared" si="12"/>
        <v>March</v>
      </c>
      <c r="E807" t="s">
        <v>24</v>
      </c>
      <c r="F807" t="s">
        <v>60</v>
      </c>
      <c r="G807" t="s">
        <v>70</v>
      </c>
      <c r="H807" t="s">
        <v>27</v>
      </c>
      <c r="I807" t="s">
        <v>20</v>
      </c>
      <c r="J807" t="s">
        <v>28</v>
      </c>
      <c r="K807">
        <v>3</v>
      </c>
      <c r="L807">
        <v>48155.51</v>
      </c>
      <c r="M807">
        <v>0</v>
      </c>
      <c r="N807">
        <v>144466.53</v>
      </c>
      <c r="O807" t="s">
        <v>47</v>
      </c>
    </row>
    <row r="808" spans="1:15" x14ac:dyDescent="0.3">
      <c r="A808" t="s">
        <v>876</v>
      </c>
      <c r="B808" s="2">
        <v>46098</v>
      </c>
      <c r="C808" t="s">
        <v>15</v>
      </c>
      <c r="D808" t="str">
        <f t="shared" si="12"/>
        <v>March</v>
      </c>
      <c r="E808" t="s">
        <v>77</v>
      </c>
      <c r="F808" t="s">
        <v>25</v>
      </c>
      <c r="G808" t="s">
        <v>81</v>
      </c>
      <c r="H808" t="s">
        <v>27</v>
      </c>
      <c r="I808" t="s">
        <v>20</v>
      </c>
      <c r="J808" t="s">
        <v>21</v>
      </c>
      <c r="K808">
        <v>1</v>
      </c>
      <c r="L808">
        <v>2105.7800000000002</v>
      </c>
      <c r="M808">
        <v>15</v>
      </c>
      <c r="N808">
        <v>1789.92</v>
      </c>
      <c r="O808" t="s">
        <v>47</v>
      </c>
    </row>
    <row r="809" spans="1:15" x14ac:dyDescent="0.3">
      <c r="A809" t="s">
        <v>877</v>
      </c>
      <c r="B809" s="2">
        <v>46099</v>
      </c>
      <c r="C809" t="s">
        <v>38</v>
      </c>
      <c r="D809" t="str">
        <f t="shared" si="12"/>
        <v>March</v>
      </c>
      <c r="E809" t="s">
        <v>32</v>
      </c>
      <c r="F809" t="s">
        <v>40</v>
      </c>
      <c r="G809" t="s">
        <v>118</v>
      </c>
      <c r="H809" t="s">
        <v>45</v>
      </c>
      <c r="I809" t="s">
        <v>42</v>
      </c>
      <c r="J809" t="s">
        <v>35</v>
      </c>
      <c r="K809">
        <v>3</v>
      </c>
      <c r="L809">
        <v>6829.64</v>
      </c>
      <c r="M809">
        <v>15</v>
      </c>
      <c r="N809">
        <v>17415.59</v>
      </c>
      <c r="O809" t="s">
        <v>47</v>
      </c>
    </row>
    <row r="810" spans="1:15" x14ac:dyDescent="0.3">
      <c r="A810" t="s">
        <v>878</v>
      </c>
      <c r="B810" s="2">
        <v>46100</v>
      </c>
      <c r="C810" t="s">
        <v>49</v>
      </c>
      <c r="D810" t="str">
        <f t="shared" si="12"/>
        <v>March</v>
      </c>
      <c r="E810" t="s">
        <v>100</v>
      </c>
      <c r="F810" t="s">
        <v>53</v>
      </c>
      <c r="G810" t="s">
        <v>105</v>
      </c>
      <c r="H810" t="s">
        <v>33</v>
      </c>
      <c r="I810" t="s">
        <v>42</v>
      </c>
      <c r="J810" t="s">
        <v>28</v>
      </c>
      <c r="K810">
        <v>3</v>
      </c>
      <c r="L810">
        <v>38306.86</v>
      </c>
      <c r="M810">
        <v>10</v>
      </c>
      <c r="N810">
        <v>103428.52</v>
      </c>
      <c r="O810" t="s">
        <v>29</v>
      </c>
    </row>
    <row r="811" spans="1:15" x14ac:dyDescent="0.3">
      <c r="A811" t="s">
        <v>879</v>
      </c>
      <c r="B811" s="2">
        <v>46101</v>
      </c>
      <c r="C811" t="s">
        <v>15</v>
      </c>
      <c r="D811" t="str">
        <f t="shared" si="12"/>
        <v>March</v>
      </c>
      <c r="E811" t="s">
        <v>24</v>
      </c>
      <c r="F811" t="s">
        <v>17</v>
      </c>
      <c r="G811" t="s">
        <v>123</v>
      </c>
      <c r="H811" t="s">
        <v>19</v>
      </c>
      <c r="I811" t="s">
        <v>42</v>
      </c>
      <c r="J811" t="s">
        <v>21</v>
      </c>
      <c r="K811">
        <v>5</v>
      </c>
      <c r="L811">
        <v>66698.210000000006</v>
      </c>
      <c r="M811">
        <v>0</v>
      </c>
      <c r="N811">
        <v>333491.07</v>
      </c>
      <c r="O811" t="s">
        <v>22</v>
      </c>
    </row>
    <row r="812" spans="1:15" x14ac:dyDescent="0.3">
      <c r="A812" t="s">
        <v>880</v>
      </c>
      <c r="B812" s="2">
        <v>46102</v>
      </c>
      <c r="C812" t="s">
        <v>38</v>
      </c>
      <c r="D812" t="str">
        <f t="shared" si="12"/>
        <v>March</v>
      </c>
      <c r="E812" t="s">
        <v>69</v>
      </c>
      <c r="F812" t="s">
        <v>60</v>
      </c>
      <c r="G812" t="s">
        <v>70</v>
      </c>
      <c r="H812" t="s">
        <v>45</v>
      </c>
      <c r="I812" t="s">
        <v>34</v>
      </c>
      <c r="J812" t="s">
        <v>21</v>
      </c>
      <c r="K812">
        <v>4</v>
      </c>
      <c r="L812">
        <v>48948.72</v>
      </c>
      <c r="M812">
        <v>20</v>
      </c>
      <c r="N812">
        <v>156635.92000000001</v>
      </c>
      <c r="O812" t="s">
        <v>29</v>
      </c>
    </row>
    <row r="813" spans="1:15" x14ac:dyDescent="0.3">
      <c r="A813" t="s">
        <v>881</v>
      </c>
      <c r="B813" s="2">
        <v>46103</v>
      </c>
      <c r="C813" t="s">
        <v>58</v>
      </c>
      <c r="D813" t="str">
        <f t="shared" si="12"/>
        <v>March</v>
      </c>
      <c r="E813" t="s">
        <v>52</v>
      </c>
      <c r="F813" t="s">
        <v>25</v>
      </c>
      <c r="G813" t="s">
        <v>56</v>
      </c>
      <c r="H813" t="s">
        <v>27</v>
      </c>
      <c r="I813" t="s">
        <v>34</v>
      </c>
      <c r="J813" t="s">
        <v>21</v>
      </c>
      <c r="K813">
        <v>3</v>
      </c>
      <c r="L813">
        <v>2802.1</v>
      </c>
      <c r="M813">
        <v>20</v>
      </c>
      <c r="N813">
        <v>6725.05</v>
      </c>
      <c r="O813" t="s">
        <v>47</v>
      </c>
    </row>
    <row r="814" spans="1:15" x14ac:dyDescent="0.3">
      <c r="A814" t="s">
        <v>882</v>
      </c>
      <c r="B814" s="2">
        <v>46104</v>
      </c>
      <c r="C814" t="s">
        <v>31</v>
      </c>
      <c r="D814" t="str">
        <f t="shared" si="12"/>
        <v>March</v>
      </c>
      <c r="E814" t="s">
        <v>32</v>
      </c>
      <c r="F814" t="s">
        <v>25</v>
      </c>
      <c r="G814" t="s">
        <v>92</v>
      </c>
      <c r="H814" t="s">
        <v>33</v>
      </c>
      <c r="I814" t="s">
        <v>42</v>
      </c>
      <c r="J814" t="s">
        <v>21</v>
      </c>
      <c r="K814">
        <v>2</v>
      </c>
      <c r="L814">
        <v>2165.12</v>
      </c>
      <c r="M814">
        <v>20</v>
      </c>
      <c r="N814">
        <v>3464.2</v>
      </c>
      <c r="O814" t="s">
        <v>47</v>
      </c>
    </row>
    <row r="815" spans="1:15" x14ac:dyDescent="0.3">
      <c r="A815" t="s">
        <v>883</v>
      </c>
      <c r="B815" s="2">
        <v>46105</v>
      </c>
      <c r="C815" t="s">
        <v>31</v>
      </c>
      <c r="D815" t="str">
        <f t="shared" si="12"/>
        <v>March</v>
      </c>
      <c r="E815" t="s">
        <v>100</v>
      </c>
      <c r="F815" t="s">
        <v>25</v>
      </c>
      <c r="G815" t="s">
        <v>56</v>
      </c>
      <c r="H815" t="s">
        <v>33</v>
      </c>
      <c r="I815" t="s">
        <v>42</v>
      </c>
      <c r="J815" t="s">
        <v>28</v>
      </c>
      <c r="K815">
        <v>4</v>
      </c>
      <c r="L815">
        <v>3015.6</v>
      </c>
      <c r="M815">
        <v>0</v>
      </c>
      <c r="N815">
        <v>12062.4</v>
      </c>
      <c r="O815" t="s">
        <v>22</v>
      </c>
    </row>
    <row r="816" spans="1:15" x14ac:dyDescent="0.3">
      <c r="A816" t="s">
        <v>884</v>
      </c>
      <c r="B816" s="2">
        <v>46106</v>
      </c>
      <c r="C816" t="s">
        <v>15</v>
      </c>
      <c r="D816" t="str">
        <f t="shared" si="12"/>
        <v>March</v>
      </c>
      <c r="E816" t="s">
        <v>72</v>
      </c>
      <c r="F816" t="s">
        <v>17</v>
      </c>
      <c r="G816" t="s">
        <v>18</v>
      </c>
      <c r="H816" t="s">
        <v>27</v>
      </c>
      <c r="I816" t="s">
        <v>20</v>
      </c>
      <c r="J816" t="s">
        <v>28</v>
      </c>
      <c r="K816">
        <v>2</v>
      </c>
      <c r="L816">
        <v>58552.5</v>
      </c>
      <c r="M816">
        <v>5</v>
      </c>
      <c r="N816">
        <v>111249.75</v>
      </c>
      <c r="O816" t="s">
        <v>29</v>
      </c>
    </row>
    <row r="817" spans="1:15" x14ac:dyDescent="0.3">
      <c r="A817" t="s">
        <v>885</v>
      </c>
      <c r="B817" s="2">
        <v>46107</v>
      </c>
      <c r="C817" t="s">
        <v>15</v>
      </c>
      <c r="D817" t="str">
        <f t="shared" si="12"/>
        <v>March</v>
      </c>
      <c r="E817" t="s">
        <v>100</v>
      </c>
      <c r="F817" t="s">
        <v>25</v>
      </c>
      <c r="G817" t="s">
        <v>81</v>
      </c>
      <c r="H817" t="s">
        <v>27</v>
      </c>
      <c r="I817" t="s">
        <v>42</v>
      </c>
      <c r="J817" t="s">
        <v>46</v>
      </c>
      <c r="K817">
        <v>1</v>
      </c>
      <c r="L817">
        <v>2916.62</v>
      </c>
      <c r="M817">
        <v>5</v>
      </c>
      <c r="N817">
        <v>2770.79</v>
      </c>
      <c r="O817" t="s">
        <v>29</v>
      </c>
    </row>
    <row r="818" spans="1:15" x14ac:dyDescent="0.3">
      <c r="A818" t="s">
        <v>886</v>
      </c>
      <c r="B818" s="2">
        <v>46108</v>
      </c>
      <c r="C818" t="s">
        <v>31</v>
      </c>
      <c r="D818" t="str">
        <f t="shared" si="12"/>
        <v>March</v>
      </c>
      <c r="E818" t="s">
        <v>50</v>
      </c>
      <c r="F818" t="s">
        <v>25</v>
      </c>
      <c r="G818" t="s">
        <v>56</v>
      </c>
      <c r="H818" t="s">
        <v>45</v>
      </c>
      <c r="I818" t="s">
        <v>42</v>
      </c>
      <c r="J818" t="s">
        <v>43</v>
      </c>
      <c r="K818">
        <v>2</v>
      </c>
      <c r="L818">
        <v>2572.37</v>
      </c>
      <c r="M818">
        <v>0</v>
      </c>
      <c r="N818">
        <v>5144.74</v>
      </c>
      <c r="O818" t="s">
        <v>36</v>
      </c>
    </row>
    <row r="819" spans="1:15" x14ac:dyDescent="0.3">
      <c r="A819" t="s">
        <v>887</v>
      </c>
      <c r="B819" s="2">
        <v>46109</v>
      </c>
      <c r="C819" t="s">
        <v>49</v>
      </c>
      <c r="D819" t="str">
        <f t="shared" si="12"/>
        <v>March</v>
      </c>
      <c r="E819" t="s">
        <v>32</v>
      </c>
      <c r="F819" t="s">
        <v>60</v>
      </c>
      <c r="G819" t="s">
        <v>70</v>
      </c>
      <c r="H819" t="s">
        <v>33</v>
      </c>
      <c r="I819" t="s">
        <v>42</v>
      </c>
      <c r="J819" t="s">
        <v>46</v>
      </c>
      <c r="K819">
        <v>1</v>
      </c>
      <c r="L819">
        <v>37574.6</v>
      </c>
      <c r="M819">
        <v>10</v>
      </c>
      <c r="N819">
        <v>33817.14</v>
      </c>
      <c r="O819" t="s">
        <v>47</v>
      </c>
    </row>
    <row r="820" spans="1:15" x14ac:dyDescent="0.3">
      <c r="A820" t="s">
        <v>888</v>
      </c>
      <c r="B820" s="2">
        <v>46110</v>
      </c>
      <c r="C820" t="s">
        <v>58</v>
      </c>
      <c r="D820" t="str">
        <f t="shared" si="12"/>
        <v>March</v>
      </c>
      <c r="E820" t="s">
        <v>39</v>
      </c>
      <c r="F820" t="s">
        <v>60</v>
      </c>
      <c r="G820" t="s">
        <v>61</v>
      </c>
      <c r="H820" t="s">
        <v>19</v>
      </c>
      <c r="I820" t="s">
        <v>34</v>
      </c>
      <c r="J820" t="s">
        <v>46</v>
      </c>
      <c r="K820">
        <v>1</v>
      </c>
      <c r="L820">
        <v>45972.65</v>
      </c>
      <c r="M820">
        <v>20</v>
      </c>
      <c r="N820">
        <v>36778.120000000003</v>
      </c>
      <c r="O820" t="s">
        <v>36</v>
      </c>
    </row>
    <row r="821" spans="1:15" x14ac:dyDescent="0.3">
      <c r="A821" t="s">
        <v>889</v>
      </c>
      <c r="B821" s="2">
        <v>46111</v>
      </c>
      <c r="C821" t="s">
        <v>15</v>
      </c>
      <c r="D821" t="str">
        <f t="shared" si="12"/>
        <v>March</v>
      </c>
      <c r="E821" t="s">
        <v>32</v>
      </c>
      <c r="F821" t="s">
        <v>17</v>
      </c>
      <c r="G821" t="s">
        <v>18</v>
      </c>
      <c r="H821" t="s">
        <v>45</v>
      </c>
      <c r="I821" t="s">
        <v>34</v>
      </c>
      <c r="J821" t="s">
        <v>43</v>
      </c>
      <c r="K821">
        <v>5</v>
      </c>
      <c r="L821">
        <v>63025.13</v>
      </c>
      <c r="M821">
        <v>20</v>
      </c>
      <c r="N821">
        <v>252100.51</v>
      </c>
      <c r="O821" t="s">
        <v>47</v>
      </c>
    </row>
    <row r="822" spans="1:15" x14ac:dyDescent="0.3">
      <c r="A822" t="s">
        <v>890</v>
      </c>
      <c r="B822" s="2">
        <v>46112</v>
      </c>
      <c r="C822" t="s">
        <v>15</v>
      </c>
      <c r="D822" t="str">
        <f t="shared" si="12"/>
        <v>March</v>
      </c>
      <c r="E822" t="s">
        <v>32</v>
      </c>
      <c r="F822" t="s">
        <v>60</v>
      </c>
      <c r="G822" t="s">
        <v>78</v>
      </c>
      <c r="H822" t="s">
        <v>27</v>
      </c>
      <c r="I822" t="s">
        <v>34</v>
      </c>
      <c r="J822" t="s">
        <v>28</v>
      </c>
      <c r="K822">
        <v>4</v>
      </c>
      <c r="L822">
        <v>41371.82</v>
      </c>
      <c r="M822">
        <v>15</v>
      </c>
      <c r="N822">
        <v>140664.18</v>
      </c>
      <c r="O822" t="s">
        <v>22</v>
      </c>
    </row>
    <row r="823" spans="1:15" x14ac:dyDescent="0.3">
      <c r="A823" t="s">
        <v>891</v>
      </c>
      <c r="B823" s="2">
        <v>46113</v>
      </c>
      <c r="C823" t="s">
        <v>15</v>
      </c>
      <c r="D823" t="str">
        <f t="shared" si="12"/>
        <v>April</v>
      </c>
      <c r="E823" t="s">
        <v>77</v>
      </c>
      <c r="F823" t="s">
        <v>40</v>
      </c>
      <c r="G823" t="s">
        <v>115</v>
      </c>
      <c r="H823" t="s">
        <v>45</v>
      </c>
      <c r="I823" t="s">
        <v>42</v>
      </c>
      <c r="J823" t="s">
        <v>21</v>
      </c>
      <c r="K823">
        <v>3</v>
      </c>
      <c r="L823">
        <v>5239.4399999999996</v>
      </c>
      <c r="M823">
        <v>0</v>
      </c>
      <c r="N823">
        <v>15718.31</v>
      </c>
      <c r="O823" t="s">
        <v>47</v>
      </c>
    </row>
    <row r="824" spans="1:15" x14ac:dyDescent="0.3">
      <c r="A824" t="s">
        <v>892</v>
      </c>
      <c r="B824" s="2">
        <v>46114</v>
      </c>
      <c r="C824" t="s">
        <v>58</v>
      </c>
      <c r="D824" t="str">
        <f t="shared" si="12"/>
        <v>April</v>
      </c>
      <c r="E824" t="s">
        <v>52</v>
      </c>
      <c r="F824" t="s">
        <v>40</v>
      </c>
      <c r="G824" t="s">
        <v>118</v>
      </c>
      <c r="H824" t="s">
        <v>45</v>
      </c>
      <c r="I824" t="s">
        <v>42</v>
      </c>
      <c r="J824" t="s">
        <v>46</v>
      </c>
      <c r="K824">
        <v>3</v>
      </c>
      <c r="L824">
        <v>6494.24</v>
      </c>
      <c r="M824">
        <v>0</v>
      </c>
      <c r="N824">
        <v>19482.73</v>
      </c>
      <c r="O824" t="s">
        <v>29</v>
      </c>
    </row>
    <row r="825" spans="1:15" x14ac:dyDescent="0.3">
      <c r="A825" t="s">
        <v>893</v>
      </c>
      <c r="B825" s="2">
        <v>46115</v>
      </c>
      <c r="C825" t="s">
        <v>38</v>
      </c>
      <c r="D825" t="str">
        <f t="shared" si="12"/>
        <v>April</v>
      </c>
      <c r="E825" t="s">
        <v>72</v>
      </c>
      <c r="F825" t="s">
        <v>25</v>
      </c>
      <c r="G825" t="s">
        <v>81</v>
      </c>
      <c r="H825" t="s">
        <v>19</v>
      </c>
      <c r="I825" t="s">
        <v>42</v>
      </c>
      <c r="J825" t="s">
        <v>21</v>
      </c>
      <c r="K825">
        <v>3</v>
      </c>
      <c r="L825">
        <v>2017.24</v>
      </c>
      <c r="M825">
        <v>10</v>
      </c>
      <c r="N825">
        <v>5446.54</v>
      </c>
      <c r="O825" t="s">
        <v>47</v>
      </c>
    </row>
    <row r="826" spans="1:15" x14ac:dyDescent="0.3">
      <c r="A826" t="s">
        <v>894</v>
      </c>
      <c r="B826" s="2">
        <v>46116</v>
      </c>
      <c r="C826" t="s">
        <v>31</v>
      </c>
      <c r="D826" t="str">
        <f t="shared" si="12"/>
        <v>April</v>
      </c>
      <c r="E826" t="s">
        <v>32</v>
      </c>
      <c r="F826" t="s">
        <v>17</v>
      </c>
      <c r="G826" t="s">
        <v>67</v>
      </c>
      <c r="H826" t="s">
        <v>45</v>
      </c>
      <c r="I826" t="s">
        <v>34</v>
      </c>
      <c r="J826" t="s">
        <v>35</v>
      </c>
      <c r="K826">
        <v>2</v>
      </c>
      <c r="L826">
        <v>45066.77</v>
      </c>
      <c r="M826">
        <v>0</v>
      </c>
      <c r="N826">
        <v>90133.54</v>
      </c>
      <c r="O826" t="s">
        <v>47</v>
      </c>
    </row>
    <row r="827" spans="1:15" x14ac:dyDescent="0.3">
      <c r="A827" t="s">
        <v>895</v>
      </c>
      <c r="B827" s="2">
        <v>46117</v>
      </c>
      <c r="C827" t="s">
        <v>58</v>
      </c>
      <c r="D827" t="str">
        <f t="shared" si="12"/>
        <v>April</v>
      </c>
      <c r="E827" t="s">
        <v>77</v>
      </c>
      <c r="F827" t="s">
        <v>25</v>
      </c>
      <c r="G827" t="s">
        <v>56</v>
      </c>
      <c r="H827" t="s">
        <v>27</v>
      </c>
      <c r="I827" t="s">
        <v>34</v>
      </c>
      <c r="J827" t="s">
        <v>28</v>
      </c>
      <c r="K827">
        <v>4</v>
      </c>
      <c r="L827">
        <v>2213.08</v>
      </c>
      <c r="M827">
        <v>10</v>
      </c>
      <c r="N827">
        <v>7967.09</v>
      </c>
      <c r="O827" t="s">
        <v>47</v>
      </c>
    </row>
    <row r="828" spans="1:15" x14ac:dyDescent="0.3">
      <c r="A828" t="s">
        <v>896</v>
      </c>
      <c r="B828" s="2">
        <v>46118</v>
      </c>
      <c r="C828" t="s">
        <v>58</v>
      </c>
      <c r="D828" t="str">
        <f t="shared" si="12"/>
        <v>April</v>
      </c>
      <c r="E828" t="s">
        <v>24</v>
      </c>
      <c r="F828" t="s">
        <v>17</v>
      </c>
      <c r="G828" t="s">
        <v>67</v>
      </c>
      <c r="H828" t="s">
        <v>33</v>
      </c>
      <c r="I828" t="s">
        <v>20</v>
      </c>
      <c r="J828" t="s">
        <v>35</v>
      </c>
      <c r="K828">
        <v>2</v>
      </c>
      <c r="L828">
        <v>47147.27</v>
      </c>
      <c r="M828">
        <v>15</v>
      </c>
      <c r="N828">
        <v>80150.350000000006</v>
      </c>
      <c r="O828" t="s">
        <v>29</v>
      </c>
    </row>
    <row r="829" spans="1:15" x14ac:dyDescent="0.3">
      <c r="A829" t="s">
        <v>897</v>
      </c>
      <c r="B829" s="2">
        <v>46119</v>
      </c>
      <c r="C829" t="s">
        <v>15</v>
      </c>
      <c r="D829" t="str">
        <f t="shared" si="12"/>
        <v>April</v>
      </c>
      <c r="E829" t="s">
        <v>52</v>
      </c>
      <c r="F829" t="s">
        <v>17</v>
      </c>
      <c r="G829" t="s">
        <v>63</v>
      </c>
      <c r="H829" t="s">
        <v>33</v>
      </c>
      <c r="I829" t="s">
        <v>42</v>
      </c>
      <c r="J829" t="s">
        <v>21</v>
      </c>
      <c r="K829">
        <v>4</v>
      </c>
      <c r="L829">
        <v>65134.29</v>
      </c>
      <c r="M829">
        <v>15</v>
      </c>
      <c r="N829">
        <v>221456.57</v>
      </c>
      <c r="O829" t="s">
        <v>22</v>
      </c>
    </row>
    <row r="830" spans="1:15" x14ac:dyDescent="0.3">
      <c r="A830" t="s">
        <v>898</v>
      </c>
      <c r="B830" s="2">
        <v>46120</v>
      </c>
      <c r="C830" t="s">
        <v>38</v>
      </c>
      <c r="D830" t="str">
        <f t="shared" si="12"/>
        <v>April</v>
      </c>
      <c r="E830" t="s">
        <v>24</v>
      </c>
      <c r="F830" t="s">
        <v>40</v>
      </c>
      <c r="G830" t="s">
        <v>115</v>
      </c>
      <c r="H830" t="s">
        <v>45</v>
      </c>
      <c r="I830" t="s">
        <v>42</v>
      </c>
      <c r="J830" t="s">
        <v>35</v>
      </c>
      <c r="K830">
        <v>2</v>
      </c>
      <c r="L830">
        <v>6924.77</v>
      </c>
      <c r="M830">
        <v>10</v>
      </c>
      <c r="N830">
        <v>12464.59</v>
      </c>
      <c r="O830" t="s">
        <v>47</v>
      </c>
    </row>
    <row r="831" spans="1:15" x14ac:dyDescent="0.3">
      <c r="A831" t="s">
        <v>899</v>
      </c>
      <c r="B831" s="2">
        <v>46121</v>
      </c>
      <c r="C831" t="s">
        <v>38</v>
      </c>
      <c r="D831" t="str">
        <f t="shared" si="12"/>
        <v>April</v>
      </c>
      <c r="E831" t="s">
        <v>77</v>
      </c>
      <c r="F831" t="s">
        <v>17</v>
      </c>
      <c r="G831" t="s">
        <v>123</v>
      </c>
      <c r="H831" t="s">
        <v>27</v>
      </c>
      <c r="I831" t="s">
        <v>34</v>
      </c>
      <c r="J831" t="s">
        <v>35</v>
      </c>
      <c r="K831">
        <v>1</v>
      </c>
      <c r="L831">
        <v>55102.36</v>
      </c>
      <c r="M831">
        <v>0</v>
      </c>
      <c r="N831">
        <v>55102.36</v>
      </c>
      <c r="O831" t="s">
        <v>47</v>
      </c>
    </row>
    <row r="832" spans="1:15" x14ac:dyDescent="0.3">
      <c r="A832" t="s">
        <v>900</v>
      </c>
      <c r="B832" s="2">
        <v>46122</v>
      </c>
      <c r="C832" t="s">
        <v>15</v>
      </c>
      <c r="D832" t="str">
        <f t="shared" si="12"/>
        <v>April</v>
      </c>
      <c r="E832" t="s">
        <v>52</v>
      </c>
      <c r="F832" t="s">
        <v>53</v>
      </c>
      <c r="G832" t="s">
        <v>105</v>
      </c>
      <c r="H832" t="s">
        <v>33</v>
      </c>
      <c r="I832" t="s">
        <v>20</v>
      </c>
      <c r="J832" t="s">
        <v>21</v>
      </c>
      <c r="K832">
        <v>4</v>
      </c>
      <c r="L832">
        <v>39538.910000000003</v>
      </c>
      <c r="M832">
        <v>5</v>
      </c>
      <c r="N832">
        <v>150247.85999999999</v>
      </c>
      <c r="O832" t="s">
        <v>22</v>
      </c>
    </row>
    <row r="833" spans="1:15" x14ac:dyDescent="0.3">
      <c r="A833" t="s">
        <v>901</v>
      </c>
      <c r="B833" s="2">
        <v>46123</v>
      </c>
      <c r="C833" t="s">
        <v>31</v>
      </c>
      <c r="D833" t="str">
        <f t="shared" si="12"/>
        <v>April</v>
      </c>
      <c r="E833" t="s">
        <v>72</v>
      </c>
      <c r="F833" t="s">
        <v>40</v>
      </c>
      <c r="G833" t="s">
        <v>41</v>
      </c>
      <c r="H833" t="s">
        <v>45</v>
      </c>
      <c r="I833" t="s">
        <v>42</v>
      </c>
      <c r="J833" t="s">
        <v>28</v>
      </c>
      <c r="K833">
        <v>3</v>
      </c>
      <c r="L833">
        <v>7496.39</v>
      </c>
      <c r="M833">
        <v>15</v>
      </c>
      <c r="N833">
        <v>19115.8</v>
      </c>
      <c r="O833" t="s">
        <v>36</v>
      </c>
    </row>
    <row r="834" spans="1:15" x14ac:dyDescent="0.3">
      <c r="A834" t="s">
        <v>902</v>
      </c>
      <c r="B834" s="2">
        <v>46124</v>
      </c>
      <c r="C834" t="s">
        <v>38</v>
      </c>
      <c r="D834" t="str">
        <f t="shared" si="12"/>
        <v>April</v>
      </c>
      <c r="E834" t="s">
        <v>50</v>
      </c>
      <c r="F834" t="s">
        <v>40</v>
      </c>
      <c r="G834" t="s">
        <v>75</v>
      </c>
      <c r="H834" t="s">
        <v>45</v>
      </c>
      <c r="I834" t="s">
        <v>20</v>
      </c>
      <c r="J834" t="s">
        <v>35</v>
      </c>
      <c r="K834">
        <v>5</v>
      </c>
      <c r="L834">
        <v>5087.22</v>
      </c>
      <c r="M834">
        <v>5</v>
      </c>
      <c r="N834">
        <v>24164.28</v>
      </c>
      <c r="O834" t="s">
        <v>47</v>
      </c>
    </row>
    <row r="835" spans="1:15" x14ac:dyDescent="0.3">
      <c r="A835" t="s">
        <v>903</v>
      </c>
      <c r="B835" s="2">
        <v>46125</v>
      </c>
      <c r="C835" t="s">
        <v>49</v>
      </c>
      <c r="D835" t="str">
        <f t="shared" ref="D835:D898" si="13">TEXT(B835,"mmmm")</f>
        <v>April</v>
      </c>
      <c r="E835" t="s">
        <v>16</v>
      </c>
      <c r="F835" t="s">
        <v>40</v>
      </c>
      <c r="G835" t="s">
        <v>75</v>
      </c>
      <c r="H835" t="s">
        <v>45</v>
      </c>
      <c r="I835" t="s">
        <v>34</v>
      </c>
      <c r="J835" t="s">
        <v>21</v>
      </c>
      <c r="K835">
        <v>2</v>
      </c>
      <c r="L835">
        <v>4947.42</v>
      </c>
      <c r="M835">
        <v>0</v>
      </c>
      <c r="N835">
        <v>9894.83</v>
      </c>
      <c r="O835" t="s">
        <v>47</v>
      </c>
    </row>
    <row r="836" spans="1:15" x14ac:dyDescent="0.3">
      <c r="A836" t="s">
        <v>904</v>
      </c>
      <c r="B836" s="2">
        <v>46126</v>
      </c>
      <c r="C836" t="s">
        <v>58</v>
      </c>
      <c r="D836" t="str">
        <f t="shared" si="13"/>
        <v>April</v>
      </c>
      <c r="E836" t="s">
        <v>77</v>
      </c>
      <c r="F836" t="s">
        <v>60</v>
      </c>
      <c r="G836" t="s">
        <v>78</v>
      </c>
      <c r="H836" t="s">
        <v>27</v>
      </c>
      <c r="I836" t="s">
        <v>42</v>
      </c>
      <c r="J836" t="s">
        <v>28</v>
      </c>
      <c r="K836">
        <v>5</v>
      </c>
      <c r="L836">
        <v>51727.360000000001</v>
      </c>
      <c r="M836">
        <v>0</v>
      </c>
      <c r="N836">
        <v>258636.82</v>
      </c>
      <c r="O836" t="s">
        <v>47</v>
      </c>
    </row>
    <row r="837" spans="1:15" x14ac:dyDescent="0.3">
      <c r="A837" t="s">
        <v>905</v>
      </c>
      <c r="B837" s="2">
        <v>46127</v>
      </c>
      <c r="C837" t="s">
        <v>49</v>
      </c>
      <c r="D837" t="str">
        <f t="shared" si="13"/>
        <v>April</v>
      </c>
      <c r="E837" t="s">
        <v>69</v>
      </c>
      <c r="F837" t="s">
        <v>25</v>
      </c>
      <c r="G837" t="s">
        <v>26</v>
      </c>
      <c r="H837" t="s">
        <v>19</v>
      </c>
      <c r="I837" t="s">
        <v>34</v>
      </c>
      <c r="J837" t="s">
        <v>43</v>
      </c>
      <c r="K837">
        <v>3</v>
      </c>
      <c r="L837">
        <v>2049.3000000000002</v>
      </c>
      <c r="M837">
        <v>20</v>
      </c>
      <c r="N837">
        <v>4918.3100000000004</v>
      </c>
      <c r="O837" t="s">
        <v>47</v>
      </c>
    </row>
    <row r="838" spans="1:15" x14ac:dyDescent="0.3">
      <c r="A838" t="s">
        <v>906</v>
      </c>
      <c r="B838" s="2">
        <v>46128</v>
      </c>
      <c r="C838" t="s">
        <v>31</v>
      </c>
      <c r="D838" t="str">
        <f t="shared" si="13"/>
        <v>April</v>
      </c>
      <c r="E838" t="s">
        <v>39</v>
      </c>
      <c r="F838" t="s">
        <v>17</v>
      </c>
      <c r="G838" t="s">
        <v>67</v>
      </c>
      <c r="H838" t="s">
        <v>19</v>
      </c>
      <c r="I838" t="s">
        <v>34</v>
      </c>
      <c r="J838" t="s">
        <v>21</v>
      </c>
      <c r="K838">
        <v>1</v>
      </c>
      <c r="L838">
        <v>61478.79</v>
      </c>
      <c r="M838">
        <v>15</v>
      </c>
      <c r="N838">
        <v>52256.98</v>
      </c>
      <c r="O838" t="s">
        <v>47</v>
      </c>
    </row>
    <row r="839" spans="1:15" x14ac:dyDescent="0.3">
      <c r="A839" t="s">
        <v>907</v>
      </c>
      <c r="B839" s="2">
        <v>46129</v>
      </c>
      <c r="C839" t="s">
        <v>49</v>
      </c>
      <c r="D839" t="str">
        <f t="shared" si="13"/>
        <v>April</v>
      </c>
      <c r="E839" t="s">
        <v>16</v>
      </c>
      <c r="F839" t="s">
        <v>60</v>
      </c>
      <c r="G839" t="s">
        <v>78</v>
      </c>
      <c r="H839" t="s">
        <v>19</v>
      </c>
      <c r="I839" t="s">
        <v>42</v>
      </c>
      <c r="J839" t="s">
        <v>21</v>
      </c>
      <c r="K839">
        <v>4</v>
      </c>
      <c r="L839">
        <v>40411.11</v>
      </c>
      <c r="M839">
        <v>0</v>
      </c>
      <c r="N839">
        <v>161644.43</v>
      </c>
      <c r="O839" t="s">
        <v>36</v>
      </c>
    </row>
    <row r="840" spans="1:15" x14ac:dyDescent="0.3">
      <c r="A840" t="s">
        <v>908</v>
      </c>
      <c r="B840" s="2">
        <v>46130</v>
      </c>
      <c r="C840" t="s">
        <v>15</v>
      </c>
      <c r="D840" t="str">
        <f t="shared" si="13"/>
        <v>April</v>
      </c>
      <c r="E840" t="s">
        <v>16</v>
      </c>
      <c r="F840" t="s">
        <v>40</v>
      </c>
      <c r="G840" t="s">
        <v>75</v>
      </c>
      <c r="H840" t="s">
        <v>27</v>
      </c>
      <c r="I840" t="s">
        <v>34</v>
      </c>
      <c r="J840" t="s">
        <v>35</v>
      </c>
      <c r="K840">
        <v>2</v>
      </c>
      <c r="L840">
        <v>5169.88</v>
      </c>
      <c r="M840">
        <v>5</v>
      </c>
      <c r="N840">
        <v>9822.7800000000007</v>
      </c>
      <c r="O840" t="s">
        <v>36</v>
      </c>
    </row>
    <row r="841" spans="1:15" x14ac:dyDescent="0.3">
      <c r="A841" t="s">
        <v>909</v>
      </c>
      <c r="B841" s="2">
        <v>46131</v>
      </c>
      <c r="C841" t="s">
        <v>38</v>
      </c>
      <c r="D841" t="str">
        <f t="shared" si="13"/>
        <v>April</v>
      </c>
      <c r="E841" t="s">
        <v>16</v>
      </c>
      <c r="F841" t="s">
        <v>40</v>
      </c>
      <c r="G841" t="s">
        <v>41</v>
      </c>
      <c r="H841" t="s">
        <v>45</v>
      </c>
      <c r="I841" t="s">
        <v>34</v>
      </c>
      <c r="J841" t="s">
        <v>35</v>
      </c>
      <c r="K841">
        <v>5</v>
      </c>
      <c r="L841">
        <v>6092.69</v>
      </c>
      <c r="M841">
        <v>20</v>
      </c>
      <c r="N841">
        <v>24370.74</v>
      </c>
      <c r="O841" t="s">
        <v>47</v>
      </c>
    </row>
    <row r="842" spans="1:15" x14ac:dyDescent="0.3">
      <c r="A842" t="s">
        <v>910</v>
      </c>
      <c r="B842" s="2">
        <v>46132</v>
      </c>
      <c r="C842" t="s">
        <v>15</v>
      </c>
      <c r="D842" t="str">
        <f t="shared" si="13"/>
        <v>April</v>
      </c>
      <c r="E842" t="s">
        <v>39</v>
      </c>
      <c r="F842" t="s">
        <v>53</v>
      </c>
      <c r="G842" t="s">
        <v>129</v>
      </c>
      <c r="H842" t="s">
        <v>27</v>
      </c>
      <c r="I842" t="s">
        <v>42</v>
      </c>
      <c r="J842" t="s">
        <v>21</v>
      </c>
      <c r="K842">
        <v>2</v>
      </c>
      <c r="L842">
        <v>25586.52</v>
      </c>
      <c r="M842">
        <v>0</v>
      </c>
      <c r="N842">
        <v>51173.04</v>
      </c>
      <c r="O842" t="s">
        <v>36</v>
      </c>
    </row>
    <row r="843" spans="1:15" x14ac:dyDescent="0.3">
      <c r="A843" t="s">
        <v>911</v>
      </c>
      <c r="B843" s="2">
        <v>46133</v>
      </c>
      <c r="C843" t="s">
        <v>49</v>
      </c>
      <c r="D843" t="str">
        <f t="shared" si="13"/>
        <v>April</v>
      </c>
      <c r="E843" t="s">
        <v>16</v>
      </c>
      <c r="F843" t="s">
        <v>40</v>
      </c>
      <c r="G843" t="s">
        <v>115</v>
      </c>
      <c r="H843" t="s">
        <v>45</v>
      </c>
      <c r="I843" t="s">
        <v>34</v>
      </c>
      <c r="J843" t="s">
        <v>43</v>
      </c>
      <c r="K843">
        <v>2</v>
      </c>
      <c r="L843">
        <v>7735.57</v>
      </c>
      <c r="M843">
        <v>10</v>
      </c>
      <c r="N843">
        <v>13924.02</v>
      </c>
      <c r="O843" t="s">
        <v>47</v>
      </c>
    </row>
    <row r="844" spans="1:15" x14ac:dyDescent="0.3">
      <c r="A844" t="s">
        <v>912</v>
      </c>
      <c r="B844" s="2">
        <v>46134</v>
      </c>
      <c r="C844" t="s">
        <v>38</v>
      </c>
      <c r="D844" t="str">
        <f t="shared" si="13"/>
        <v>April</v>
      </c>
      <c r="E844" t="s">
        <v>32</v>
      </c>
      <c r="F844" t="s">
        <v>25</v>
      </c>
      <c r="G844" t="s">
        <v>81</v>
      </c>
      <c r="H844" t="s">
        <v>33</v>
      </c>
      <c r="I844" t="s">
        <v>42</v>
      </c>
      <c r="J844" t="s">
        <v>21</v>
      </c>
      <c r="K844">
        <v>5</v>
      </c>
      <c r="L844">
        <v>2199.48</v>
      </c>
      <c r="M844">
        <v>0</v>
      </c>
      <c r="N844">
        <v>10997.41</v>
      </c>
      <c r="O844" t="s">
        <v>47</v>
      </c>
    </row>
    <row r="845" spans="1:15" x14ac:dyDescent="0.3">
      <c r="A845" t="s">
        <v>913</v>
      </c>
      <c r="B845" s="2">
        <v>46135</v>
      </c>
      <c r="C845" t="s">
        <v>15</v>
      </c>
      <c r="D845" t="str">
        <f t="shared" si="13"/>
        <v>April</v>
      </c>
      <c r="E845" t="s">
        <v>77</v>
      </c>
      <c r="F845" t="s">
        <v>60</v>
      </c>
      <c r="G845" t="s">
        <v>73</v>
      </c>
      <c r="H845" t="s">
        <v>33</v>
      </c>
      <c r="I845" t="s">
        <v>34</v>
      </c>
      <c r="J845" t="s">
        <v>35</v>
      </c>
      <c r="K845">
        <v>2</v>
      </c>
      <c r="L845">
        <v>33436.300000000003</v>
      </c>
      <c r="M845">
        <v>20</v>
      </c>
      <c r="N845">
        <v>53498.080000000002</v>
      </c>
      <c r="O845" t="s">
        <v>47</v>
      </c>
    </row>
    <row r="846" spans="1:15" x14ac:dyDescent="0.3">
      <c r="A846" t="s">
        <v>914</v>
      </c>
      <c r="B846" s="2">
        <v>46136</v>
      </c>
      <c r="C846" t="s">
        <v>31</v>
      </c>
      <c r="D846" t="str">
        <f t="shared" si="13"/>
        <v>April</v>
      </c>
      <c r="E846" t="s">
        <v>16</v>
      </c>
      <c r="F846" t="s">
        <v>17</v>
      </c>
      <c r="G846" t="s">
        <v>67</v>
      </c>
      <c r="H846" t="s">
        <v>45</v>
      </c>
      <c r="I846" t="s">
        <v>20</v>
      </c>
      <c r="J846" t="s">
        <v>21</v>
      </c>
      <c r="K846">
        <v>5</v>
      </c>
      <c r="L846">
        <v>53564.06</v>
      </c>
      <c r="M846">
        <v>15</v>
      </c>
      <c r="N846">
        <v>227647.26</v>
      </c>
      <c r="O846" t="s">
        <v>36</v>
      </c>
    </row>
    <row r="847" spans="1:15" x14ac:dyDescent="0.3">
      <c r="A847" t="s">
        <v>915</v>
      </c>
      <c r="B847" s="2">
        <v>46137</v>
      </c>
      <c r="C847" t="s">
        <v>49</v>
      </c>
      <c r="D847" t="str">
        <f t="shared" si="13"/>
        <v>April</v>
      </c>
      <c r="E847" t="s">
        <v>100</v>
      </c>
      <c r="F847" t="s">
        <v>53</v>
      </c>
      <c r="G847" t="s">
        <v>105</v>
      </c>
      <c r="H847" t="s">
        <v>27</v>
      </c>
      <c r="I847" t="s">
        <v>20</v>
      </c>
      <c r="J847" t="s">
        <v>43</v>
      </c>
      <c r="K847">
        <v>4</v>
      </c>
      <c r="L847">
        <v>31801.68</v>
      </c>
      <c r="M847">
        <v>20</v>
      </c>
      <c r="N847">
        <v>101765.37</v>
      </c>
      <c r="O847" t="s">
        <v>47</v>
      </c>
    </row>
    <row r="848" spans="1:15" x14ac:dyDescent="0.3">
      <c r="A848" t="s">
        <v>916</v>
      </c>
      <c r="B848" s="2">
        <v>46138</v>
      </c>
      <c r="C848" t="s">
        <v>31</v>
      </c>
      <c r="D848" t="str">
        <f t="shared" si="13"/>
        <v>April</v>
      </c>
      <c r="E848" t="s">
        <v>16</v>
      </c>
      <c r="F848" t="s">
        <v>17</v>
      </c>
      <c r="G848" t="s">
        <v>123</v>
      </c>
      <c r="H848" t="s">
        <v>33</v>
      </c>
      <c r="I848" t="s">
        <v>42</v>
      </c>
      <c r="J848" t="s">
        <v>43</v>
      </c>
      <c r="K848">
        <v>4</v>
      </c>
      <c r="L848">
        <v>54225.98</v>
      </c>
      <c r="M848">
        <v>15</v>
      </c>
      <c r="N848">
        <v>184368.32</v>
      </c>
      <c r="O848" t="s">
        <v>36</v>
      </c>
    </row>
    <row r="849" spans="1:15" x14ac:dyDescent="0.3">
      <c r="A849" t="s">
        <v>917</v>
      </c>
      <c r="B849" s="2">
        <v>46139</v>
      </c>
      <c r="C849" t="s">
        <v>15</v>
      </c>
      <c r="D849" t="str">
        <f t="shared" si="13"/>
        <v>April</v>
      </c>
      <c r="E849" t="s">
        <v>39</v>
      </c>
      <c r="F849" t="s">
        <v>40</v>
      </c>
      <c r="G849" t="s">
        <v>41</v>
      </c>
      <c r="H849" t="s">
        <v>19</v>
      </c>
      <c r="I849" t="s">
        <v>20</v>
      </c>
      <c r="J849" t="s">
        <v>28</v>
      </c>
      <c r="K849">
        <v>5</v>
      </c>
      <c r="L849">
        <v>6273.49</v>
      </c>
      <c r="M849">
        <v>10</v>
      </c>
      <c r="N849">
        <v>28230.71</v>
      </c>
      <c r="O849" t="s">
        <v>36</v>
      </c>
    </row>
    <row r="850" spans="1:15" x14ac:dyDescent="0.3">
      <c r="A850" t="s">
        <v>918</v>
      </c>
      <c r="B850" s="2">
        <v>46140</v>
      </c>
      <c r="C850" t="s">
        <v>38</v>
      </c>
      <c r="D850" t="str">
        <f t="shared" si="13"/>
        <v>April</v>
      </c>
      <c r="E850" t="s">
        <v>72</v>
      </c>
      <c r="F850" t="s">
        <v>60</v>
      </c>
      <c r="G850" t="s">
        <v>78</v>
      </c>
      <c r="H850" t="s">
        <v>19</v>
      </c>
      <c r="I850" t="s">
        <v>34</v>
      </c>
      <c r="J850" t="s">
        <v>28</v>
      </c>
      <c r="K850">
        <v>3</v>
      </c>
      <c r="L850">
        <v>42464.06</v>
      </c>
      <c r="M850">
        <v>10</v>
      </c>
      <c r="N850">
        <v>114652.96</v>
      </c>
      <c r="O850" t="s">
        <v>47</v>
      </c>
    </row>
    <row r="851" spans="1:15" x14ac:dyDescent="0.3">
      <c r="A851" t="s">
        <v>919</v>
      </c>
      <c r="B851" s="2">
        <v>46141</v>
      </c>
      <c r="C851" t="s">
        <v>38</v>
      </c>
      <c r="D851" t="str">
        <f t="shared" si="13"/>
        <v>April</v>
      </c>
      <c r="E851" t="s">
        <v>72</v>
      </c>
      <c r="F851" t="s">
        <v>53</v>
      </c>
      <c r="G851" t="s">
        <v>129</v>
      </c>
      <c r="H851" t="s">
        <v>45</v>
      </c>
      <c r="I851" t="s">
        <v>20</v>
      </c>
      <c r="J851" t="s">
        <v>46</v>
      </c>
      <c r="K851">
        <v>3</v>
      </c>
      <c r="L851">
        <v>34099.54</v>
      </c>
      <c r="M851">
        <v>20</v>
      </c>
      <c r="N851">
        <v>81838.89</v>
      </c>
      <c r="O851" t="s">
        <v>36</v>
      </c>
    </row>
    <row r="852" spans="1:15" x14ac:dyDescent="0.3">
      <c r="A852" t="s">
        <v>920</v>
      </c>
      <c r="B852" s="2">
        <v>46142</v>
      </c>
      <c r="C852" t="s">
        <v>58</v>
      </c>
      <c r="D852" t="str">
        <f t="shared" si="13"/>
        <v>April</v>
      </c>
      <c r="E852" t="s">
        <v>50</v>
      </c>
      <c r="F852" t="s">
        <v>25</v>
      </c>
      <c r="G852" t="s">
        <v>92</v>
      </c>
      <c r="H852" t="s">
        <v>19</v>
      </c>
      <c r="I852" t="s">
        <v>42</v>
      </c>
      <c r="J852" t="s">
        <v>35</v>
      </c>
      <c r="K852">
        <v>3</v>
      </c>
      <c r="L852">
        <v>2154.6799999999998</v>
      </c>
      <c r="M852">
        <v>0</v>
      </c>
      <c r="N852">
        <v>6464.03</v>
      </c>
      <c r="O852" t="s">
        <v>22</v>
      </c>
    </row>
    <row r="853" spans="1:15" x14ac:dyDescent="0.3">
      <c r="A853" t="s">
        <v>921</v>
      </c>
      <c r="B853" s="2">
        <v>46143</v>
      </c>
      <c r="C853" t="s">
        <v>58</v>
      </c>
      <c r="D853" t="str">
        <f t="shared" si="13"/>
        <v>May</v>
      </c>
      <c r="E853" t="s">
        <v>39</v>
      </c>
      <c r="F853" t="s">
        <v>17</v>
      </c>
      <c r="G853" t="s">
        <v>67</v>
      </c>
      <c r="H853" t="s">
        <v>45</v>
      </c>
      <c r="I853" t="s">
        <v>20</v>
      </c>
      <c r="J853" t="s">
        <v>43</v>
      </c>
      <c r="K853">
        <v>3</v>
      </c>
      <c r="L853">
        <v>62996.97</v>
      </c>
      <c r="M853">
        <v>0</v>
      </c>
      <c r="N853">
        <v>188990.91</v>
      </c>
      <c r="O853" t="s">
        <v>29</v>
      </c>
    </row>
    <row r="854" spans="1:15" x14ac:dyDescent="0.3">
      <c r="A854" t="s">
        <v>922</v>
      </c>
      <c r="B854" s="2">
        <v>46144</v>
      </c>
      <c r="C854" t="s">
        <v>31</v>
      </c>
      <c r="D854" t="str">
        <f t="shared" si="13"/>
        <v>May</v>
      </c>
      <c r="E854" t="s">
        <v>32</v>
      </c>
      <c r="F854" t="s">
        <v>17</v>
      </c>
      <c r="G854" t="s">
        <v>18</v>
      </c>
      <c r="H854" t="s">
        <v>19</v>
      </c>
      <c r="I854" t="s">
        <v>34</v>
      </c>
      <c r="J854" t="s">
        <v>46</v>
      </c>
      <c r="K854">
        <v>2</v>
      </c>
      <c r="L854">
        <v>66641.3</v>
      </c>
      <c r="M854">
        <v>0</v>
      </c>
      <c r="N854">
        <v>133282.59</v>
      </c>
      <c r="O854" t="s">
        <v>47</v>
      </c>
    </row>
    <row r="855" spans="1:15" x14ac:dyDescent="0.3">
      <c r="A855" t="s">
        <v>923</v>
      </c>
      <c r="B855" s="2">
        <v>46145</v>
      </c>
      <c r="C855" t="s">
        <v>58</v>
      </c>
      <c r="D855" t="str">
        <f t="shared" si="13"/>
        <v>May</v>
      </c>
      <c r="E855" t="s">
        <v>24</v>
      </c>
      <c r="F855" t="s">
        <v>60</v>
      </c>
      <c r="G855" t="s">
        <v>61</v>
      </c>
      <c r="H855" t="s">
        <v>19</v>
      </c>
      <c r="I855" t="s">
        <v>34</v>
      </c>
      <c r="J855" t="s">
        <v>35</v>
      </c>
      <c r="K855">
        <v>1</v>
      </c>
      <c r="L855">
        <v>49045.38</v>
      </c>
      <c r="M855">
        <v>10</v>
      </c>
      <c r="N855">
        <v>44140.85</v>
      </c>
      <c r="O855" t="s">
        <v>22</v>
      </c>
    </row>
    <row r="856" spans="1:15" x14ac:dyDescent="0.3">
      <c r="A856" t="s">
        <v>924</v>
      </c>
      <c r="B856" s="2">
        <v>46146</v>
      </c>
      <c r="C856" t="s">
        <v>15</v>
      </c>
      <c r="D856" t="str">
        <f t="shared" si="13"/>
        <v>May</v>
      </c>
      <c r="E856" t="s">
        <v>100</v>
      </c>
      <c r="F856" t="s">
        <v>60</v>
      </c>
      <c r="G856" t="s">
        <v>78</v>
      </c>
      <c r="H856" t="s">
        <v>33</v>
      </c>
      <c r="I856" t="s">
        <v>42</v>
      </c>
      <c r="J856" t="s">
        <v>43</v>
      </c>
      <c r="K856">
        <v>4</v>
      </c>
      <c r="L856">
        <v>51008.57</v>
      </c>
      <c r="M856">
        <v>5</v>
      </c>
      <c r="N856">
        <v>193832.58</v>
      </c>
      <c r="O856" t="s">
        <v>22</v>
      </c>
    </row>
    <row r="857" spans="1:15" x14ac:dyDescent="0.3">
      <c r="A857" t="s">
        <v>925</v>
      </c>
      <c r="B857" s="2">
        <v>46147</v>
      </c>
      <c r="C857" t="s">
        <v>58</v>
      </c>
      <c r="D857" t="str">
        <f t="shared" si="13"/>
        <v>May</v>
      </c>
      <c r="E857" t="s">
        <v>72</v>
      </c>
      <c r="F857" t="s">
        <v>25</v>
      </c>
      <c r="G857" t="s">
        <v>56</v>
      </c>
      <c r="H857" t="s">
        <v>45</v>
      </c>
      <c r="I857" t="s">
        <v>34</v>
      </c>
      <c r="J857" t="s">
        <v>43</v>
      </c>
      <c r="K857">
        <v>4</v>
      </c>
      <c r="L857">
        <v>1943.87</v>
      </c>
      <c r="M857">
        <v>15</v>
      </c>
      <c r="N857">
        <v>6609.17</v>
      </c>
      <c r="O857" t="s">
        <v>36</v>
      </c>
    </row>
    <row r="858" spans="1:15" x14ac:dyDescent="0.3">
      <c r="A858" t="s">
        <v>926</v>
      </c>
      <c r="B858" s="2">
        <v>46148</v>
      </c>
      <c r="C858" t="s">
        <v>58</v>
      </c>
      <c r="D858" t="str">
        <f t="shared" si="13"/>
        <v>May</v>
      </c>
      <c r="E858" t="s">
        <v>50</v>
      </c>
      <c r="F858" t="s">
        <v>25</v>
      </c>
      <c r="G858" t="s">
        <v>81</v>
      </c>
      <c r="H858" t="s">
        <v>33</v>
      </c>
      <c r="I858" t="s">
        <v>34</v>
      </c>
      <c r="J858" t="s">
        <v>43</v>
      </c>
      <c r="K858">
        <v>3</v>
      </c>
      <c r="L858">
        <v>2122.48</v>
      </c>
      <c r="M858">
        <v>5</v>
      </c>
      <c r="N858">
        <v>6049.06</v>
      </c>
      <c r="O858" t="s">
        <v>47</v>
      </c>
    </row>
    <row r="859" spans="1:15" x14ac:dyDescent="0.3">
      <c r="A859" t="s">
        <v>927</v>
      </c>
      <c r="B859" s="2">
        <v>46149</v>
      </c>
      <c r="C859" t="s">
        <v>38</v>
      </c>
      <c r="D859" t="str">
        <f t="shared" si="13"/>
        <v>May</v>
      </c>
      <c r="E859" t="s">
        <v>50</v>
      </c>
      <c r="F859" t="s">
        <v>25</v>
      </c>
      <c r="G859" t="s">
        <v>56</v>
      </c>
      <c r="H859" t="s">
        <v>27</v>
      </c>
      <c r="I859" t="s">
        <v>20</v>
      </c>
      <c r="J859" t="s">
        <v>46</v>
      </c>
      <c r="K859">
        <v>3</v>
      </c>
      <c r="L859">
        <v>2958.66</v>
      </c>
      <c r="M859">
        <v>10</v>
      </c>
      <c r="N859">
        <v>7988.38</v>
      </c>
      <c r="O859" t="s">
        <v>29</v>
      </c>
    </row>
    <row r="860" spans="1:15" x14ac:dyDescent="0.3">
      <c r="A860" t="s">
        <v>928</v>
      </c>
      <c r="B860" s="2">
        <v>46150</v>
      </c>
      <c r="C860" t="s">
        <v>58</v>
      </c>
      <c r="D860" t="str">
        <f t="shared" si="13"/>
        <v>May</v>
      </c>
      <c r="E860" t="s">
        <v>24</v>
      </c>
      <c r="F860" t="s">
        <v>25</v>
      </c>
      <c r="G860" t="s">
        <v>56</v>
      </c>
      <c r="H860" t="s">
        <v>27</v>
      </c>
      <c r="I860" t="s">
        <v>34</v>
      </c>
      <c r="J860" t="s">
        <v>43</v>
      </c>
      <c r="K860">
        <v>2</v>
      </c>
      <c r="L860">
        <v>2407.15</v>
      </c>
      <c r="M860">
        <v>10</v>
      </c>
      <c r="N860">
        <v>4332.87</v>
      </c>
      <c r="O860" t="s">
        <v>22</v>
      </c>
    </row>
    <row r="861" spans="1:15" x14ac:dyDescent="0.3">
      <c r="A861" t="s">
        <v>929</v>
      </c>
      <c r="B861" s="2">
        <v>46151</v>
      </c>
      <c r="C861" t="s">
        <v>49</v>
      </c>
      <c r="D861" t="str">
        <f t="shared" si="13"/>
        <v>May</v>
      </c>
      <c r="E861" t="s">
        <v>32</v>
      </c>
      <c r="F861" t="s">
        <v>17</v>
      </c>
      <c r="G861" t="s">
        <v>123</v>
      </c>
      <c r="H861" t="s">
        <v>27</v>
      </c>
      <c r="I861" t="s">
        <v>34</v>
      </c>
      <c r="J861" t="s">
        <v>21</v>
      </c>
      <c r="K861">
        <v>2</v>
      </c>
      <c r="L861">
        <v>71195.88</v>
      </c>
      <c r="M861">
        <v>5</v>
      </c>
      <c r="N861">
        <v>135272.18</v>
      </c>
      <c r="O861" t="s">
        <v>47</v>
      </c>
    </row>
    <row r="862" spans="1:15" x14ac:dyDescent="0.3">
      <c r="A862" t="s">
        <v>930</v>
      </c>
      <c r="B862" s="2">
        <v>46152</v>
      </c>
      <c r="C862" t="s">
        <v>49</v>
      </c>
      <c r="D862" t="str">
        <f t="shared" si="13"/>
        <v>May</v>
      </c>
      <c r="E862" t="s">
        <v>24</v>
      </c>
      <c r="F862" t="s">
        <v>40</v>
      </c>
      <c r="G862" t="s">
        <v>75</v>
      </c>
      <c r="H862" t="s">
        <v>27</v>
      </c>
      <c r="I862" t="s">
        <v>34</v>
      </c>
      <c r="J862" t="s">
        <v>21</v>
      </c>
      <c r="K862">
        <v>5</v>
      </c>
      <c r="L862">
        <v>5039.97</v>
      </c>
      <c r="M862">
        <v>15</v>
      </c>
      <c r="N862">
        <v>21419.89</v>
      </c>
      <c r="O862" t="s">
        <v>47</v>
      </c>
    </row>
    <row r="863" spans="1:15" x14ac:dyDescent="0.3">
      <c r="A863" t="s">
        <v>931</v>
      </c>
      <c r="B863" s="2">
        <v>46153</v>
      </c>
      <c r="C863" t="s">
        <v>38</v>
      </c>
      <c r="D863" t="str">
        <f t="shared" si="13"/>
        <v>May</v>
      </c>
      <c r="E863" t="s">
        <v>16</v>
      </c>
      <c r="F863" t="s">
        <v>25</v>
      </c>
      <c r="G863" t="s">
        <v>26</v>
      </c>
      <c r="H863" t="s">
        <v>33</v>
      </c>
      <c r="I863" t="s">
        <v>20</v>
      </c>
      <c r="J863" t="s">
        <v>43</v>
      </c>
      <c r="K863">
        <v>2</v>
      </c>
      <c r="L863">
        <v>1981.36</v>
      </c>
      <c r="M863">
        <v>10</v>
      </c>
      <c r="N863">
        <v>3566.46</v>
      </c>
      <c r="O863" t="s">
        <v>47</v>
      </c>
    </row>
    <row r="864" spans="1:15" x14ac:dyDescent="0.3">
      <c r="A864" t="s">
        <v>932</v>
      </c>
      <c r="B864" s="2">
        <v>46154</v>
      </c>
      <c r="C864" t="s">
        <v>15</v>
      </c>
      <c r="D864" t="str">
        <f t="shared" si="13"/>
        <v>May</v>
      </c>
      <c r="E864" t="s">
        <v>100</v>
      </c>
      <c r="F864" t="s">
        <v>40</v>
      </c>
      <c r="G864" t="s">
        <v>75</v>
      </c>
      <c r="H864" t="s">
        <v>27</v>
      </c>
      <c r="I864" t="s">
        <v>42</v>
      </c>
      <c r="J864" t="s">
        <v>21</v>
      </c>
      <c r="K864">
        <v>4</v>
      </c>
      <c r="L864">
        <v>5685.59</v>
      </c>
      <c r="M864">
        <v>5</v>
      </c>
      <c r="N864">
        <v>21605.23</v>
      </c>
      <c r="O864" t="s">
        <v>47</v>
      </c>
    </row>
    <row r="865" spans="1:15" x14ac:dyDescent="0.3">
      <c r="A865" t="s">
        <v>933</v>
      </c>
      <c r="B865" s="2">
        <v>46155</v>
      </c>
      <c r="C865" t="s">
        <v>38</v>
      </c>
      <c r="D865" t="str">
        <f t="shared" si="13"/>
        <v>May</v>
      </c>
      <c r="E865" t="s">
        <v>50</v>
      </c>
      <c r="F865" t="s">
        <v>53</v>
      </c>
      <c r="G865" t="s">
        <v>54</v>
      </c>
      <c r="H865" t="s">
        <v>27</v>
      </c>
      <c r="I865" t="s">
        <v>34</v>
      </c>
      <c r="J865" t="s">
        <v>28</v>
      </c>
      <c r="K865">
        <v>5</v>
      </c>
      <c r="L865">
        <v>32933.68</v>
      </c>
      <c r="M865">
        <v>10</v>
      </c>
      <c r="N865">
        <v>148201.56</v>
      </c>
      <c r="O865" t="s">
        <v>36</v>
      </c>
    </row>
    <row r="866" spans="1:15" x14ac:dyDescent="0.3">
      <c r="A866" t="s">
        <v>934</v>
      </c>
      <c r="B866" s="2">
        <v>46156</v>
      </c>
      <c r="C866" t="s">
        <v>31</v>
      </c>
      <c r="D866" t="str">
        <f t="shared" si="13"/>
        <v>May</v>
      </c>
      <c r="E866" t="s">
        <v>39</v>
      </c>
      <c r="F866" t="s">
        <v>53</v>
      </c>
      <c r="G866" t="s">
        <v>129</v>
      </c>
      <c r="H866" t="s">
        <v>19</v>
      </c>
      <c r="I866" t="s">
        <v>34</v>
      </c>
      <c r="J866" t="s">
        <v>46</v>
      </c>
      <c r="K866">
        <v>1</v>
      </c>
      <c r="L866">
        <v>39384.14</v>
      </c>
      <c r="M866">
        <v>10</v>
      </c>
      <c r="N866">
        <v>35445.730000000003</v>
      </c>
      <c r="O866" t="s">
        <v>36</v>
      </c>
    </row>
    <row r="867" spans="1:15" x14ac:dyDescent="0.3">
      <c r="A867" t="s">
        <v>935</v>
      </c>
      <c r="B867" s="2">
        <v>46157</v>
      </c>
      <c r="C867" t="s">
        <v>15</v>
      </c>
      <c r="D867" t="str">
        <f t="shared" si="13"/>
        <v>May</v>
      </c>
      <c r="E867" t="s">
        <v>16</v>
      </c>
      <c r="F867" t="s">
        <v>40</v>
      </c>
      <c r="G867" t="s">
        <v>75</v>
      </c>
      <c r="H867" t="s">
        <v>45</v>
      </c>
      <c r="I867" t="s">
        <v>42</v>
      </c>
      <c r="J867" t="s">
        <v>46</v>
      </c>
      <c r="K867">
        <v>4</v>
      </c>
      <c r="L867">
        <v>5306.19</v>
      </c>
      <c r="M867">
        <v>0</v>
      </c>
      <c r="N867">
        <v>21224.77</v>
      </c>
      <c r="O867" t="s">
        <v>47</v>
      </c>
    </row>
    <row r="868" spans="1:15" x14ac:dyDescent="0.3">
      <c r="A868" t="s">
        <v>936</v>
      </c>
      <c r="B868" s="2">
        <v>46158</v>
      </c>
      <c r="C868" t="s">
        <v>58</v>
      </c>
      <c r="D868" t="str">
        <f t="shared" si="13"/>
        <v>May</v>
      </c>
      <c r="E868" t="s">
        <v>77</v>
      </c>
      <c r="F868" t="s">
        <v>53</v>
      </c>
      <c r="G868" t="s">
        <v>105</v>
      </c>
      <c r="H868" t="s">
        <v>45</v>
      </c>
      <c r="I868" t="s">
        <v>34</v>
      </c>
      <c r="J868" t="s">
        <v>21</v>
      </c>
      <c r="K868">
        <v>5</v>
      </c>
      <c r="L868">
        <v>30959.48</v>
      </c>
      <c r="M868">
        <v>5</v>
      </c>
      <c r="N868">
        <v>147057.51999999999</v>
      </c>
      <c r="O868" t="s">
        <v>47</v>
      </c>
    </row>
    <row r="869" spans="1:15" x14ac:dyDescent="0.3">
      <c r="A869" t="s">
        <v>937</v>
      </c>
      <c r="B869" s="2">
        <v>46159</v>
      </c>
      <c r="C869" t="s">
        <v>15</v>
      </c>
      <c r="D869" t="str">
        <f t="shared" si="13"/>
        <v>May</v>
      </c>
      <c r="E869" t="s">
        <v>39</v>
      </c>
      <c r="F869" t="s">
        <v>40</v>
      </c>
      <c r="G869" t="s">
        <v>41</v>
      </c>
      <c r="H869" t="s">
        <v>33</v>
      </c>
      <c r="I869" t="s">
        <v>34</v>
      </c>
      <c r="J869" t="s">
        <v>28</v>
      </c>
      <c r="K869">
        <v>3</v>
      </c>
      <c r="L869">
        <v>7558.56</v>
      </c>
      <c r="M869">
        <v>10</v>
      </c>
      <c r="N869">
        <v>20408.099999999999</v>
      </c>
      <c r="O869" t="s">
        <v>22</v>
      </c>
    </row>
    <row r="870" spans="1:15" x14ac:dyDescent="0.3">
      <c r="A870" t="s">
        <v>938</v>
      </c>
      <c r="B870" s="2">
        <v>46160</v>
      </c>
      <c r="C870" t="s">
        <v>49</v>
      </c>
      <c r="D870" t="str">
        <f t="shared" si="13"/>
        <v>May</v>
      </c>
      <c r="E870" t="s">
        <v>50</v>
      </c>
      <c r="F870" t="s">
        <v>53</v>
      </c>
      <c r="G870" t="s">
        <v>129</v>
      </c>
      <c r="H870" t="s">
        <v>19</v>
      </c>
      <c r="I870" t="s">
        <v>34</v>
      </c>
      <c r="J870" t="s">
        <v>35</v>
      </c>
      <c r="K870">
        <v>3</v>
      </c>
      <c r="L870">
        <v>25288.57</v>
      </c>
      <c r="M870">
        <v>10</v>
      </c>
      <c r="N870">
        <v>68279.14</v>
      </c>
      <c r="O870" t="s">
        <v>47</v>
      </c>
    </row>
    <row r="871" spans="1:15" x14ac:dyDescent="0.3">
      <c r="A871" t="s">
        <v>939</v>
      </c>
      <c r="B871" s="2">
        <v>46161</v>
      </c>
      <c r="C871" t="s">
        <v>38</v>
      </c>
      <c r="D871" t="str">
        <f t="shared" si="13"/>
        <v>May</v>
      </c>
      <c r="E871" t="s">
        <v>16</v>
      </c>
      <c r="F871" t="s">
        <v>17</v>
      </c>
      <c r="G871" t="s">
        <v>18</v>
      </c>
      <c r="H871" t="s">
        <v>27</v>
      </c>
      <c r="I871" t="s">
        <v>34</v>
      </c>
      <c r="J871" t="s">
        <v>21</v>
      </c>
      <c r="K871">
        <v>5</v>
      </c>
      <c r="L871">
        <v>47790.92</v>
      </c>
      <c r="M871">
        <v>5</v>
      </c>
      <c r="N871">
        <v>227006.88</v>
      </c>
      <c r="O871" t="s">
        <v>47</v>
      </c>
    </row>
    <row r="872" spans="1:15" x14ac:dyDescent="0.3">
      <c r="A872" t="s">
        <v>940</v>
      </c>
      <c r="B872" s="2">
        <v>46162</v>
      </c>
      <c r="C872" t="s">
        <v>15</v>
      </c>
      <c r="D872" t="str">
        <f t="shared" si="13"/>
        <v>May</v>
      </c>
      <c r="E872" t="s">
        <v>77</v>
      </c>
      <c r="F872" t="s">
        <v>40</v>
      </c>
      <c r="G872" t="s">
        <v>118</v>
      </c>
      <c r="H872" t="s">
        <v>33</v>
      </c>
      <c r="I872" t="s">
        <v>20</v>
      </c>
      <c r="J872" t="s">
        <v>35</v>
      </c>
      <c r="K872">
        <v>1</v>
      </c>
      <c r="L872">
        <v>6100.73</v>
      </c>
      <c r="M872">
        <v>15</v>
      </c>
      <c r="N872">
        <v>5185.62</v>
      </c>
      <c r="O872" t="s">
        <v>22</v>
      </c>
    </row>
    <row r="873" spans="1:15" x14ac:dyDescent="0.3">
      <c r="A873" t="s">
        <v>941</v>
      </c>
      <c r="B873" s="2">
        <v>46163</v>
      </c>
      <c r="C873" t="s">
        <v>15</v>
      </c>
      <c r="D873" t="str">
        <f t="shared" si="13"/>
        <v>May</v>
      </c>
      <c r="E873" t="s">
        <v>32</v>
      </c>
      <c r="F873" t="s">
        <v>60</v>
      </c>
      <c r="G873" t="s">
        <v>61</v>
      </c>
      <c r="H873" t="s">
        <v>19</v>
      </c>
      <c r="I873" t="s">
        <v>34</v>
      </c>
      <c r="J873" t="s">
        <v>28</v>
      </c>
      <c r="K873">
        <v>2</v>
      </c>
      <c r="L873">
        <v>45108.66</v>
      </c>
      <c r="M873">
        <v>5</v>
      </c>
      <c r="N873">
        <v>85706.46</v>
      </c>
      <c r="O873" t="s">
        <v>22</v>
      </c>
    </row>
    <row r="874" spans="1:15" x14ac:dyDescent="0.3">
      <c r="A874" t="s">
        <v>942</v>
      </c>
      <c r="B874" s="2">
        <v>46164</v>
      </c>
      <c r="C874" t="s">
        <v>15</v>
      </c>
      <c r="D874" t="str">
        <f t="shared" si="13"/>
        <v>May</v>
      </c>
      <c r="E874" t="s">
        <v>24</v>
      </c>
      <c r="F874" t="s">
        <v>53</v>
      </c>
      <c r="G874" t="s">
        <v>129</v>
      </c>
      <c r="H874" t="s">
        <v>45</v>
      </c>
      <c r="I874" t="s">
        <v>20</v>
      </c>
      <c r="J874" t="s">
        <v>35</v>
      </c>
      <c r="K874">
        <v>2</v>
      </c>
      <c r="L874">
        <v>34126.53</v>
      </c>
      <c r="M874">
        <v>0</v>
      </c>
      <c r="N874">
        <v>68253.05</v>
      </c>
      <c r="O874" t="s">
        <v>36</v>
      </c>
    </row>
    <row r="875" spans="1:15" x14ac:dyDescent="0.3">
      <c r="A875" t="s">
        <v>943</v>
      </c>
      <c r="B875" s="2">
        <v>46165</v>
      </c>
      <c r="C875" t="s">
        <v>49</v>
      </c>
      <c r="D875" t="str">
        <f t="shared" si="13"/>
        <v>May</v>
      </c>
      <c r="E875" t="s">
        <v>24</v>
      </c>
      <c r="F875" t="s">
        <v>60</v>
      </c>
      <c r="G875" t="s">
        <v>78</v>
      </c>
      <c r="H875" t="s">
        <v>33</v>
      </c>
      <c r="I875" t="s">
        <v>20</v>
      </c>
      <c r="J875" t="s">
        <v>46</v>
      </c>
      <c r="K875">
        <v>4</v>
      </c>
      <c r="L875">
        <v>41900.44</v>
      </c>
      <c r="M875">
        <v>15</v>
      </c>
      <c r="N875">
        <v>142461.51</v>
      </c>
      <c r="O875" t="s">
        <v>47</v>
      </c>
    </row>
    <row r="876" spans="1:15" x14ac:dyDescent="0.3">
      <c r="A876" t="s">
        <v>944</v>
      </c>
      <c r="B876" s="2">
        <v>46166</v>
      </c>
      <c r="C876" t="s">
        <v>58</v>
      </c>
      <c r="D876" t="str">
        <f t="shared" si="13"/>
        <v>May</v>
      </c>
      <c r="E876" t="s">
        <v>16</v>
      </c>
      <c r="F876" t="s">
        <v>17</v>
      </c>
      <c r="G876" t="s">
        <v>63</v>
      </c>
      <c r="H876" t="s">
        <v>19</v>
      </c>
      <c r="I876" t="s">
        <v>34</v>
      </c>
      <c r="J876" t="s">
        <v>43</v>
      </c>
      <c r="K876">
        <v>4</v>
      </c>
      <c r="L876">
        <v>50804.98</v>
      </c>
      <c r="M876">
        <v>5</v>
      </c>
      <c r="N876">
        <v>193058.93</v>
      </c>
      <c r="O876" t="s">
        <v>22</v>
      </c>
    </row>
    <row r="877" spans="1:15" x14ac:dyDescent="0.3">
      <c r="A877" t="s">
        <v>945</v>
      </c>
      <c r="B877" s="2">
        <v>46167</v>
      </c>
      <c r="C877" t="s">
        <v>49</v>
      </c>
      <c r="D877" t="str">
        <f t="shared" si="13"/>
        <v>May</v>
      </c>
      <c r="E877" t="s">
        <v>39</v>
      </c>
      <c r="F877" t="s">
        <v>53</v>
      </c>
      <c r="G877" t="s">
        <v>65</v>
      </c>
      <c r="H877" t="s">
        <v>45</v>
      </c>
      <c r="I877" t="s">
        <v>34</v>
      </c>
      <c r="J877" t="s">
        <v>21</v>
      </c>
      <c r="K877">
        <v>5</v>
      </c>
      <c r="L877">
        <v>25904.86</v>
      </c>
      <c r="M877">
        <v>0</v>
      </c>
      <c r="N877">
        <v>129524.28</v>
      </c>
      <c r="O877" t="s">
        <v>36</v>
      </c>
    </row>
    <row r="878" spans="1:15" x14ac:dyDescent="0.3">
      <c r="A878" t="s">
        <v>946</v>
      </c>
      <c r="B878" s="2">
        <v>46168</v>
      </c>
      <c r="C878" t="s">
        <v>31</v>
      </c>
      <c r="D878" t="str">
        <f t="shared" si="13"/>
        <v>May</v>
      </c>
      <c r="E878" t="s">
        <v>69</v>
      </c>
      <c r="F878" t="s">
        <v>40</v>
      </c>
      <c r="G878" t="s">
        <v>41</v>
      </c>
      <c r="H878" t="s">
        <v>27</v>
      </c>
      <c r="I878" t="s">
        <v>20</v>
      </c>
      <c r="J878" t="s">
        <v>35</v>
      </c>
      <c r="K878">
        <v>4</v>
      </c>
      <c r="L878">
        <v>5794.65</v>
      </c>
      <c r="M878">
        <v>10</v>
      </c>
      <c r="N878">
        <v>20860.759999999998</v>
      </c>
      <c r="O878" t="s">
        <v>47</v>
      </c>
    </row>
    <row r="879" spans="1:15" x14ac:dyDescent="0.3">
      <c r="A879" t="s">
        <v>947</v>
      </c>
      <c r="B879" s="2">
        <v>46169</v>
      </c>
      <c r="C879" t="s">
        <v>38</v>
      </c>
      <c r="D879" t="str">
        <f t="shared" si="13"/>
        <v>May</v>
      </c>
      <c r="E879" t="s">
        <v>100</v>
      </c>
      <c r="F879" t="s">
        <v>60</v>
      </c>
      <c r="G879" t="s">
        <v>78</v>
      </c>
      <c r="H879" t="s">
        <v>45</v>
      </c>
      <c r="I879" t="s">
        <v>20</v>
      </c>
      <c r="J879" t="s">
        <v>35</v>
      </c>
      <c r="K879">
        <v>3</v>
      </c>
      <c r="L879">
        <v>43334.27</v>
      </c>
      <c r="M879">
        <v>5</v>
      </c>
      <c r="N879">
        <v>123502.66</v>
      </c>
      <c r="O879" t="s">
        <v>47</v>
      </c>
    </row>
    <row r="880" spans="1:15" x14ac:dyDescent="0.3">
      <c r="A880" t="s">
        <v>948</v>
      </c>
      <c r="B880" s="2">
        <v>46170</v>
      </c>
      <c r="C880" t="s">
        <v>15</v>
      </c>
      <c r="D880" t="str">
        <f t="shared" si="13"/>
        <v>May</v>
      </c>
      <c r="E880" t="s">
        <v>52</v>
      </c>
      <c r="F880" t="s">
        <v>17</v>
      </c>
      <c r="G880" t="s">
        <v>18</v>
      </c>
      <c r="H880" t="s">
        <v>45</v>
      </c>
      <c r="I880" t="s">
        <v>34</v>
      </c>
      <c r="J880" t="s">
        <v>43</v>
      </c>
      <c r="K880">
        <v>5</v>
      </c>
      <c r="L880">
        <v>69588.06</v>
      </c>
      <c r="M880">
        <v>0</v>
      </c>
      <c r="N880">
        <v>347940.29</v>
      </c>
      <c r="O880" t="s">
        <v>22</v>
      </c>
    </row>
    <row r="881" spans="1:15" x14ac:dyDescent="0.3">
      <c r="A881" t="s">
        <v>949</v>
      </c>
      <c r="B881" s="2">
        <v>46171</v>
      </c>
      <c r="C881" t="s">
        <v>31</v>
      </c>
      <c r="D881" t="str">
        <f t="shared" si="13"/>
        <v>May</v>
      </c>
      <c r="E881" t="s">
        <v>24</v>
      </c>
      <c r="F881" t="s">
        <v>25</v>
      </c>
      <c r="G881" t="s">
        <v>56</v>
      </c>
      <c r="H881" t="s">
        <v>27</v>
      </c>
      <c r="I881" t="s">
        <v>34</v>
      </c>
      <c r="J881" t="s">
        <v>43</v>
      </c>
      <c r="K881">
        <v>5</v>
      </c>
      <c r="L881">
        <v>2898.86</v>
      </c>
      <c r="M881">
        <v>0</v>
      </c>
      <c r="N881">
        <v>14494.32</v>
      </c>
      <c r="O881" t="s">
        <v>22</v>
      </c>
    </row>
    <row r="882" spans="1:15" x14ac:dyDescent="0.3">
      <c r="A882" t="s">
        <v>950</v>
      </c>
      <c r="B882" s="2">
        <v>46172</v>
      </c>
      <c r="C882" t="s">
        <v>58</v>
      </c>
      <c r="D882" t="str">
        <f t="shared" si="13"/>
        <v>May</v>
      </c>
      <c r="E882" t="s">
        <v>50</v>
      </c>
      <c r="F882" t="s">
        <v>60</v>
      </c>
      <c r="G882" t="s">
        <v>61</v>
      </c>
      <c r="H882" t="s">
        <v>33</v>
      </c>
      <c r="I882" t="s">
        <v>42</v>
      </c>
      <c r="J882" t="s">
        <v>28</v>
      </c>
      <c r="K882">
        <v>1</v>
      </c>
      <c r="L882">
        <v>39064.199999999997</v>
      </c>
      <c r="M882">
        <v>20</v>
      </c>
      <c r="N882">
        <v>31251.360000000001</v>
      </c>
      <c r="O882" t="s">
        <v>47</v>
      </c>
    </row>
    <row r="883" spans="1:15" x14ac:dyDescent="0.3">
      <c r="A883" t="s">
        <v>951</v>
      </c>
      <c r="B883" s="2">
        <v>46173</v>
      </c>
      <c r="C883" t="s">
        <v>38</v>
      </c>
      <c r="D883" t="str">
        <f t="shared" si="13"/>
        <v>May</v>
      </c>
      <c r="E883" t="s">
        <v>39</v>
      </c>
      <c r="F883" t="s">
        <v>60</v>
      </c>
      <c r="G883" t="s">
        <v>61</v>
      </c>
      <c r="H883" t="s">
        <v>27</v>
      </c>
      <c r="I883" t="s">
        <v>42</v>
      </c>
      <c r="J883" t="s">
        <v>21</v>
      </c>
      <c r="K883">
        <v>2</v>
      </c>
      <c r="L883">
        <v>42245.279999999999</v>
      </c>
      <c r="M883">
        <v>5</v>
      </c>
      <c r="N883">
        <v>80266.02</v>
      </c>
      <c r="O883" t="s">
        <v>36</v>
      </c>
    </row>
    <row r="884" spans="1:15" x14ac:dyDescent="0.3">
      <c r="A884" t="s">
        <v>952</v>
      </c>
      <c r="B884" s="2">
        <v>46174</v>
      </c>
      <c r="C884" t="s">
        <v>31</v>
      </c>
      <c r="D884" t="str">
        <f t="shared" si="13"/>
        <v>June</v>
      </c>
      <c r="E884" t="s">
        <v>50</v>
      </c>
      <c r="F884" t="s">
        <v>53</v>
      </c>
      <c r="G884" t="s">
        <v>105</v>
      </c>
      <c r="H884" t="s">
        <v>45</v>
      </c>
      <c r="I884" t="s">
        <v>20</v>
      </c>
      <c r="J884" t="s">
        <v>28</v>
      </c>
      <c r="K884">
        <v>2</v>
      </c>
      <c r="L884">
        <v>35939.769999999997</v>
      </c>
      <c r="M884">
        <v>10</v>
      </c>
      <c r="N884">
        <v>64691.59</v>
      </c>
      <c r="O884" t="s">
        <v>47</v>
      </c>
    </row>
    <row r="885" spans="1:15" x14ac:dyDescent="0.3">
      <c r="A885" t="s">
        <v>953</v>
      </c>
      <c r="B885" s="2">
        <v>46175</v>
      </c>
      <c r="C885" t="s">
        <v>31</v>
      </c>
      <c r="D885" t="str">
        <f t="shared" si="13"/>
        <v>June</v>
      </c>
      <c r="E885" t="s">
        <v>52</v>
      </c>
      <c r="F885" t="s">
        <v>25</v>
      </c>
      <c r="G885" t="s">
        <v>81</v>
      </c>
      <c r="H885" t="s">
        <v>27</v>
      </c>
      <c r="I885" t="s">
        <v>42</v>
      </c>
      <c r="J885" t="s">
        <v>43</v>
      </c>
      <c r="K885">
        <v>4</v>
      </c>
      <c r="L885">
        <v>2096.19</v>
      </c>
      <c r="M885">
        <v>10</v>
      </c>
      <c r="N885">
        <v>7546.27</v>
      </c>
      <c r="O885" t="s">
        <v>36</v>
      </c>
    </row>
    <row r="886" spans="1:15" x14ac:dyDescent="0.3">
      <c r="A886" t="s">
        <v>954</v>
      </c>
      <c r="B886" s="2">
        <v>46176</v>
      </c>
      <c r="C886" t="s">
        <v>49</v>
      </c>
      <c r="D886" t="str">
        <f t="shared" si="13"/>
        <v>June</v>
      </c>
      <c r="E886" t="s">
        <v>52</v>
      </c>
      <c r="F886" t="s">
        <v>60</v>
      </c>
      <c r="G886" t="s">
        <v>73</v>
      </c>
      <c r="H886" t="s">
        <v>45</v>
      </c>
      <c r="I886" t="s">
        <v>42</v>
      </c>
      <c r="J886" t="s">
        <v>43</v>
      </c>
      <c r="K886">
        <v>1</v>
      </c>
      <c r="L886">
        <v>46688.57</v>
      </c>
      <c r="M886">
        <v>5</v>
      </c>
      <c r="N886">
        <v>44354.14</v>
      </c>
      <c r="O886" t="s">
        <v>47</v>
      </c>
    </row>
    <row r="887" spans="1:15" x14ac:dyDescent="0.3">
      <c r="A887" t="s">
        <v>955</v>
      </c>
      <c r="B887" s="2">
        <v>46177</v>
      </c>
      <c r="C887" t="s">
        <v>31</v>
      </c>
      <c r="D887" t="str">
        <f t="shared" si="13"/>
        <v>June</v>
      </c>
      <c r="E887" t="s">
        <v>32</v>
      </c>
      <c r="F887" t="s">
        <v>25</v>
      </c>
      <c r="G887" t="s">
        <v>92</v>
      </c>
      <c r="H887" t="s">
        <v>27</v>
      </c>
      <c r="I887" t="s">
        <v>42</v>
      </c>
      <c r="J887" t="s">
        <v>35</v>
      </c>
      <c r="K887">
        <v>3</v>
      </c>
      <c r="L887">
        <v>2399.5700000000002</v>
      </c>
      <c r="M887">
        <v>10</v>
      </c>
      <c r="N887">
        <v>6478.83</v>
      </c>
      <c r="O887" t="s">
        <v>47</v>
      </c>
    </row>
    <row r="888" spans="1:15" x14ac:dyDescent="0.3">
      <c r="A888" t="s">
        <v>956</v>
      </c>
      <c r="B888" s="2">
        <v>46178</v>
      </c>
      <c r="C888" t="s">
        <v>15</v>
      </c>
      <c r="D888" t="str">
        <f t="shared" si="13"/>
        <v>June</v>
      </c>
      <c r="E888" t="s">
        <v>16</v>
      </c>
      <c r="F888" t="s">
        <v>53</v>
      </c>
      <c r="G888" t="s">
        <v>129</v>
      </c>
      <c r="H888" t="s">
        <v>33</v>
      </c>
      <c r="I888" t="s">
        <v>34</v>
      </c>
      <c r="J888" t="s">
        <v>35</v>
      </c>
      <c r="K888">
        <v>3</v>
      </c>
      <c r="L888">
        <v>39750.93</v>
      </c>
      <c r="M888">
        <v>10</v>
      </c>
      <c r="N888">
        <v>107327.51</v>
      </c>
      <c r="O888" t="s">
        <v>29</v>
      </c>
    </row>
    <row r="889" spans="1:15" x14ac:dyDescent="0.3">
      <c r="A889" t="s">
        <v>957</v>
      </c>
      <c r="B889" s="2">
        <v>46179</v>
      </c>
      <c r="C889" t="s">
        <v>49</v>
      </c>
      <c r="D889" t="str">
        <f t="shared" si="13"/>
        <v>June</v>
      </c>
      <c r="E889" t="s">
        <v>39</v>
      </c>
      <c r="F889" t="s">
        <v>53</v>
      </c>
      <c r="G889" t="s">
        <v>54</v>
      </c>
      <c r="H889" t="s">
        <v>33</v>
      </c>
      <c r="I889" t="s">
        <v>20</v>
      </c>
      <c r="J889" t="s">
        <v>28</v>
      </c>
      <c r="K889">
        <v>3</v>
      </c>
      <c r="L889">
        <v>25604.41</v>
      </c>
      <c r="M889">
        <v>15</v>
      </c>
      <c r="N889">
        <v>65291.25</v>
      </c>
      <c r="O889" t="s">
        <v>22</v>
      </c>
    </row>
    <row r="890" spans="1:15" x14ac:dyDescent="0.3">
      <c r="A890" t="s">
        <v>958</v>
      </c>
      <c r="B890" s="2">
        <v>46180</v>
      </c>
      <c r="C890" t="s">
        <v>58</v>
      </c>
      <c r="D890" t="str">
        <f t="shared" si="13"/>
        <v>June</v>
      </c>
      <c r="E890" t="s">
        <v>69</v>
      </c>
      <c r="F890" t="s">
        <v>60</v>
      </c>
      <c r="G890" t="s">
        <v>70</v>
      </c>
      <c r="H890" t="s">
        <v>19</v>
      </c>
      <c r="I890" t="s">
        <v>42</v>
      </c>
      <c r="J890" t="s">
        <v>35</v>
      </c>
      <c r="K890">
        <v>2</v>
      </c>
      <c r="L890">
        <v>39047.9</v>
      </c>
      <c r="M890">
        <v>15</v>
      </c>
      <c r="N890">
        <v>66381.429999999993</v>
      </c>
      <c r="O890" t="s">
        <v>47</v>
      </c>
    </row>
    <row r="891" spans="1:15" x14ac:dyDescent="0.3">
      <c r="A891" t="s">
        <v>959</v>
      </c>
      <c r="B891" s="2">
        <v>46181</v>
      </c>
      <c r="C891" t="s">
        <v>31</v>
      </c>
      <c r="D891" t="str">
        <f t="shared" si="13"/>
        <v>June</v>
      </c>
      <c r="E891" t="s">
        <v>100</v>
      </c>
      <c r="F891" t="s">
        <v>40</v>
      </c>
      <c r="G891" t="s">
        <v>41</v>
      </c>
      <c r="H891" t="s">
        <v>19</v>
      </c>
      <c r="I891" t="s">
        <v>20</v>
      </c>
      <c r="J891" t="s">
        <v>21</v>
      </c>
      <c r="K891">
        <v>4</v>
      </c>
      <c r="L891">
        <v>7539.46</v>
      </c>
      <c r="M891">
        <v>10</v>
      </c>
      <c r="N891">
        <v>27142.06</v>
      </c>
      <c r="O891" t="s">
        <v>36</v>
      </c>
    </row>
    <row r="892" spans="1:15" x14ac:dyDescent="0.3">
      <c r="A892" t="s">
        <v>960</v>
      </c>
      <c r="B892" s="2">
        <v>46182</v>
      </c>
      <c r="C892" t="s">
        <v>49</v>
      </c>
      <c r="D892" t="str">
        <f t="shared" si="13"/>
        <v>June</v>
      </c>
      <c r="E892" t="s">
        <v>52</v>
      </c>
      <c r="F892" t="s">
        <v>60</v>
      </c>
      <c r="G892" t="s">
        <v>78</v>
      </c>
      <c r="H892" t="s">
        <v>45</v>
      </c>
      <c r="I892" t="s">
        <v>20</v>
      </c>
      <c r="J892" t="s">
        <v>46</v>
      </c>
      <c r="K892">
        <v>5</v>
      </c>
      <c r="L892">
        <v>35777.760000000002</v>
      </c>
      <c r="M892">
        <v>10</v>
      </c>
      <c r="N892">
        <v>160999.91</v>
      </c>
      <c r="O892" t="s">
        <v>47</v>
      </c>
    </row>
    <row r="893" spans="1:15" x14ac:dyDescent="0.3">
      <c r="A893" t="s">
        <v>961</v>
      </c>
      <c r="B893" s="2">
        <v>46183</v>
      </c>
      <c r="C893" t="s">
        <v>31</v>
      </c>
      <c r="D893" t="str">
        <f t="shared" si="13"/>
        <v>June</v>
      </c>
      <c r="E893" t="s">
        <v>72</v>
      </c>
      <c r="F893" t="s">
        <v>25</v>
      </c>
      <c r="G893" t="s">
        <v>92</v>
      </c>
      <c r="H893" t="s">
        <v>45</v>
      </c>
      <c r="I893" t="s">
        <v>34</v>
      </c>
      <c r="J893" t="s">
        <v>46</v>
      </c>
      <c r="K893">
        <v>4</v>
      </c>
      <c r="L893">
        <v>2963.01</v>
      </c>
      <c r="M893">
        <v>15</v>
      </c>
      <c r="N893">
        <v>10074.24</v>
      </c>
      <c r="O893" t="s">
        <v>29</v>
      </c>
    </row>
    <row r="894" spans="1:15" x14ac:dyDescent="0.3">
      <c r="A894" t="s">
        <v>962</v>
      </c>
      <c r="B894" s="2">
        <v>46184</v>
      </c>
      <c r="C894" t="s">
        <v>38</v>
      </c>
      <c r="D894" t="str">
        <f t="shared" si="13"/>
        <v>June</v>
      </c>
      <c r="E894" t="s">
        <v>52</v>
      </c>
      <c r="F894" t="s">
        <v>40</v>
      </c>
      <c r="G894" t="s">
        <v>41</v>
      </c>
      <c r="H894" t="s">
        <v>27</v>
      </c>
      <c r="I894" t="s">
        <v>42</v>
      </c>
      <c r="J894" t="s">
        <v>35</v>
      </c>
      <c r="K894">
        <v>4</v>
      </c>
      <c r="L894">
        <v>7872.45</v>
      </c>
      <c r="M894">
        <v>15</v>
      </c>
      <c r="N894">
        <v>26766.35</v>
      </c>
      <c r="O894" t="s">
        <v>47</v>
      </c>
    </row>
    <row r="895" spans="1:15" x14ac:dyDescent="0.3">
      <c r="A895" t="s">
        <v>963</v>
      </c>
      <c r="B895" s="2">
        <v>46185</v>
      </c>
      <c r="C895" t="s">
        <v>49</v>
      </c>
      <c r="D895" t="str">
        <f t="shared" si="13"/>
        <v>June</v>
      </c>
      <c r="E895" t="s">
        <v>24</v>
      </c>
      <c r="F895" t="s">
        <v>17</v>
      </c>
      <c r="G895" t="s">
        <v>67</v>
      </c>
      <c r="H895" t="s">
        <v>33</v>
      </c>
      <c r="I895" t="s">
        <v>20</v>
      </c>
      <c r="J895" t="s">
        <v>21</v>
      </c>
      <c r="K895">
        <v>2</v>
      </c>
      <c r="L895">
        <v>60024.02</v>
      </c>
      <c r="M895">
        <v>15</v>
      </c>
      <c r="N895">
        <v>102040.83</v>
      </c>
      <c r="O895" t="s">
        <v>22</v>
      </c>
    </row>
    <row r="896" spans="1:15" x14ac:dyDescent="0.3">
      <c r="A896" t="s">
        <v>964</v>
      </c>
      <c r="B896" s="2">
        <v>46186</v>
      </c>
      <c r="C896" t="s">
        <v>38</v>
      </c>
      <c r="D896" t="str">
        <f t="shared" si="13"/>
        <v>June</v>
      </c>
      <c r="E896" t="s">
        <v>16</v>
      </c>
      <c r="F896" t="s">
        <v>53</v>
      </c>
      <c r="G896" t="s">
        <v>54</v>
      </c>
      <c r="H896" t="s">
        <v>45</v>
      </c>
      <c r="I896" t="s">
        <v>42</v>
      </c>
      <c r="J896" t="s">
        <v>35</v>
      </c>
      <c r="K896">
        <v>4</v>
      </c>
      <c r="L896">
        <v>25196.98</v>
      </c>
      <c r="M896">
        <v>10</v>
      </c>
      <c r="N896">
        <v>90709.119999999995</v>
      </c>
      <c r="O896" t="s">
        <v>22</v>
      </c>
    </row>
    <row r="897" spans="1:15" x14ac:dyDescent="0.3">
      <c r="A897" t="s">
        <v>965</v>
      </c>
      <c r="B897" s="2">
        <v>46187</v>
      </c>
      <c r="C897" t="s">
        <v>38</v>
      </c>
      <c r="D897" t="str">
        <f t="shared" si="13"/>
        <v>June</v>
      </c>
      <c r="E897" t="s">
        <v>77</v>
      </c>
      <c r="F897" t="s">
        <v>17</v>
      </c>
      <c r="G897" t="s">
        <v>67</v>
      </c>
      <c r="H897" t="s">
        <v>45</v>
      </c>
      <c r="I897" t="s">
        <v>34</v>
      </c>
      <c r="J897" t="s">
        <v>46</v>
      </c>
      <c r="K897">
        <v>5</v>
      </c>
      <c r="L897">
        <v>58910.19</v>
      </c>
      <c r="M897">
        <v>15</v>
      </c>
      <c r="N897">
        <v>250368.29</v>
      </c>
      <c r="O897" t="s">
        <v>47</v>
      </c>
    </row>
    <row r="898" spans="1:15" x14ac:dyDescent="0.3">
      <c r="A898" t="s">
        <v>966</v>
      </c>
      <c r="B898" s="2">
        <v>46188</v>
      </c>
      <c r="C898" t="s">
        <v>58</v>
      </c>
      <c r="D898" t="str">
        <f t="shared" si="13"/>
        <v>June</v>
      </c>
      <c r="E898" t="s">
        <v>24</v>
      </c>
      <c r="F898" t="s">
        <v>40</v>
      </c>
      <c r="G898" t="s">
        <v>115</v>
      </c>
      <c r="H898" t="s">
        <v>45</v>
      </c>
      <c r="I898" t="s">
        <v>20</v>
      </c>
      <c r="J898" t="s">
        <v>43</v>
      </c>
      <c r="K898">
        <v>3</v>
      </c>
      <c r="L898">
        <v>7795.77</v>
      </c>
      <c r="M898">
        <v>10</v>
      </c>
      <c r="N898">
        <v>21048.59</v>
      </c>
      <c r="O898" t="s">
        <v>29</v>
      </c>
    </row>
    <row r="899" spans="1:15" x14ac:dyDescent="0.3">
      <c r="A899" t="s">
        <v>967</v>
      </c>
      <c r="B899" s="2">
        <v>46189</v>
      </c>
      <c r="C899" t="s">
        <v>15</v>
      </c>
      <c r="D899" t="str">
        <f t="shared" ref="D899:D962" si="14">TEXT(B899,"mmmm")</f>
        <v>June</v>
      </c>
      <c r="E899" t="s">
        <v>72</v>
      </c>
      <c r="F899" t="s">
        <v>25</v>
      </c>
      <c r="G899" t="s">
        <v>56</v>
      </c>
      <c r="H899" t="s">
        <v>19</v>
      </c>
      <c r="I899" t="s">
        <v>34</v>
      </c>
      <c r="J899" t="s">
        <v>28</v>
      </c>
      <c r="K899">
        <v>1</v>
      </c>
      <c r="L899">
        <v>2240.89</v>
      </c>
      <c r="M899">
        <v>10</v>
      </c>
      <c r="N899">
        <v>2016.8</v>
      </c>
      <c r="O899" t="s">
        <v>47</v>
      </c>
    </row>
    <row r="900" spans="1:15" x14ac:dyDescent="0.3">
      <c r="A900" t="s">
        <v>968</v>
      </c>
      <c r="B900" s="2">
        <v>46190</v>
      </c>
      <c r="C900" t="s">
        <v>49</v>
      </c>
      <c r="D900" t="str">
        <f t="shared" si="14"/>
        <v>June</v>
      </c>
      <c r="E900" t="s">
        <v>50</v>
      </c>
      <c r="F900" t="s">
        <v>60</v>
      </c>
      <c r="G900" t="s">
        <v>70</v>
      </c>
      <c r="H900" t="s">
        <v>27</v>
      </c>
      <c r="I900" t="s">
        <v>42</v>
      </c>
      <c r="J900" t="s">
        <v>46</v>
      </c>
      <c r="K900">
        <v>5</v>
      </c>
      <c r="L900">
        <v>51783.77</v>
      </c>
      <c r="M900">
        <v>0</v>
      </c>
      <c r="N900">
        <v>258918.86</v>
      </c>
      <c r="O900" t="s">
        <v>47</v>
      </c>
    </row>
    <row r="901" spans="1:15" x14ac:dyDescent="0.3">
      <c r="A901" t="s">
        <v>969</v>
      </c>
      <c r="B901" s="2">
        <v>46191</v>
      </c>
      <c r="C901" t="s">
        <v>31</v>
      </c>
      <c r="D901" t="str">
        <f t="shared" si="14"/>
        <v>June</v>
      </c>
      <c r="E901" t="s">
        <v>16</v>
      </c>
      <c r="F901" t="s">
        <v>17</v>
      </c>
      <c r="G901" t="s">
        <v>63</v>
      </c>
      <c r="H901" t="s">
        <v>45</v>
      </c>
      <c r="I901" t="s">
        <v>34</v>
      </c>
      <c r="J901" t="s">
        <v>35</v>
      </c>
      <c r="K901">
        <v>4</v>
      </c>
      <c r="L901">
        <v>64007.7</v>
      </c>
      <c r="M901">
        <v>10</v>
      </c>
      <c r="N901">
        <v>230427.72</v>
      </c>
      <c r="O901" t="s">
        <v>29</v>
      </c>
    </row>
    <row r="902" spans="1:15" x14ac:dyDescent="0.3">
      <c r="A902" t="s">
        <v>970</v>
      </c>
      <c r="B902" s="2">
        <v>46192</v>
      </c>
      <c r="C902" t="s">
        <v>15</v>
      </c>
      <c r="D902" t="str">
        <f t="shared" si="14"/>
        <v>June</v>
      </c>
      <c r="E902" t="s">
        <v>24</v>
      </c>
      <c r="F902" t="s">
        <v>17</v>
      </c>
      <c r="G902" t="s">
        <v>67</v>
      </c>
      <c r="H902" t="s">
        <v>27</v>
      </c>
      <c r="I902" t="s">
        <v>42</v>
      </c>
      <c r="J902" t="s">
        <v>43</v>
      </c>
      <c r="K902">
        <v>3</v>
      </c>
      <c r="L902">
        <v>56132.12</v>
      </c>
      <c r="M902">
        <v>0</v>
      </c>
      <c r="N902">
        <v>168396.35</v>
      </c>
      <c r="O902" t="s">
        <v>36</v>
      </c>
    </row>
    <row r="903" spans="1:15" x14ac:dyDescent="0.3">
      <c r="A903" t="s">
        <v>971</v>
      </c>
      <c r="B903" s="2">
        <v>46193</v>
      </c>
      <c r="C903" t="s">
        <v>31</v>
      </c>
      <c r="D903" t="str">
        <f t="shared" si="14"/>
        <v>June</v>
      </c>
      <c r="E903" t="s">
        <v>69</v>
      </c>
      <c r="F903" t="s">
        <v>40</v>
      </c>
      <c r="G903" t="s">
        <v>75</v>
      </c>
      <c r="H903" t="s">
        <v>45</v>
      </c>
      <c r="I903" t="s">
        <v>34</v>
      </c>
      <c r="J903" t="s">
        <v>28</v>
      </c>
      <c r="K903">
        <v>4</v>
      </c>
      <c r="L903">
        <v>7975.48</v>
      </c>
      <c r="M903">
        <v>15</v>
      </c>
      <c r="N903">
        <v>27116.62</v>
      </c>
      <c r="O903" t="s">
        <v>29</v>
      </c>
    </row>
    <row r="904" spans="1:15" x14ac:dyDescent="0.3">
      <c r="A904" t="s">
        <v>972</v>
      </c>
      <c r="B904" s="2">
        <v>46194</v>
      </c>
      <c r="C904" t="s">
        <v>38</v>
      </c>
      <c r="D904" t="str">
        <f t="shared" si="14"/>
        <v>June</v>
      </c>
      <c r="E904" t="s">
        <v>16</v>
      </c>
      <c r="F904" t="s">
        <v>17</v>
      </c>
      <c r="G904" t="s">
        <v>18</v>
      </c>
      <c r="H904" t="s">
        <v>33</v>
      </c>
      <c r="I904" t="s">
        <v>42</v>
      </c>
      <c r="J904" t="s">
        <v>21</v>
      </c>
      <c r="K904">
        <v>5</v>
      </c>
      <c r="L904">
        <v>49368.5</v>
      </c>
      <c r="M904">
        <v>10</v>
      </c>
      <c r="N904">
        <v>222158.24</v>
      </c>
      <c r="O904" t="s">
        <v>36</v>
      </c>
    </row>
    <row r="905" spans="1:15" x14ac:dyDescent="0.3">
      <c r="A905" t="s">
        <v>973</v>
      </c>
      <c r="B905" s="2">
        <v>46195</v>
      </c>
      <c r="C905" t="s">
        <v>49</v>
      </c>
      <c r="D905" t="str">
        <f t="shared" si="14"/>
        <v>June</v>
      </c>
      <c r="E905" t="s">
        <v>100</v>
      </c>
      <c r="F905" t="s">
        <v>17</v>
      </c>
      <c r="G905" t="s">
        <v>18</v>
      </c>
      <c r="H905" t="s">
        <v>33</v>
      </c>
      <c r="I905" t="s">
        <v>20</v>
      </c>
      <c r="J905" t="s">
        <v>46</v>
      </c>
      <c r="K905">
        <v>1</v>
      </c>
      <c r="L905">
        <v>69765.100000000006</v>
      </c>
      <c r="M905">
        <v>5</v>
      </c>
      <c r="N905">
        <v>66276.850000000006</v>
      </c>
      <c r="O905" t="s">
        <v>47</v>
      </c>
    </row>
    <row r="906" spans="1:15" x14ac:dyDescent="0.3">
      <c r="A906" t="s">
        <v>974</v>
      </c>
      <c r="B906" s="2">
        <v>46196</v>
      </c>
      <c r="C906" t="s">
        <v>49</v>
      </c>
      <c r="D906" t="str">
        <f t="shared" si="14"/>
        <v>June</v>
      </c>
      <c r="E906" t="s">
        <v>32</v>
      </c>
      <c r="F906" t="s">
        <v>25</v>
      </c>
      <c r="G906" t="s">
        <v>92</v>
      </c>
      <c r="H906" t="s">
        <v>27</v>
      </c>
      <c r="I906" t="s">
        <v>34</v>
      </c>
      <c r="J906" t="s">
        <v>46</v>
      </c>
      <c r="K906">
        <v>5</v>
      </c>
      <c r="L906">
        <v>2389.5</v>
      </c>
      <c r="M906">
        <v>10</v>
      </c>
      <c r="N906">
        <v>10752.75</v>
      </c>
      <c r="O906" t="s">
        <v>47</v>
      </c>
    </row>
    <row r="907" spans="1:15" x14ac:dyDescent="0.3">
      <c r="A907" t="s">
        <v>975</v>
      </c>
      <c r="B907" s="2">
        <v>46197</v>
      </c>
      <c r="C907" t="s">
        <v>15</v>
      </c>
      <c r="D907" t="str">
        <f t="shared" si="14"/>
        <v>June</v>
      </c>
      <c r="E907" t="s">
        <v>32</v>
      </c>
      <c r="F907" t="s">
        <v>40</v>
      </c>
      <c r="G907" t="s">
        <v>75</v>
      </c>
      <c r="H907" t="s">
        <v>45</v>
      </c>
      <c r="I907" t="s">
        <v>42</v>
      </c>
      <c r="J907" t="s">
        <v>35</v>
      </c>
      <c r="K907">
        <v>3</v>
      </c>
      <c r="L907">
        <v>6346.82</v>
      </c>
      <c r="M907">
        <v>20</v>
      </c>
      <c r="N907">
        <v>15232.37</v>
      </c>
      <c r="O907" t="s">
        <v>47</v>
      </c>
    </row>
    <row r="908" spans="1:15" x14ac:dyDescent="0.3">
      <c r="A908" t="s">
        <v>976</v>
      </c>
      <c r="B908" s="2">
        <v>46198</v>
      </c>
      <c r="C908" t="s">
        <v>38</v>
      </c>
      <c r="D908" t="str">
        <f t="shared" si="14"/>
        <v>June</v>
      </c>
      <c r="E908" t="s">
        <v>39</v>
      </c>
      <c r="F908" t="s">
        <v>40</v>
      </c>
      <c r="G908" t="s">
        <v>118</v>
      </c>
      <c r="H908" t="s">
        <v>19</v>
      </c>
      <c r="I908" t="s">
        <v>34</v>
      </c>
      <c r="J908" t="s">
        <v>43</v>
      </c>
      <c r="K908">
        <v>5</v>
      </c>
      <c r="L908">
        <v>7472.52</v>
      </c>
      <c r="M908">
        <v>5</v>
      </c>
      <c r="N908">
        <v>35494.449999999997</v>
      </c>
      <c r="O908" t="s">
        <v>47</v>
      </c>
    </row>
    <row r="909" spans="1:15" x14ac:dyDescent="0.3">
      <c r="A909" t="s">
        <v>977</v>
      </c>
      <c r="B909" s="2">
        <v>46199</v>
      </c>
      <c r="C909" t="s">
        <v>31</v>
      </c>
      <c r="D909" t="str">
        <f t="shared" si="14"/>
        <v>June</v>
      </c>
      <c r="E909" t="s">
        <v>39</v>
      </c>
      <c r="F909" t="s">
        <v>25</v>
      </c>
      <c r="G909" t="s">
        <v>56</v>
      </c>
      <c r="H909" t="s">
        <v>45</v>
      </c>
      <c r="I909" t="s">
        <v>42</v>
      </c>
      <c r="J909" t="s">
        <v>46</v>
      </c>
      <c r="K909">
        <v>4</v>
      </c>
      <c r="L909">
        <v>2439.64</v>
      </c>
      <c r="M909">
        <v>5</v>
      </c>
      <c r="N909">
        <v>9270.6299999999992</v>
      </c>
      <c r="O909" t="s">
        <v>22</v>
      </c>
    </row>
    <row r="910" spans="1:15" x14ac:dyDescent="0.3">
      <c r="A910" t="s">
        <v>978</v>
      </c>
      <c r="B910" s="2">
        <v>46200</v>
      </c>
      <c r="C910" t="s">
        <v>15</v>
      </c>
      <c r="D910" t="str">
        <f t="shared" si="14"/>
        <v>June</v>
      </c>
      <c r="E910" t="s">
        <v>52</v>
      </c>
      <c r="F910" t="s">
        <v>53</v>
      </c>
      <c r="G910" t="s">
        <v>65</v>
      </c>
      <c r="H910" t="s">
        <v>19</v>
      </c>
      <c r="I910" t="s">
        <v>42</v>
      </c>
      <c r="J910" t="s">
        <v>35</v>
      </c>
      <c r="K910">
        <v>3</v>
      </c>
      <c r="L910">
        <v>34862.800000000003</v>
      </c>
      <c r="M910">
        <v>0</v>
      </c>
      <c r="N910">
        <v>104588.41</v>
      </c>
      <c r="O910" t="s">
        <v>22</v>
      </c>
    </row>
    <row r="911" spans="1:15" x14ac:dyDescent="0.3">
      <c r="A911" t="s">
        <v>979</v>
      </c>
      <c r="B911" s="2">
        <v>46201</v>
      </c>
      <c r="C911" t="s">
        <v>49</v>
      </c>
      <c r="D911" t="str">
        <f t="shared" si="14"/>
        <v>June</v>
      </c>
      <c r="E911" t="s">
        <v>100</v>
      </c>
      <c r="F911" t="s">
        <v>40</v>
      </c>
      <c r="G911" t="s">
        <v>75</v>
      </c>
      <c r="H911" t="s">
        <v>27</v>
      </c>
      <c r="I911" t="s">
        <v>20</v>
      </c>
      <c r="J911" t="s">
        <v>35</v>
      </c>
      <c r="K911">
        <v>3</v>
      </c>
      <c r="L911">
        <v>6073.9</v>
      </c>
      <c r="M911">
        <v>5</v>
      </c>
      <c r="N911">
        <v>17310.62</v>
      </c>
      <c r="O911" t="s">
        <v>47</v>
      </c>
    </row>
    <row r="912" spans="1:15" x14ac:dyDescent="0.3">
      <c r="A912" t="s">
        <v>980</v>
      </c>
      <c r="B912" s="2">
        <v>46202</v>
      </c>
      <c r="C912" t="s">
        <v>49</v>
      </c>
      <c r="D912" t="str">
        <f t="shared" si="14"/>
        <v>June</v>
      </c>
      <c r="E912" t="s">
        <v>32</v>
      </c>
      <c r="F912" t="s">
        <v>40</v>
      </c>
      <c r="G912" t="s">
        <v>41</v>
      </c>
      <c r="H912" t="s">
        <v>19</v>
      </c>
      <c r="I912" t="s">
        <v>20</v>
      </c>
      <c r="J912" t="s">
        <v>35</v>
      </c>
      <c r="K912">
        <v>3</v>
      </c>
      <c r="L912">
        <v>7465.7</v>
      </c>
      <c r="M912">
        <v>0</v>
      </c>
      <c r="N912">
        <v>22397.09</v>
      </c>
      <c r="O912" t="s">
        <v>47</v>
      </c>
    </row>
    <row r="913" spans="1:15" x14ac:dyDescent="0.3">
      <c r="A913" t="s">
        <v>981</v>
      </c>
      <c r="B913" s="2">
        <v>46203</v>
      </c>
      <c r="C913" t="s">
        <v>15</v>
      </c>
      <c r="D913" t="str">
        <f t="shared" si="14"/>
        <v>June</v>
      </c>
      <c r="E913" t="s">
        <v>100</v>
      </c>
      <c r="F913" t="s">
        <v>53</v>
      </c>
      <c r="G913" t="s">
        <v>105</v>
      </c>
      <c r="H913" t="s">
        <v>33</v>
      </c>
      <c r="I913" t="s">
        <v>34</v>
      </c>
      <c r="J913" t="s">
        <v>46</v>
      </c>
      <c r="K913">
        <v>4</v>
      </c>
      <c r="L913">
        <v>39965.550000000003</v>
      </c>
      <c r="M913">
        <v>0</v>
      </c>
      <c r="N913">
        <v>159862.21</v>
      </c>
      <c r="O913" t="s">
        <v>36</v>
      </c>
    </row>
    <row r="914" spans="1:15" x14ac:dyDescent="0.3">
      <c r="A914" t="s">
        <v>982</v>
      </c>
      <c r="B914" s="2">
        <v>46204</v>
      </c>
      <c r="C914" t="s">
        <v>15</v>
      </c>
      <c r="D914" t="str">
        <f t="shared" si="14"/>
        <v>July</v>
      </c>
      <c r="E914" t="s">
        <v>24</v>
      </c>
      <c r="F914" t="s">
        <v>25</v>
      </c>
      <c r="G914" t="s">
        <v>81</v>
      </c>
      <c r="H914" t="s">
        <v>19</v>
      </c>
      <c r="I914" t="s">
        <v>42</v>
      </c>
      <c r="J914" t="s">
        <v>28</v>
      </c>
      <c r="K914">
        <v>5</v>
      </c>
      <c r="L914">
        <v>1950.94</v>
      </c>
      <c r="M914">
        <v>0</v>
      </c>
      <c r="N914">
        <v>9754.7000000000007</v>
      </c>
      <c r="O914" t="s">
        <v>47</v>
      </c>
    </row>
    <row r="915" spans="1:15" x14ac:dyDescent="0.3">
      <c r="A915" t="s">
        <v>983</v>
      </c>
      <c r="B915" s="2">
        <v>46205</v>
      </c>
      <c r="C915" t="s">
        <v>31</v>
      </c>
      <c r="D915" t="str">
        <f t="shared" si="14"/>
        <v>July</v>
      </c>
      <c r="E915" t="s">
        <v>50</v>
      </c>
      <c r="F915" t="s">
        <v>40</v>
      </c>
      <c r="G915" t="s">
        <v>118</v>
      </c>
      <c r="H915" t="s">
        <v>27</v>
      </c>
      <c r="I915" t="s">
        <v>34</v>
      </c>
      <c r="J915" t="s">
        <v>35</v>
      </c>
      <c r="K915">
        <v>3</v>
      </c>
      <c r="L915">
        <v>7309</v>
      </c>
      <c r="M915">
        <v>15</v>
      </c>
      <c r="N915">
        <v>18637.939999999999</v>
      </c>
      <c r="O915" t="s">
        <v>22</v>
      </c>
    </row>
    <row r="916" spans="1:15" x14ac:dyDescent="0.3">
      <c r="A916" t="s">
        <v>984</v>
      </c>
      <c r="B916" s="2">
        <v>46206</v>
      </c>
      <c r="C916" t="s">
        <v>31</v>
      </c>
      <c r="D916" t="str">
        <f t="shared" si="14"/>
        <v>July</v>
      </c>
      <c r="E916" t="s">
        <v>72</v>
      </c>
      <c r="F916" t="s">
        <v>25</v>
      </c>
      <c r="G916" t="s">
        <v>92</v>
      </c>
      <c r="H916" t="s">
        <v>45</v>
      </c>
      <c r="I916" t="s">
        <v>20</v>
      </c>
      <c r="J916" t="s">
        <v>35</v>
      </c>
      <c r="K916">
        <v>2</v>
      </c>
      <c r="L916">
        <v>2347.69</v>
      </c>
      <c r="M916">
        <v>5</v>
      </c>
      <c r="N916">
        <v>4460.6099999999997</v>
      </c>
      <c r="O916" t="s">
        <v>29</v>
      </c>
    </row>
    <row r="917" spans="1:15" x14ac:dyDescent="0.3">
      <c r="A917" t="s">
        <v>985</v>
      </c>
      <c r="B917" s="2">
        <v>46207</v>
      </c>
      <c r="C917" t="s">
        <v>31</v>
      </c>
      <c r="D917" t="str">
        <f t="shared" si="14"/>
        <v>July</v>
      </c>
      <c r="E917" t="s">
        <v>100</v>
      </c>
      <c r="F917" t="s">
        <v>53</v>
      </c>
      <c r="G917" t="s">
        <v>105</v>
      </c>
      <c r="H917" t="s">
        <v>33</v>
      </c>
      <c r="I917" t="s">
        <v>42</v>
      </c>
      <c r="J917" t="s">
        <v>21</v>
      </c>
      <c r="K917">
        <v>3</v>
      </c>
      <c r="L917">
        <v>24760.78</v>
      </c>
      <c r="M917">
        <v>15</v>
      </c>
      <c r="N917">
        <v>63139.99</v>
      </c>
      <c r="O917" t="s">
        <v>47</v>
      </c>
    </row>
    <row r="918" spans="1:15" x14ac:dyDescent="0.3">
      <c r="A918" t="s">
        <v>986</v>
      </c>
      <c r="B918" s="2">
        <v>46208</v>
      </c>
      <c r="C918" t="s">
        <v>58</v>
      </c>
      <c r="D918" t="str">
        <f t="shared" si="14"/>
        <v>July</v>
      </c>
      <c r="E918" t="s">
        <v>77</v>
      </c>
      <c r="F918" t="s">
        <v>25</v>
      </c>
      <c r="G918" t="s">
        <v>81</v>
      </c>
      <c r="H918" t="s">
        <v>27</v>
      </c>
      <c r="I918" t="s">
        <v>42</v>
      </c>
      <c r="J918" t="s">
        <v>21</v>
      </c>
      <c r="K918">
        <v>2</v>
      </c>
      <c r="L918">
        <v>2799.29</v>
      </c>
      <c r="M918">
        <v>5</v>
      </c>
      <c r="N918">
        <v>5318.65</v>
      </c>
      <c r="O918" t="s">
        <v>47</v>
      </c>
    </row>
    <row r="919" spans="1:15" x14ac:dyDescent="0.3">
      <c r="A919" t="s">
        <v>987</v>
      </c>
      <c r="B919" s="2">
        <v>46209</v>
      </c>
      <c r="C919" t="s">
        <v>38</v>
      </c>
      <c r="D919" t="str">
        <f t="shared" si="14"/>
        <v>July</v>
      </c>
      <c r="E919" t="s">
        <v>100</v>
      </c>
      <c r="F919" t="s">
        <v>53</v>
      </c>
      <c r="G919" t="s">
        <v>105</v>
      </c>
      <c r="H919" t="s">
        <v>19</v>
      </c>
      <c r="I919" t="s">
        <v>34</v>
      </c>
      <c r="J919" t="s">
        <v>35</v>
      </c>
      <c r="K919">
        <v>5</v>
      </c>
      <c r="L919">
        <v>36019.74</v>
      </c>
      <c r="M919">
        <v>0</v>
      </c>
      <c r="N919">
        <v>180098.71</v>
      </c>
      <c r="O919" t="s">
        <v>47</v>
      </c>
    </row>
    <row r="920" spans="1:15" x14ac:dyDescent="0.3">
      <c r="A920" t="s">
        <v>988</v>
      </c>
      <c r="B920" s="2">
        <v>46210</v>
      </c>
      <c r="C920" t="s">
        <v>58</v>
      </c>
      <c r="D920" t="str">
        <f t="shared" si="14"/>
        <v>July</v>
      </c>
      <c r="E920" t="s">
        <v>69</v>
      </c>
      <c r="F920" t="s">
        <v>40</v>
      </c>
      <c r="G920" t="s">
        <v>41</v>
      </c>
      <c r="H920" t="s">
        <v>27</v>
      </c>
      <c r="I920" t="s">
        <v>42</v>
      </c>
      <c r="J920" t="s">
        <v>46</v>
      </c>
      <c r="K920">
        <v>3</v>
      </c>
      <c r="L920">
        <v>5993.54</v>
      </c>
      <c r="M920">
        <v>5</v>
      </c>
      <c r="N920">
        <v>17081.580000000002</v>
      </c>
      <c r="O920" t="s">
        <v>47</v>
      </c>
    </row>
    <row r="921" spans="1:15" x14ac:dyDescent="0.3">
      <c r="A921" t="s">
        <v>989</v>
      </c>
      <c r="B921" s="2">
        <v>46211</v>
      </c>
      <c r="C921" t="s">
        <v>49</v>
      </c>
      <c r="D921" t="str">
        <f t="shared" si="14"/>
        <v>July</v>
      </c>
      <c r="E921" t="s">
        <v>39</v>
      </c>
      <c r="F921" t="s">
        <v>40</v>
      </c>
      <c r="G921" t="s">
        <v>118</v>
      </c>
      <c r="H921" t="s">
        <v>33</v>
      </c>
      <c r="I921" t="s">
        <v>20</v>
      </c>
      <c r="J921" t="s">
        <v>21</v>
      </c>
      <c r="K921">
        <v>2</v>
      </c>
      <c r="L921">
        <v>5837.29</v>
      </c>
      <c r="M921">
        <v>5</v>
      </c>
      <c r="N921">
        <v>11090.85</v>
      </c>
      <c r="O921" t="s">
        <v>47</v>
      </c>
    </row>
    <row r="922" spans="1:15" x14ac:dyDescent="0.3">
      <c r="A922" t="s">
        <v>990</v>
      </c>
      <c r="B922" s="2">
        <v>46212</v>
      </c>
      <c r="C922" t="s">
        <v>15</v>
      </c>
      <c r="D922" t="str">
        <f t="shared" si="14"/>
        <v>July</v>
      </c>
      <c r="E922" t="s">
        <v>72</v>
      </c>
      <c r="F922" t="s">
        <v>17</v>
      </c>
      <c r="G922" t="s">
        <v>63</v>
      </c>
      <c r="H922" t="s">
        <v>19</v>
      </c>
      <c r="I922" t="s">
        <v>42</v>
      </c>
      <c r="J922" t="s">
        <v>21</v>
      </c>
      <c r="K922">
        <v>3</v>
      </c>
      <c r="L922">
        <v>66435.55</v>
      </c>
      <c r="M922">
        <v>10</v>
      </c>
      <c r="N922">
        <v>179375.97</v>
      </c>
      <c r="O922" t="s">
        <v>47</v>
      </c>
    </row>
    <row r="923" spans="1:15" x14ac:dyDescent="0.3">
      <c r="A923" t="s">
        <v>991</v>
      </c>
      <c r="B923" s="2">
        <v>46213</v>
      </c>
      <c r="C923" t="s">
        <v>31</v>
      </c>
      <c r="D923" t="str">
        <f t="shared" si="14"/>
        <v>July</v>
      </c>
      <c r="E923" t="s">
        <v>39</v>
      </c>
      <c r="F923" t="s">
        <v>25</v>
      </c>
      <c r="G923" t="s">
        <v>56</v>
      </c>
      <c r="H923" t="s">
        <v>33</v>
      </c>
      <c r="I923" t="s">
        <v>20</v>
      </c>
      <c r="J923" t="s">
        <v>21</v>
      </c>
      <c r="K923">
        <v>1</v>
      </c>
      <c r="L923">
        <v>2167.9899999999998</v>
      </c>
      <c r="M923">
        <v>0</v>
      </c>
      <c r="N923">
        <v>2167.9899999999998</v>
      </c>
      <c r="O923" t="s">
        <v>36</v>
      </c>
    </row>
    <row r="924" spans="1:15" x14ac:dyDescent="0.3">
      <c r="A924" t="s">
        <v>992</v>
      </c>
      <c r="B924" s="2">
        <v>46214</v>
      </c>
      <c r="C924" t="s">
        <v>49</v>
      </c>
      <c r="D924" t="str">
        <f t="shared" si="14"/>
        <v>July</v>
      </c>
      <c r="E924" t="s">
        <v>77</v>
      </c>
      <c r="F924" t="s">
        <v>53</v>
      </c>
      <c r="G924" t="s">
        <v>129</v>
      </c>
      <c r="H924" t="s">
        <v>19</v>
      </c>
      <c r="I924" t="s">
        <v>20</v>
      </c>
      <c r="J924" t="s">
        <v>28</v>
      </c>
      <c r="K924">
        <v>4</v>
      </c>
      <c r="L924">
        <v>28673.42</v>
      </c>
      <c r="M924">
        <v>20</v>
      </c>
      <c r="N924">
        <v>91754.94</v>
      </c>
      <c r="O924" t="s">
        <v>22</v>
      </c>
    </row>
    <row r="925" spans="1:15" x14ac:dyDescent="0.3">
      <c r="A925" t="s">
        <v>993</v>
      </c>
      <c r="B925" s="2">
        <v>46215</v>
      </c>
      <c r="C925" t="s">
        <v>38</v>
      </c>
      <c r="D925" t="str">
        <f t="shared" si="14"/>
        <v>July</v>
      </c>
      <c r="E925" t="s">
        <v>69</v>
      </c>
      <c r="F925" t="s">
        <v>53</v>
      </c>
      <c r="G925" t="s">
        <v>105</v>
      </c>
      <c r="H925" t="s">
        <v>19</v>
      </c>
      <c r="I925" t="s">
        <v>20</v>
      </c>
      <c r="J925" t="s">
        <v>43</v>
      </c>
      <c r="K925">
        <v>1</v>
      </c>
      <c r="L925">
        <v>38965</v>
      </c>
      <c r="M925">
        <v>15</v>
      </c>
      <c r="N925">
        <v>33120.25</v>
      </c>
      <c r="O925" t="s">
        <v>29</v>
      </c>
    </row>
    <row r="926" spans="1:15" x14ac:dyDescent="0.3">
      <c r="A926" t="s">
        <v>994</v>
      </c>
      <c r="B926" s="2">
        <v>46216</v>
      </c>
      <c r="C926" t="s">
        <v>58</v>
      </c>
      <c r="D926" t="str">
        <f t="shared" si="14"/>
        <v>July</v>
      </c>
      <c r="E926" t="s">
        <v>72</v>
      </c>
      <c r="F926" t="s">
        <v>53</v>
      </c>
      <c r="G926" t="s">
        <v>105</v>
      </c>
      <c r="H926" t="s">
        <v>19</v>
      </c>
      <c r="I926" t="s">
        <v>20</v>
      </c>
      <c r="J926" t="s">
        <v>43</v>
      </c>
      <c r="K926">
        <v>1</v>
      </c>
      <c r="L926">
        <v>32543.48</v>
      </c>
      <c r="M926">
        <v>5</v>
      </c>
      <c r="N926">
        <v>30916.31</v>
      </c>
      <c r="O926" t="s">
        <v>29</v>
      </c>
    </row>
    <row r="927" spans="1:15" x14ac:dyDescent="0.3">
      <c r="A927" t="s">
        <v>995</v>
      </c>
      <c r="B927" s="2">
        <v>46217</v>
      </c>
      <c r="C927" t="s">
        <v>49</v>
      </c>
      <c r="D927" t="str">
        <f t="shared" si="14"/>
        <v>July</v>
      </c>
      <c r="E927" t="s">
        <v>69</v>
      </c>
      <c r="F927" t="s">
        <v>60</v>
      </c>
      <c r="G927" t="s">
        <v>61</v>
      </c>
      <c r="H927" t="s">
        <v>33</v>
      </c>
      <c r="I927" t="s">
        <v>34</v>
      </c>
      <c r="J927" t="s">
        <v>21</v>
      </c>
      <c r="K927">
        <v>4</v>
      </c>
      <c r="L927">
        <v>42931.59</v>
      </c>
      <c r="M927">
        <v>10</v>
      </c>
      <c r="N927">
        <v>154553.72</v>
      </c>
      <c r="O927" t="s">
        <v>29</v>
      </c>
    </row>
    <row r="928" spans="1:15" x14ac:dyDescent="0.3">
      <c r="A928" t="s">
        <v>996</v>
      </c>
      <c r="B928" s="2">
        <v>46218</v>
      </c>
      <c r="C928" t="s">
        <v>58</v>
      </c>
      <c r="D928" t="str">
        <f t="shared" si="14"/>
        <v>July</v>
      </c>
      <c r="E928" t="s">
        <v>72</v>
      </c>
      <c r="F928" t="s">
        <v>53</v>
      </c>
      <c r="G928" t="s">
        <v>54</v>
      </c>
      <c r="H928" t="s">
        <v>33</v>
      </c>
      <c r="I928" t="s">
        <v>42</v>
      </c>
      <c r="J928" t="s">
        <v>46</v>
      </c>
      <c r="K928">
        <v>4</v>
      </c>
      <c r="L928">
        <v>31038.66</v>
      </c>
      <c r="M928">
        <v>0</v>
      </c>
      <c r="N928">
        <v>124154.65</v>
      </c>
      <c r="O928" t="s">
        <v>22</v>
      </c>
    </row>
    <row r="929" spans="1:15" x14ac:dyDescent="0.3">
      <c r="A929" t="s">
        <v>997</v>
      </c>
      <c r="B929" s="2">
        <v>46219</v>
      </c>
      <c r="C929" t="s">
        <v>31</v>
      </c>
      <c r="D929" t="str">
        <f t="shared" si="14"/>
        <v>July</v>
      </c>
      <c r="E929" t="s">
        <v>72</v>
      </c>
      <c r="F929" t="s">
        <v>17</v>
      </c>
      <c r="G929" t="s">
        <v>18</v>
      </c>
      <c r="H929" t="s">
        <v>27</v>
      </c>
      <c r="I929" t="s">
        <v>20</v>
      </c>
      <c r="J929" t="s">
        <v>46</v>
      </c>
      <c r="K929">
        <v>2</v>
      </c>
      <c r="L929">
        <v>52528.39</v>
      </c>
      <c r="M929">
        <v>5</v>
      </c>
      <c r="N929">
        <v>99803.94</v>
      </c>
      <c r="O929" t="s">
        <v>29</v>
      </c>
    </row>
    <row r="930" spans="1:15" x14ac:dyDescent="0.3">
      <c r="A930" t="s">
        <v>998</v>
      </c>
      <c r="B930" s="2">
        <v>46220</v>
      </c>
      <c r="C930" t="s">
        <v>49</v>
      </c>
      <c r="D930" t="str">
        <f t="shared" si="14"/>
        <v>July</v>
      </c>
      <c r="E930" t="s">
        <v>24</v>
      </c>
      <c r="F930" t="s">
        <v>60</v>
      </c>
      <c r="G930" t="s">
        <v>73</v>
      </c>
      <c r="H930" t="s">
        <v>45</v>
      </c>
      <c r="I930" t="s">
        <v>20</v>
      </c>
      <c r="J930" t="s">
        <v>43</v>
      </c>
      <c r="K930">
        <v>2</v>
      </c>
      <c r="L930">
        <v>51190.49</v>
      </c>
      <c r="M930">
        <v>10</v>
      </c>
      <c r="N930">
        <v>92142.87</v>
      </c>
      <c r="O930" t="s">
        <v>29</v>
      </c>
    </row>
    <row r="931" spans="1:15" x14ac:dyDescent="0.3">
      <c r="A931" t="s">
        <v>999</v>
      </c>
      <c r="B931" s="2">
        <v>46221</v>
      </c>
      <c r="C931" t="s">
        <v>58</v>
      </c>
      <c r="D931" t="str">
        <f t="shared" si="14"/>
        <v>July</v>
      </c>
      <c r="E931" t="s">
        <v>39</v>
      </c>
      <c r="F931" t="s">
        <v>17</v>
      </c>
      <c r="G931" t="s">
        <v>67</v>
      </c>
      <c r="H931" t="s">
        <v>27</v>
      </c>
      <c r="I931" t="s">
        <v>20</v>
      </c>
      <c r="J931" t="s">
        <v>46</v>
      </c>
      <c r="K931">
        <v>5</v>
      </c>
      <c r="L931">
        <v>63802.76</v>
      </c>
      <c r="M931">
        <v>10</v>
      </c>
      <c r="N931">
        <v>287112.42</v>
      </c>
      <c r="O931" t="s">
        <v>36</v>
      </c>
    </row>
    <row r="932" spans="1:15" x14ac:dyDescent="0.3">
      <c r="A932" t="s">
        <v>1000</v>
      </c>
      <c r="B932" s="2">
        <v>46222</v>
      </c>
      <c r="C932" t="s">
        <v>38</v>
      </c>
      <c r="D932" t="str">
        <f t="shared" si="14"/>
        <v>July</v>
      </c>
      <c r="E932" t="s">
        <v>100</v>
      </c>
      <c r="F932" t="s">
        <v>17</v>
      </c>
      <c r="G932" t="s">
        <v>123</v>
      </c>
      <c r="H932" t="s">
        <v>27</v>
      </c>
      <c r="I932" t="s">
        <v>20</v>
      </c>
      <c r="J932" t="s">
        <v>46</v>
      </c>
      <c r="K932">
        <v>1</v>
      </c>
      <c r="L932">
        <v>47695.87</v>
      </c>
      <c r="M932">
        <v>5</v>
      </c>
      <c r="N932">
        <v>45311.08</v>
      </c>
      <c r="O932" t="s">
        <v>22</v>
      </c>
    </row>
    <row r="933" spans="1:15" x14ac:dyDescent="0.3">
      <c r="A933" t="s">
        <v>1001</v>
      </c>
      <c r="B933" s="2">
        <v>46223</v>
      </c>
      <c r="C933" t="s">
        <v>38</v>
      </c>
      <c r="D933" t="str">
        <f t="shared" si="14"/>
        <v>July</v>
      </c>
      <c r="E933" t="s">
        <v>32</v>
      </c>
      <c r="F933" t="s">
        <v>40</v>
      </c>
      <c r="G933" t="s">
        <v>75</v>
      </c>
      <c r="H933" t="s">
        <v>27</v>
      </c>
      <c r="I933" t="s">
        <v>42</v>
      </c>
      <c r="J933" t="s">
        <v>46</v>
      </c>
      <c r="K933">
        <v>5</v>
      </c>
      <c r="L933">
        <v>5931.02</v>
      </c>
      <c r="M933">
        <v>5</v>
      </c>
      <c r="N933">
        <v>28172.36</v>
      </c>
      <c r="O933" t="s">
        <v>36</v>
      </c>
    </row>
    <row r="934" spans="1:15" x14ac:dyDescent="0.3">
      <c r="A934" t="s">
        <v>1002</v>
      </c>
      <c r="B934" s="2">
        <v>46224</v>
      </c>
      <c r="C934" t="s">
        <v>49</v>
      </c>
      <c r="D934" t="str">
        <f t="shared" si="14"/>
        <v>July</v>
      </c>
      <c r="E934" t="s">
        <v>24</v>
      </c>
      <c r="F934" t="s">
        <v>53</v>
      </c>
      <c r="G934" t="s">
        <v>129</v>
      </c>
      <c r="H934" t="s">
        <v>33</v>
      </c>
      <c r="I934" t="s">
        <v>42</v>
      </c>
      <c r="J934" t="s">
        <v>46</v>
      </c>
      <c r="K934">
        <v>1</v>
      </c>
      <c r="L934">
        <v>25116.37</v>
      </c>
      <c r="M934">
        <v>15</v>
      </c>
      <c r="N934">
        <v>21348.91</v>
      </c>
      <c r="O934" t="s">
        <v>47</v>
      </c>
    </row>
    <row r="935" spans="1:15" x14ac:dyDescent="0.3">
      <c r="A935" t="s">
        <v>1003</v>
      </c>
      <c r="B935" s="2">
        <v>46225</v>
      </c>
      <c r="C935" t="s">
        <v>15</v>
      </c>
      <c r="D935" t="str">
        <f t="shared" si="14"/>
        <v>July</v>
      </c>
      <c r="E935" t="s">
        <v>24</v>
      </c>
      <c r="F935" t="s">
        <v>40</v>
      </c>
      <c r="G935" t="s">
        <v>41</v>
      </c>
      <c r="H935" t="s">
        <v>33</v>
      </c>
      <c r="I935" t="s">
        <v>20</v>
      </c>
      <c r="J935" t="s">
        <v>46</v>
      </c>
      <c r="K935">
        <v>5</v>
      </c>
      <c r="L935">
        <v>6336.77</v>
      </c>
      <c r="M935">
        <v>0</v>
      </c>
      <c r="N935">
        <v>31683.86</v>
      </c>
      <c r="O935" t="s">
        <v>29</v>
      </c>
    </row>
    <row r="936" spans="1:15" x14ac:dyDescent="0.3">
      <c r="A936" t="s">
        <v>1004</v>
      </c>
      <c r="B936" s="2">
        <v>46226</v>
      </c>
      <c r="C936" t="s">
        <v>31</v>
      </c>
      <c r="D936" t="str">
        <f t="shared" si="14"/>
        <v>July</v>
      </c>
      <c r="E936" t="s">
        <v>16</v>
      </c>
      <c r="F936" t="s">
        <v>40</v>
      </c>
      <c r="G936" t="s">
        <v>115</v>
      </c>
      <c r="H936" t="s">
        <v>33</v>
      </c>
      <c r="I936" t="s">
        <v>20</v>
      </c>
      <c r="J936" t="s">
        <v>28</v>
      </c>
      <c r="K936">
        <v>4</v>
      </c>
      <c r="L936">
        <v>6924.99</v>
      </c>
      <c r="M936">
        <v>5</v>
      </c>
      <c r="N936">
        <v>26314.95</v>
      </c>
      <c r="O936" t="s">
        <v>22</v>
      </c>
    </row>
    <row r="937" spans="1:15" x14ac:dyDescent="0.3">
      <c r="A937" t="s">
        <v>1005</v>
      </c>
      <c r="B937" s="2">
        <v>46227</v>
      </c>
      <c r="C937" t="s">
        <v>58</v>
      </c>
      <c r="D937" t="str">
        <f t="shared" si="14"/>
        <v>July</v>
      </c>
      <c r="E937" t="s">
        <v>52</v>
      </c>
      <c r="F937" t="s">
        <v>17</v>
      </c>
      <c r="G937" t="s">
        <v>123</v>
      </c>
      <c r="H937" t="s">
        <v>19</v>
      </c>
      <c r="I937" t="s">
        <v>20</v>
      </c>
      <c r="J937" t="s">
        <v>43</v>
      </c>
      <c r="K937">
        <v>3</v>
      </c>
      <c r="L937">
        <v>61947</v>
      </c>
      <c r="M937">
        <v>5</v>
      </c>
      <c r="N937">
        <v>176548.95</v>
      </c>
      <c r="O937" t="s">
        <v>22</v>
      </c>
    </row>
    <row r="938" spans="1:15" x14ac:dyDescent="0.3">
      <c r="A938" t="s">
        <v>1006</v>
      </c>
      <c r="B938" s="2">
        <v>46228</v>
      </c>
      <c r="C938" t="s">
        <v>31</v>
      </c>
      <c r="D938" t="str">
        <f t="shared" si="14"/>
        <v>July</v>
      </c>
      <c r="E938" t="s">
        <v>39</v>
      </c>
      <c r="F938" t="s">
        <v>25</v>
      </c>
      <c r="G938" t="s">
        <v>81</v>
      </c>
      <c r="H938" t="s">
        <v>33</v>
      </c>
      <c r="I938" t="s">
        <v>42</v>
      </c>
      <c r="J938" t="s">
        <v>43</v>
      </c>
      <c r="K938">
        <v>2</v>
      </c>
      <c r="L938">
        <v>2345.75</v>
      </c>
      <c r="M938">
        <v>5</v>
      </c>
      <c r="N938">
        <v>4456.93</v>
      </c>
      <c r="O938" t="s">
        <v>29</v>
      </c>
    </row>
    <row r="939" spans="1:15" x14ac:dyDescent="0.3">
      <c r="A939" t="s">
        <v>1007</v>
      </c>
      <c r="B939" s="2">
        <v>46229</v>
      </c>
      <c r="C939" t="s">
        <v>49</v>
      </c>
      <c r="D939" t="str">
        <f t="shared" si="14"/>
        <v>July</v>
      </c>
      <c r="E939" t="s">
        <v>24</v>
      </c>
      <c r="F939" t="s">
        <v>25</v>
      </c>
      <c r="G939" t="s">
        <v>92</v>
      </c>
      <c r="H939" t="s">
        <v>33</v>
      </c>
      <c r="I939" t="s">
        <v>20</v>
      </c>
      <c r="J939" t="s">
        <v>46</v>
      </c>
      <c r="K939">
        <v>5</v>
      </c>
      <c r="L939">
        <v>2512.4699999999998</v>
      </c>
      <c r="M939">
        <v>5</v>
      </c>
      <c r="N939">
        <v>11934.21</v>
      </c>
      <c r="O939" t="s">
        <v>29</v>
      </c>
    </row>
    <row r="940" spans="1:15" x14ac:dyDescent="0.3">
      <c r="A940" t="s">
        <v>1008</v>
      </c>
      <c r="B940" s="2">
        <v>46230</v>
      </c>
      <c r="C940" t="s">
        <v>38</v>
      </c>
      <c r="D940" t="str">
        <f t="shared" si="14"/>
        <v>July</v>
      </c>
      <c r="E940" t="s">
        <v>24</v>
      </c>
      <c r="F940" t="s">
        <v>25</v>
      </c>
      <c r="G940" t="s">
        <v>26</v>
      </c>
      <c r="H940" t="s">
        <v>45</v>
      </c>
      <c r="I940" t="s">
        <v>34</v>
      </c>
      <c r="J940" t="s">
        <v>28</v>
      </c>
      <c r="K940">
        <v>4</v>
      </c>
      <c r="L940">
        <v>2772.23</v>
      </c>
      <c r="M940">
        <v>15</v>
      </c>
      <c r="N940">
        <v>9425.6</v>
      </c>
      <c r="O940" t="s">
        <v>22</v>
      </c>
    </row>
    <row r="941" spans="1:15" x14ac:dyDescent="0.3">
      <c r="A941" t="s">
        <v>1009</v>
      </c>
      <c r="B941" s="2">
        <v>46231</v>
      </c>
      <c r="C941" t="s">
        <v>58</v>
      </c>
      <c r="D941" t="str">
        <f t="shared" si="14"/>
        <v>July</v>
      </c>
      <c r="E941" t="s">
        <v>69</v>
      </c>
      <c r="F941" t="s">
        <v>40</v>
      </c>
      <c r="G941" t="s">
        <v>115</v>
      </c>
      <c r="H941" t="s">
        <v>19</v>
      </c>
      <c r="I941" t="s">
        <v>34</v>
      </c>
      <c r="J941" t="s">
        <v>46</v>
      </c>
      <c r="K941">
        <v>5</v>
      </c>
      <c r="L941">
        <v>7786.27</v>
      </c>
      <c r="M941">
        <v>20</v>
      </c>
      <c r="N941">
        <v>31145.1</v>
      </c>
      <c r="O941" t="s">
        <v>22</v>
      </c>
    </row>
    <row r="942" spans="1:15" x14ac:dyDescent="0.3">
      <c r="A942" t="s">
        <v>1010</v>
      </c>
      <c r="B942" s="2">
        <v>46232</v>
      </c>
      <c r="C942" t="s">
        <v>15</v>
      </c>
      <c r="D942" t="str">
        <f t="shared" si="14"/>
        <v>July</v>
      </c>
      <c r="E942" t="s">
        <v>52</v>
      </c>
      <c r="F942" t="s">
        <v>53</v>
      </c>
      <c r="G942" t="s">
        <v>54</v>
      </c>
      <c r="H942" t="s">
        <v>27</v>
      </c>
      <c r="I942" t="s">
        <v>42</v>
      </c>
      <c r="J942" t="s">
        <v>21</v>
      </c>
      <c r="K942">
        <v>2</v>
      </c>
      <c r="L942">
        <v>25396.41</v>
      </c>
      <c r="M942">
        <v>0</v>
      </c>
      <c r="N942">
        <v>50792.81</v>
      </c>
      <c r="O942" t="s">
        <v>47</v>
      </c>
    </row>
    <row r="943" spans="1:15" x14ac:dyDescent="0.3">
      <c r="A943" t="s">
        <v>1011</v>
      </c>
      <c r="B943" s="2">
        <v>46233</v>
      </c>
      <c r="C943" t="s">
        <v>31</v>
      </c>
      <c r="D943" t="str">
        <f t="shared" si="14"/>
        <v>July</v>
      </c>
      <c r="E943" t="s">
        <v>32</v>
      </c>
      <c r="F943" t="s">
        <v>17</v>
      </c>
      <c r="G943" t="s">
        <v>123</v>
      </c>
      <c r="H943" t="s">
        <v>45</v>
      </c>
      <c r="I943" t="s">
        <v>42</v>
      </c>
      <c r="J943" t="s">
        <v>43</v>
      </c>
      <c r="K943">
        <v>3</v>
      </c>
      <c r="L943">
        <v>49253.34</v>
      </c>
      <c r="M943">
        <v>5</v>
      </c>
      <c r="N943">
        <v>140372.03</v>
      </c>
      <c r="O943" t="s">
        <v>47</v>
      </c>
    </row>
    <row r="944" spans="1:15" x14ac:dyDescent="0.3">
      <c r="A944" t="s">
        <v>1012</v>
      </c>
      <c r="B944" s="2">
        <v>46234</v>
      </c>
      <c r="C944" t="s">
        <v>38</v>
      </c>
      <c r="D944" t="str">
        <f t="shared" si="14"/>
        <v>July</v>
      </c>
      <c r="E944" t="s">
        <v>16</v>
      </c>
      <c r="F944" t="s">
        <v>17</v>
      </c>
      <c r="G944" t="s">
        <v>18</v>
      </c>
      <c r="H944" t="s">
        <v>19</v>
      </c>
      <c r="I944" t="s">
        <v>34</v>
      </c>
      <c r="J944" t="s">
        <v>46</v>
      </c>
      <c r="K944">
        <v>5</v>
      </c>
      <c r="L944">
        <v>66959.8</v>
      </c>
      <c r="M944">
        <v>10</v>
      </c>
      <c r="N944">
        <v>301319.09999999998</v>
      </c>
      <c r="O944" t="s">
        <v>22</v>
      </c>
    </row>
    <row r="945" spans="1:15" x14ac:dyDescent="0.3">
      <c r="A945" t="s">
        <v>1013</v>
      </c>
      <c r="B945" s="2">
        <v>46235</v>
      </c>
      <c r="C945" t="s">
        <v>38</v>
      </c>
      <c r="D945" t="str">
        <f t="shared" si="14"/>
        <v>August</v>
      </c>
      <c r="E945" t="s">
        <v>69</v>
      </c>
      <c r="F945" t="s">
        <v>25</v>
      </c>
      <c r="G945" t="s">
        <v>81</v>
      </c>
      <c r="H945" t="s">
        <v>33</v>
      </c>
      <c r="I945" t="s">
        <v>20</v>
      </c>
      <c r="J945" t="s">
        <v>46</v>
      </c>
      <c r="K945">
        <v>3</v>
      </c>
      <c r="L945">
        <v>2542.5</v>
      </c>
      <c r="M945">
        <v>5</v>
      </c>
      <c r="N945">
        <v>7246.11</v>
      </c>
      <c r="O945" t="s">
        <v>22</v>
      </c>
    </row>
    <row r="946" spans="1:15" x14ac:dyDescent="0.3">
      <c r="A946" t="s">
        <v>1014</v>
      </c>
      <c r="B946" s="2">
        <v>46236</v>
      </c>
      <c r="C946" t="s">
        <v>31</v>
      </c>
      <c r="D946" t="str">
        <f t="shared" si="14"/>
        <v>August</v>
      </c>
      <c r="E946" t="s">
        <v>77</v>
      </c>
      <c r="F946" t="s">
        <v>25</v>
      </c>
      <c r="G946" t="s">
        <v>26</v>
      </c>
      <c r="H946" t="s">
        <v>33</v>
      </c>
      <c r="I946" t="s">
        <v>42</v>
      </c>
      <c r="J946" t="s">
        <v>21</v>
      </c>
      <c r="K946">
        <v>2</v>
      </c>
      <c r="L946">
        <v>2824.33</v>
      </c>
      <c r="M946">
        <v>10</v>
      </c>
      <c r="N946">
        <v>5083.8</v>
      </c>
      <c r="O946" t="s">
        <v>47</v>
      </c>
    </row>
    <row r="947" spans="1:15" x14ac:dyDescent="0.3">
      <c r="A947" t="s">
        <v>1015</v>
      </c>
      <c r="B947" s="2">
        <v>46237</v>
      </c>
      <c r="C947" t="s">
        <v>58</v>
      </c>
      <c r="D947" t="str">
        <f t="shared" si="14"/>
        <v>August</v>
      </c>
      <c r="E947" t="s">
        <v>39</v>
      </c>
      <c r="F947" t="s">
        <v>25</v>
      </c>
      <c r="G947" t="s">
        <v>81</v>
      </c>
      <c r="H947" t="s">
        <v>19</v>
      </c>
      <c r="I947" t="s">
        <v>20</v>
      </c>
      <c r="J947" t="s">
        <v>21</v>
      </c>
      <c r="K947">
        <v>5</v>
      </c>
      <c r="L947">
        <v>2383.27</v>
      </c>
      <c r="M947">
        <v>15</v>
      </c>
      <c r="N947">
        <v>10128.91</v>
      </c>
      <c r="O947" t="s">
        <v>47</v>
      </c>
    </row>
    <row r="948" spans="1:15" x14ac:dyDescent="0.3">
      <c r="A948" t="s">
        <v>1016</v>
      </c>
      <c r="B948" s="2">
        <v>46238</v>
      </c>
      <c r="C948" t="s">
        <v>38</v>
      </c>
      <c r="D948" t="str">
        <f t="shared" si="14"/>
        <v>August</v>
      </c>
      <c r="E948" t="s">
        <v>72</v>
      </c>
      <c r="F948" t="s">
        <v>60</v>
      </c>
      <c r="G948" t="s">
        <v>73</v>
      </c>
      <c r="H948" t="s">
        <v>19</v>
      </c>
      <c r="I948" t="s">
        <v>42</v>
      </c>
      <c r="J948" t="s">
        <v>46</v>
      </c>
      <c r="K948">
        <v>2</v>
      </c>
      <c r="L948">
        <v>51789.03</v>
      </c>
      <c r="M948">
        <v>5</v>
      </c>
      <c r="N948">
        <v>98399.17</v>
      </c>
      <c r="O948" t="s">
        <v>47</v>
      </c>
    </row>
    <row r="949" spans="1:15" x14ac:dyDescent="0.3">
      <c r="A949" t="s">
        <v>1017</v>
      </c>
      <c r="B949" s="2">
        <v>46239</v>
      </c>
      <c r="C949" t="s">
        <v>58</v>
      </c>
      <c r="D949" t="str">
        <f t="shared" si="14"/>
        <v>August</v>
      </c>
      <c r="E949" t="s">
        <v>39</v>
      </c>
      <c r="F949" t="s">
        <v>25</v>
      </c>
      <c r="G949" t="s">
        <v>81</v>
      </c>
      <c r="H949" t="s">
        <v>33</v>
      </c>
      <c r="I949" t="s">
        <v>34</v>
      </c>
      <c r="J949" t="s">
        <v>35</v>
      </c>
      <c r="K949">
        <v>2</v>
      </c>
      <c r="L949">
        <v>2702.74</v>
      </c>
      <c r="M949">
        <v>5</v>
      </c>
      <c r="N949">
        <v>5135.2</v>
      </c>
      <c r="O949" t="s">
        <v>47</v>
      </c>
    </row>
    <row r="950" spans="1:15" x14ac:dyDescent="0.3">
      <c r="A950" t="s">
        <v>1018</v>
      </c>
      <c r="B950" s="2">
        <v>46240</v>
      </c>
      <c r="C950" t="s">
        <v>38</v>
      </c>
      <c r="D950" t="str">
        <f t="shared" si="14"/>
        <v>August</v>
      </c>
      <c r="E950" t="s">
        <v>32</v>
      </c>
      <c r="F950" t="s">
        <v>60</v>
      </c>
      <c r="G950" t="s">
        <v>78</v>
      </c>
      <c r="H950" t="s">
        <v>27</v>
      </c>
      <c r="I950" t="s">
        <v>42</v>
      </c>
      <c r="J950" t="s">
        <v>35</v>
      </c>
      <c r="K950">
        <v>2</v>
      </c>
      <c r="L950">
        <v>41330.9</v>
      </c>
      <c r="M950">
        <v>5</v>
      </c>
      <c r="N950">
        <v>78528.7</v>
      </c>
      <c r="O950" t="s">
        <v>36</v>
      </c>
    </row>
    <row r="951" spans="1:15" x14ac:dyDescent="0.3">
      <c r="A951" t="s">
        <v>1019</v>
      </c>
      <c r="B951" s="2">
        <v>46241</v>
      </c>
      <c r="C951" t="s">
        <v>49</v>
      </c>
      <c r="D951" t="str">
        <f t="shared" si="14"/>
        <v>August</v>
      </c>
      <c r="E951" t="s">
        <v>39</v>
      </c>
      <c r="F951" t="s">
        <v>17</v>
      </c>
      <c r="G951" t="s">
        <v>63</v>
      </c>
      <c r="H951" t="s">
        <v>19</v>
      </c>
      <c r="I951" t="s">
        <v>20</v>
      </c>
      <c r="J951" t="s">
        <v>43</v>
      </c>
      <c r="K951">
        <v>2</v>
      </c>
      <c r="L951">
        <v>47206.46</v>
      </c>
      <c r="M951">
        <v>0</v>
      </c>
      <c r="N951">
        <v>94412.92</v>
      </c>
      <c r="O951" t="s">
        <v>47</v>
      </c>
    </row>
    <row r="952" spans="1:15" x14ac:dyDescent="0.3">
      <c r="A952" t="s">
        <v>1020</v>
      </c>
      <c r="B952" s="2">
        <v>46242</v>
      </c>
      <c r="C952" t="s">
        <v>58</v>
      </c>
      <c r="D952" t="str">
        <f t="shared" si="14"/>
        <v>August</v>
      </c>
      <c r="E952" t="s">
        <v>16</v>
      </c>
      <c r="F952" t="s">
        <v>60</v>
      </c>
      <c r="G952" t="s">
        <v>70</v>
      </c>
      <c r="H952" t="s">
        <v>33</v>
      </c>
      <c r="I952" t="s">
        <v>42</v>
      </c>
      <c r="J952" t="s">
        <v>43</v>
      </c>
      <c r="K952">
        <v>1</v>
      </c>
      <c r="L952">
        <v>37346.47</v>
      </c>
      <c r="M952">
        <v>20</v>
      </c>
      <c r="N952">
        <v>29877.18</v>
      </c>
      <c r="O952" t="s">
        <v>29</v>
      </c>
    </row>
    <row r="953" spans="1:15" x14ac:dyDescent="0.3">
      <c r="A953" t="s">
        <v>1021</v>
      </c>
      <c r="B953" s="2">
        <v>46243</v>
      </c>
      <c r="C953" t="s">
        <v>38</v>
      </c>
      <c r="D953" t="str">
        <f t="shared" si="14"/>
        <v>August</v>
      </c>
      <c r="E953" t="s">
        <v>50</v>
      </c>
      <c r="F953" t="s">
        <v>60</v>
      </c>
      <c r="G953" t="s">
        <v>61</v>
      </c>
      <c r="H953" t="s">
        <v>33</v>
      </c>
      <c r="I953" t="s">
        <v>34</v>
      </c>
      <c r="J953" t="s">
        <v>46</v>
      </c>
      <c r="K953">
        <v>2</v>
      </c>
      <c r="L953">
        <v>43895.22</v>
      </c>
      <c r="M953">
        <v>0</v>
      </c>
      <c r="N953">
        <v>87790.44</v>
      </c>
      <c r="O953" t="s">
        <v>47</v>
      </c>
    </row>
    <row r="954" spans="1:15" x14ac:dyDescent="0.3">
      <c r="A954" t="s">
        <v>1022</v>
      </c>
      <c r="B954" s="2">
        <v>46244</v>
      </c>
      <c r="C954" t="s">
        <v>15</v>
      </c>
      <c r="D954" t="str">
        <f t="shared" si="14"/>
        <v>August</v>
      </c>
      <c r="E954" t="s">
        <v>32</v>
      </c>
      <c r="F954" t="s">
        <v>60</v>
      </c>
      <c r="G954" t="s">
        <v>61</v>
      </c>
      <c r="H954" t="s">
        <v>19</v>
      </c>
      <c r="I954" t="s">
        <v>42</v>
      </c>
      <c r="J954" t="s">
        <v>35</v>
      </c>
      <c r="K954">
        <v>5</v>
      </c>
      <c r="L954">
        <v>37999.160000000003</v>
      </c>
      <c r="M954">
        <v>5</v>
      </c>
      <c r="N954">
        <v>180496</v>
      </c>
      <c r="O954" t="s">
        <v>47</v>
      </c>
    </row>
    <row r="955" spans="1:15" x14ac:dyDescent="0.3">
      <c r="A955" t="s">
        <v>1023</v>
      </c>
      <c r="B955" s="2">
        <v>46245</v>
      </c>
      <c r="C955" t="s">
        <v>31</v>
      </c>
      <c r="D955" t="str">
        <f t="shared" si="14"/>
        <v>August</v>
      </c>
      <c r="E955" t="s">
        <v>32</v>
      </c>
      <c r="F955" t="s">
        <v>53</v>
      </c>
      <c r="G955" t="s">
        <v>65</v>
      </c>
      <c r="H955" t="s">
        <v>33</v>
      </c>
      <c r="I955" t="s">
        <v>34</v>
      </c>
      <c r="J955" t="s">
        <v>35</v>
      </c>
      <c r="K955">
        <v>3</v>
      </c>
      <c r="L955">
        <v>35050.410000000003</v>
      </c>
      <c r="M955">
        <v>10</v>
      </c>
      <c r="N955">
        <v>94636.11</v>
      </c>
      <c r="O955" t="s">
        <v>47</v>
      </c>
    </row>
    <row r="956" spans="1:15" x14ac:dyDescent="0.3">
      <c r="A956" t="s">
        <v>1024</v>
      </c>
      <c r="B956" s="2">
        <v>46246</v>
      </c>
      <c r="C956" t="s">
        <v>49</v>
      </c>
      <c r="D956" t="str">
        <f t="shared" si="14"/>
        <v>August</v>
      </c>
      <c r="E956" t="s">
        <v>50</v>
      </c>
      <c r="F956" t="s">
        <v>25</v>
      </c>
      <c r="G956" t="s">
        <v>81</v>
      </c>
      <c r="H956" t="s">
        <v>33</v>
      </c>
      <c r="I956" t="s">
        <v>34</v>
      </c>
      <c r="J956" t="s">
        <v>46</v>
      </c>
      <c r="K956">
        <v>2</v>
      </c>
      <c r="L956">
        <v>2505.9299999999998</v>
      </c>
      <c r="M956">
        <v>10</v>
      </c>
      <c r="N956">
        <v>4510.67</v>
      </c>
      <c r="O956" t="s">
        <v>36</v>
      </c>
    </row>
    <row r="957" spans="1:15" x14ac:dyDescent="0.3">
      <c r="A957" t="s">
        <v>1025</v>
      </c>
      <c r="B957" s="2">
        <v>46247</v>
      </c>
      <c r="C957" t="s">
        <v>49</v>
      </c>
      <c r="D957" t="str">
        <f t="shared" si="14"/>
        <v>August</v>
      </c>
      <c r="E957" t="s">
        <v>72</v>
      </c>
      <c r="F957" t="s">
        <v>25</v>
      </c>
      <c r="G957" t="s">
        <v>81</v>
      </c>
      <c r="H957" t="s">
        <v>33</v>
      </c>
      <c r="I957" t="s">
        <v>42</v>
      </c>
      <c r="J957" t="s">
        <v>21</v>
      </c>
      <c r="K957">
        <v>5</v>
      </c>
      <c r="L957">
        <v>2774.77</v>
      </c>
      <c r="M957">
        <v>10</v>
      </c>
      <c r="N957">
        <v>12486.48</v>
      </c>
      <c r="O957" t="s">
        <v>36</v>
      </c>
    </row>
    <row r="958" spans="1:15" x14ac:dyDescent="0.3">
      <c r="A958" t="s">
        <v>1026</v>
      </c>
      <c r="B958" s="2">
        <v>46248</v>
      </c>
      <c r="C958" t="s">
        <v>38</v>
      </c>
      <c r="D958" t="str">
        <f t="shared" si="14"/>
        <v>August</v>
      </c>
      <c r="E958" t="s">
        <v>50</v>
      </c>
      <c r="F958" t="s">
        <v>40</v>
      </c>
      <c r="G958" t="s">
        <v>118</v>
      </c>
      <c r="H958" t="s">
        <v>33</v>
      </c>
      <c r="I958" t="s">
        <v>34</v>
      </c>
      <c r="J958" t="s">
        <v>35</v>
      </c>
      <c r="K958">
        <v>4</v>
      </c>
      <c r="L958">
        <v>5839.13</v>
      </c>
      <c r="M958">
        <v>5</v>
      </c>
      <c r="N958">
        <v>22188.69</v>
      </c>
      <c r="O958" t="s">
        <v>47</v>
      </c>
    </row>
    <row r="959" spans="1:15" x14ac:dyDescent="0.3">
      <c r="A959" t="s">
        <v>1027</v>
      </c>
      <c r="B959" s="2">
        <v>46249</v>
      </c>
      <c r="C959" t="s">
        <v>38</v>
      </c>
      <c r="D959" t="str">
        <f t="shared" si="14"/>
        <v>August</v>
      </c>
      <c r="E959" t="s">
        <v>100</v>
      </c>
      <c r="F959" t="s">
        <v>53</v>
      </c>
      <c r="G959" t="s">
        <v>129</v>
      </c>
      <c r="H959" t="s">
        <v>27</v>
      </c>
      <c r="I959" t="s">
        <v>20</v>
      </c>
      <c r="J959" t="s">
        <v>43</v>
      </c>
      <c r="K959">
        <v>5</v>
      </c>
      <c r="L959">
        <v>36361.25</v>
      </c>
      <c r="M959">
        <v>20</v>
      </c>
      <c r="N959">
        <v>145444.98000000001</v>
      </c>
      <c r="O959" t="s">
        <v>22</v>
      </c>
    </row>
    <row r="960" spans="1:15" x14ac:dyDescent="0.3">
      <c r="A960" t="s">
        <v>1028</v>
      </c>
      <c r="B960" s="2">
        <v>46250</v>
      </c>
      <c r="C960" t="s">
        <v>15</v>
      </c>
      <c r="D960" t="str">
        <f t="shared" si="14"/>
        <v>August</v>
      </c>
      <c r="E960" t="s">
        <v>24</v>
      </c>
      <c r="F960" t="s">
        <v>60</v>
      </c>
      <c r="G960" t="s">
        <v>61</v>
      </c>
      <c r="H960" t="s">
        <v>33</v>
      </c>
      <c r="I960" t="s">
        <v>34</v>
      </c>
      <c r="J960" t="s">
        <v>28</v>
      </c>
      <c r="K960">
        <v>4</v>
      </c>
      <c r="L960">
        <v>44138.39</v>
      </c>
      <c r="M960">
        <v>5</v>
      </c>
      <c r="N960">
        <v>167725.88</v>
      </c>
      <c r="O960" t="s">
        <v>22</v>
      </c>
    </row>
    <row r="961" spans="1:15" x14ac:dyDescent="0.3">
      <c r="A961" t="s">
        <v>1029</v>
      </c>
      <c r="B961" s="2">
        <v>46251</v>
      </c>
      <c r="C961" t="s">
        <v>15</v>
      </c>
      <c r="D961" t="str">
        <f t="shared" si="14"/>
        <v>August</v>
      </c>
      <c r="E961" t="s">
        <v>100</v>
      </c>
      <c r="F961" t="s">
        <v>60</v>
      </c>
      <c r="G961" t="s">
        <v>78</v>
      </c>
      <c r="H961" t="s">
        <v>27</v>
      </c>
      <c r="I961" t="s">
        <v>34</v>
      </c>
      <c r="J961" t="s">
        <v>21</v>
      </c>
      <c r="K961">
        <v>4</v>
      </c>
      <c r="L961">
        <v>42747.86</v>
      </c>
      <c r="M961">
        <v>15</v>
      </c>
      <c r="N961">
        <v>145342.73000000001</v>
      </c>
      <c r="O961" t="s">
        <v>22</v>
      </c>
    </row>
    <row r="962" spans="1:15" x14ac:dyDescent="0.3">
      <c r="A962" t="s">
        <v>1030</v>
      </c>
      <c r="B962" s="2">
        <v>46252</v>
      </c>
      <c r="C962" t="s">
        <v>58</v>
      </c>
      <c r="D962" t="str">
        <f t="shared" si="14"/>
        <v>August</v>
      </c>
      <c r="E962" t="s">
        <v>39</v>
      </c>
      <c r="F962" t="s">
        <v>60</v>
      </c>
      <c r="G962" t="s">
        <v>73</v>
      </c>
      <c r="H962" t="s">
        <v>19</v>
      </c>
      <c r="I962" t="s">
        <v>42</v>
      </c>
      <c r="J962" t="s">
        <v>43</v>
      </c>
      <c r="K962">
        <v>3</v>
      </c>
      <c r="L962">
        <v>34608.49</v>
      </c>
      <c r="M962">
        <v>0</v>
      </c>
      <c r="N962">
        <v>103825.46</v>
      </c>
      <c r="O962" t="s">
        <v>22</v>
      </c>
    </row>
    <row r="963" spans="1:15" x14ac:dyDescent="0.3">
      <c r="A963" t="s">
        <v>1031</v>
      </c>
      <c r="B963" s="2">
        <v>46253</v>
      </c>
      <c r="C963" t="s">
        <v>15</v>
      </c>
      <c r="D963" t="str">
        <f t="shared" ref="D963:D1026" si="15">TEXT(B963,"mmmm")</f>
        <v>August</v>
      </c>
      <c r="E963" t="s">
        <v>24</v>
      </c>
      <c r="F963" t="s">
        <v>25</v>
      </c>
      <c r="G963" t="s">
        <v>92</v>
      </c>
      <c r="H963" t="s">
        <v>45</v>
      </c>
      <c r="I963" t="s">
        <v>42</v>
      </c>
      <c r="J963" t="s">
        <v>21</v>
      </c>
      <c r="K963">
        <v>1</v>
      </c>
      <c r="L963">
        <v>3108.24</v>
      </c>
      <c r="M963">
        <v>0</v>
      </c>
      <c r="N963">
        <v>3108.24</v>
      </c>
      <c r="O963" t="s">
        <v>47</v>
      </c>
    </row>
    <row r="964" spans="1:15" x14ac:dyDescent="0.3">
      <c r="A964" t="s">
        <v>1032</v>
      </c>
      <c r="B964" s="2">
        <v>46254</v>
      </c>
      <c r="C964" t="s">
        <v>58</v>
      </c>
      <c r="D964" t="str">
        <f t="shared" si="15"/>
        <v>August</v>
      </c>
      <c r="E964" t="s">
        <v>32</v>
      </c>
      <c r="F964" t="s">
        <v>25</v>
      </c>
      <c r="G964" t="s">
        <v>92</v>
      </c>
      <c r="H964" t="s">
        <v>19</v>
      </c>
      <c r="I964" t="s">
        <v>42</v>
      </c>
      <c r="J964" t="s">
        <v>46</v>
      </c>
      <c r="K964">
        <v>1</v>
      </c>
      <c r="L964">
        <v>2791.01</v>
      </c>
      <c r="M964">
        <v>10</v>
      </c>
      <c r="N964">
        <v>2511.91</v>
      </c>
      <c r="O964" t="s">
        <v>36</v>
      </c>
    </row>
    <row r="965" spans="1:15" x14ac:dyDescent="0.3">
      <c r="A965" t="s">
        <v>1033</v>
      </c>
      <c r="B965" s="2">
        <v>46255</v>
      </c>
      <c r="C965" t="s">
        <v>38</v>
      </c>
      <c r="D965" t="str">
        <f t="shared" si="15"/>
        <v>August</v>
      </c>
      <c r="E965" t="s">
        <v>69</v>
      </c>
      <c r="F965" t="s">
        <v>53</v>
      </c>
      <c r="G965" t="s">
        <v>54</v>
      </c>
      <c r="H965" t="s">
        <v>27</v>
      </c>
      <c r="I965" t="s">
        <v>34</v>
      </c>
      <c r="J965" t="s">
        <v>28</v>
      </c>
      <c r="K965">
        <v>1</v>
      </c>
      <c r="L965">
        <v>24196.58</v>
      </c>
      <c r="M965">
        <v>0</v>
      </c>
      <c r="N965">
        <v>24196.58</v>
      </c>
      <c r="O965" t="s">
        <v>36</v>
      </c>
    </row>
    <row r="966" spans="1:15" x14ac:dyDescent="0.3">
      <c r="A966" t="s">
        <v>1034</v>
      </c>
      <c r="B966" s="2">
        <v>46256</v>
      </c>
      <c r="C966" t="s">
        <v>58</v>
      </c>
      <c r="D966" t="str">
        <f t="shared" si="15"/>
        <v>August</v>
      </c>
      <c r="E966" t="s">
        <v>52</v>
      </c>
      <c r="F966" t="s">
        <v>40</v>
      </c>
      <c r="G966" t="s">
        <v>118</v>
      </c>
      <c r="H966" t="s">
        <v>27</v>
      </c>
      <c r="I966" t="s">
        <v>20</v>
      </c>
      <c r="J966" t="s">
        <v>28</v>
      </c>
      <c r="K966">
        <v>3</v>
      </c>
      <c r="L966">
        <v>7353.03</v>
      </c>
      <c r="M966">
        <v>15</v>
      </c>
      <c r="N966">
        <v>18750.240000000002</v>
      </c>
      <c r="O966" t="s">
        <v>47</v>
      </c>
    </row>
    <row r="967" spans="1:15" x14ac:dyDescent="0.3">
      <c r="A967" t="s">
        <v>1035</v>
      </c>
      <c r="B967" s="2">
        <v>46257</v>
      </c>
      <c r="C967" t="s">
        <v>31</v>
      </c>
      <c r="D967" t="str">
        <f t="shared" si="15"/>
        <v>August</v>
      </c>
      <c r="E967" t="s">
        <v>16</v>
      </c>
      <c r="F967" t="s">
        <v>17</v>
      </c>
      <c r="G967" t="s">
        <v>123</v>
      </c>
      <c r="H967" t="s">
        <v>45</v>
      </c>
      <c r="I967" t="s">
        <v>20</v>
      </c>
      <c r="J967" t="s">
        <v>43</v>
      </c>
      <c r="K967">
        <v>3</v>
      </c>
      <c r="L967">
        <v>62004.84</v>
      </c>
      <c r="M967">
        <v>0</v>
      </c>
      <c r="N967">
        <v>186014.51</v>
      </c>
      <c r="O967" t="s">
        <v>47</v>
      </c>
    </row>
    <row r="968" spans="1:15" x14ac:dyDescent="0.3">
      <c r="A968" t="s">
        <v>1036</v>
      </c>
      <c r="B968" s="2">
        <v>46258</v>
      </c>
      <c r="C968" t="s">
        <v>58</v>
      </c>
      <c r="D968" t="str">
        <f t="shared" si="15"/>
        <v>August</v>
      </c>
      <c r="E968" t="s">
        <v>52</v>
      </c>
      <c r="F968" t="s">
        <v>17</v>
      </c>
      <c r="G968" t="s">
        <v>63</v>
      </c>
      <c r="H968" t="s">
        <v>19</v>
      </c>
      <c r="I968" t="s">
        <v>20</v>
      </c>
      <c r="J968" t="s">
        <v>21</v>
      </c>
      <c r="K968">
        <v>1</v>
      </c>
      <c r="L968">
        <v>47574.62</v>
      </c>
      <c r="M968">
        <v>20</v>
      </c>
      <c r="N968">
        <v>38059.699999999997</v>
      </c>
      <c r="O968" t="s">
        <v>36</v>
      </c>
    </row>
    <row r="969" spans="1:15" x14ac:dyDescent="0.3">
      <c r="A969" t="s">
        <v>1037</v>
      </c>
      <c r="B969" s="2">
        <v>46259</v>
      </c>
      <c r="C969" t="s">
        <v>58</v>
      </c>
      <c r="D969" t="str">
        <f t="shared" si="15"/>
        <v>August</v>
      </c>
      <c r="E969" t="s">
        <v>16</v>
      </c>
      <c r="F969" t="s">
        <v>17</v>
      </c>
      <c r="G969" t="s">
        <v>18</v>
      </c>
      <c r="H969" t="s">
        <v>33</v>
      </c>
      <c r="I969" t="s">
        <v>34</v>
      </c>
      <c r="J969" t="s">
        <v>35</v>
      </c>
      <c r="K969">
        <v>2</v>
      </c>
      <c r="L969">
        <v>54349.07</v>
      </c>
      <c r="M969">
        <v>10</v>
      </c>
      <c r="N969">
        <v>97828.33</v>
      </c>
      <c r="O969" t="s">
        <v>22</v>
      </c>
    </row>
    <row r="970" spans="1:15" x14ac:dyDescent="0.3">
      <c r="A970" t="s">
        <v>1038</v>
      </c>
      <c r="B970" s="2">
        <v>46260</v>
      </c>
      <c r="C970" t="s">
        <v>15</v>
      </c>
      <c r="D970" t="str">
        <f t="shared" si="15"/>
        <v>August</v>
      </c>
      <c r="E970" t="s">
        <v>100</v>
      </c>
      <c r="F970" t="s">
        <v>17</v>
      </c>
      <c r="G970" t="s">
        <v>63</v>
      </c>
      <c r="H970" t="s">
        <v>45</v>
      </c>
      <c r="I970" t="s">
        <v>20</v>
      </c>
      <c r="J970" t="s">
        <v>21</v>
      </c>
      <c r="K970">
        <v>2</v>
      </c>
      <c r="L970">
        <v>54286.37</v>
      </c>
      <c r="M970">
        <v>5</v>
      </c>
      <c r="N970">
        <v>103144.11</v>
      </c>
      <c r="O970" t="s">
        <v>47</v>
      </c>
    </row>
    <row r="971" spans="1:15" x14ac:dyDescent="0.3">
      <c r="A971" t="s">
        <v>1039</v>
      </c>
      <c r="B971" s="2">
        <v>46261</v>
      </c>
      <c r="C971" t="s">
        <v>58</v>
      </c>
      <c r="D971" t="str">
        <f t="shared" si="15"/>
        <v>August</v>
      </c>
      <c r="E971" t="s">
        <v>77</v>
      </c>
      <c r="F971" t="s">
        <v>25</v>
      </c>
      <c r="G971" t="s">
        <v>81</v>
      </c>
      <c r="H971" t="s">
        <v>33</v>
      </c>
      <c r="I971" t="s">
        <v>34</v>
      </c>
      <c r="J971" t="s">
        <v>28</v>
      </c>
      <c r="K971">
        <v>3</v>
      </c>
      <c r="L971">
        <v>2048.8200000000002</v>
      </c>
      <c r="M971">
        <v>0</v>
      </c>
      <c r="N971">
        <v>6146.47</v>
      </c>
      <c r="O971" t="s">
        <v>22</v>
      </c>
    </row>
    <row r="972" spans="1:15" x14ac:dyDescent="0.3">
      <c r="A972" t="s">
        <v>1040</v>
      </c>
      <c r="B972" s="2">
        <v>46262</v>
      </c>
      <c r="C972" t="s">
        <v>38</v>
      </c>
      <c r="D972" t="str">
        <f t="shared" si="15"/>
        <v>August</v>
      </c>
      <c r="E972" t="s">
        <v>50</v>
      </c>
      <c r="F972" t="s">
        <v>60</v>
      </c>
      <c r="G972" t="s">
        <v>61</v>
      </c>
      <c r="H972" t="s">
        <v>45</v>
      </c>
      <c r="I972" t="s">
        <v>34</v>
      </c>
      <c r="J972" t="s">
        <v>35</v>
      </c>
      <c r="K972">
        <v>1</v>
      </c>
      <c r="L972">
        <v>32421.99</v>
      </c>
      <c r="M972">
        <v>10</v>
      </c>
      <c r="N972">
        <v>29179.79</v>
      </c>
      <c r="O972" t="s">
        <v>47</v>
      </c>
    </row>
    <row r="973" spans="1:15" x14ac:dyDescent="0.3">
      <c r="A973" t="s">
        <v>1041</v>
      </c>
      <c r="B973" s="2">
        <v>46263</v>
      </c>
      <c r="C973" t="s">
        <v>31</v>
      </c>
      <c r="D973" t="str">
        <f t="shared" si="15"/>
        <v>August</v>
      </c>
      <c r="E973" t="s">
        <v>24</v>
      </c>
      <c r="F973" t="s">
        <v>25</v>
      </c>
      <c r="G973" t="s">
        <v>81</v>
      </c>
      <c r="H973" t="s">
        <v>45</v>
      </c>
      <c r="I973" t="s">
        <v>42</v>
      </c>
      <c r="J973" t="s">
        <v>43</v>
      </c>
      <c r="K973">
        <v>2</v>
      </c>
      <c r="L973">
        <v>2303.25</v>
      </c>
      <c r="M973">
        <v>15</v>
      </c>
      <c r="N973">
        <v>3915.52</v>
      </c>
      <c r="O973" t="s">
        <v>47</v>
      </c>
    </row>
    <row r="974" spans="1:15" x14ac:dyDescent="0.3">
      <c r="A974" t="s">
        <v>1042</v>
      </c>
      <c r="B974" s="2">
        <v>46264</v>
      </c>
      <c r="C974" t="s">
        <v>31</v>
      </c>
      <c r="D974" t="str">
        <f t="shared" si="15"/>
        <v>August</v>
      </c>
      <c r="E974" t="s">
        <v>72</v>
      </c>
      <c r="F974" t="s">
        <v>60</v>
      </c>
      <c r="G974" t="s">
        <v>61</v>
      </c>
      <c r="H974" t="s">
        <v>33</v>
      </c>
      <c r="I974" t="s">
        <v>42</v>
      </c>
      <c r="J974" t="s">
        <v>35</v>
      </c>
      <c r="K974">
        <v>1</v>
      </c>
      <c r="L974">
        <v>43600.03</v>
      </c>
      <c r="M974">
        <v>0</v>
      </c>
      <c r="N974">
        <v>43600.03</v>
      </c>
      <c r="O974" t="s">
        <v>22</v>
      </c>
    </row>
    <row r="975" spans="1:15" x14ac:dyDescent="0.3">
      <c r="A975" t="s">
        <v>1043</v>
      </c>
      <c r="B975" s="2">
        <v>46265</v>
      </c>
      <c r="C975" t="s">
        <v>15</v>
      </c>
      <c r="D975" t="str">
        <f t="shared" si="15"/>
        <v>August</v>
      </c>
      <c r="E975" t="s">
        <v>32</v>
      </c>
      <c r="F975" t="s">
        <v>60</v>
      </c>
      <c r="G975" t="s">
        <v>73</v>
      </c>
      <c r="H975" t="s">
        <v>33</v>
      </c>
      <c r="I975" t="s">
        <v>42</v>
      </c>
      <c r="J975" t="s">
        <v>43</v>
      </c>
      <c r="K975">
        <v>4</v>
      </c>
      <c r="L975">
        <v>34117.230000000003</v>
      </c>
      <c r="M975">
        <v>10</v>
      </c>
      <c r="N975">
        <v>122822.04</v>
      </c>
      <c r="O975" t="s">
        <v>47</v>
      </c>
    </row>
    <row r="976" spans="1:15" x14ac:dyDescent="0.3">
      <c r="A976" t="s">
        <v>1044</v>
      </c>
      <c r="B976" s="2">
        <v>46266</v>
      </c>
      <c r="C976" t="s">
        <v>31</v>
      </c>
      <c r="D976" t="str">
        <f t="shared" si="15"/>
        <v>September</v>
      </c>
      <c r="E976" t="s">
        <v>16</v>
      </c>
      <c r="F976" t="s">
        <v>53</v>
      </c>
      <c r="G976" t="s">
        <v>129</v>
      </c>
      <c r="H976" t="s">
        <v>19</v>
      </c>
      <c r="I976" t="s">
        <v>42</v>
      </c>
      <c r="J976" t="s">
        <v>43</v>
      </c>
      <c r="K976">
        <v>3</v>
      </c>
      <c r="L976">
        <v>35408.5</v>
      </c>
      <c r="M976">
        <v>15</v>
      </c>
      <c r="N976">
        <v>90291.67</v>
      </c>
      <c r="O976" t="s">
        <v>22</v>
      </c>
    </row>
    <row r="977" spans="1:15" x14ac:dyDescent="0.3">
      <c r="A977" t="s">
        <v>1045</v>
      </c>
      <c r="B977" s="2">
        <v>46267</v>
      </c>
      <c r="C977" t="s">
        <v>31</v>
      </c>
      <c r="D977" t="str">
        <f t="shared" si="15"/>
        <v>September</v>
      </c>
      <c r="E977" t="s">
        <v>100</v>
      </c>
      <c r="F977" t="s">
        <v>25</v>
      </c>
      <c r="G977" t="s">
        <v>81</v>
      </c>
      <c r="H977" t="s">
        <v>33</v>
      </c>
      <c r="I977" t="s">
        <v>20</v>
      </c>
      <c r="J977" t="s">
        <v>43</v>
      </c>
      <c r="K977">
        <v>4</v>
      </c>
      <c r="L977">
        <v>2400.5</v>
      </c>
      <c r="M977">
        <v>10</v>
      </c>
      <c r="N977">
        <v>8641.82</v>
      </c>
      <c r="O977" t="s">
        <v>36</v>
      </c>
    </row>
    <row r="978" spans="1:15" x14ac:dyDescent="0.3">
      <c r="A978" t="s">
        <v>1046</v>
      </c>
      <c r="B978" s="2">
        <v>46268</v>
      </c>
      <c r="C978" t="s">
        <v>49</v>
      </c>
      <c r="D978" t="str">
        <f t="shared" si="15"/>
        <v>September</v>
      </c>
      <c r="E978" t="s">
        <v>24</v>
      </c>
      <c r="F978" t="s">
        <v>60</v>
      </c>
      <c r="G978" t="s">
        <v>61</v>
      </c>
      <c r="H978" t="s">
        <v>19</v>
      </c>
      <c r="I978" t="s">
        <v>42</v>
      </c>
      <c r="J978" t="s">
        <v>21</v>
      </c>
      <c r="K978">
        <v>4</v>
      </c>
      <c r="L978">
        <v>46753.96</v>
      </c>
      <c r="M978">
        <v>10</v>
      </c>
      <c r="N978">
        <v>168314.23999999999</v>
      </c>
      <c r="O978" t="s">
        <v>47</v>
      </c>
    </row>
    <row r="979" spans="1:15" x14ac:dyDescent="0.3">
      <c r="A979" t="s">
        <v>1047</v>
      </c>
      <c r="B979" s="2">
        <v>46269</v>
      </c>
      <c r="C979" t="s">
        <v>49</v>
      </c>
      <c r="D979" t="str">
        <f t="shared" si="15"/>
        <v>September</v>
      </c>
      <c r="E979" t="s">
        <v>50</v>
      </c>
      <c r="F979" t="s">
        <v>17</v>
      </c>
      <c r="G979" t="s">
        <v>18</v>
      </c>
      <c r="H979" t="s">
        <v>33</v>
      </c>
      <c r="I979" t="s">
        <v>34</v>
      </c>
      <c r="J979" t="s">
        <v>28</v>
      </c>
      <c r="K979">
        <v>3</v>
      </c>
      <c r="L979">
        <v>72230.990000000005</v>
      </c>
      <c r="M979">
        <v>5</v>
      </c>
      <c r="N979">
        <v>205858.32</v>
      </c>
      <c r="O979" t="s">
        <v>47</v>
      </c>
    </row>
    <row r="980" spans="1:15" x14ac:dyDescent="0.3">
      <c r="A980" t="s">
        <v>1048</v>
      </c>
      <c r="B980" s="2">
        <v>46270</v>
      </c>
      <c r="C980" t="s">
        <v>49</v>
      </c>
      <c r="D980" t="str">
        <f t="shared" si="15"/>
        <v>September</v>
      </c>
      <c r="E980" t="s">
        <v>16</v>
      </c>
      <c r="F980" t="s">
        <v>60</v>
      </c>
      <c r="G980" t="s">
        <v>73</v>
      </c>
      <c r="H980" t="s">
        <v>33</v>
      </c>
      <c r="I980" t="s">
        <v>34</v>
      </c>
      <c r="J980" t="s">
        <v>21</v>
      </c>
      <c r="K980">
        <v>5</v>
      </c>
      <c r="L980">
        <v>48322.33</v>
      </c>
      <c r="M980">
        <v>0</v>
      </c>
      <c r="N980">
        <v>241611.65</v>
      </c>
      <c r="O980" t="s">
        <v>47</v>
      </c>
    </row>
    <row r="981" spans="1:15" x14ac:dyDescent="0.3">
      <c r="A981" t="s">
        <v>1049</v>
      </c>
      <c r="B981" s="2">
        <v>46271</v>
      </c>
      <c r="C981" t="s">
        <v>15</v>
      </c>
      <c r="D981" t="str">
        <f t="shared" si="15"/>
        <v>September</v>
      </c>
      <c r="E981" t="s">
        <v>72</v>
      </c>
      <c r="F981" t="s">
        <v>25</v>
      </c>
      <c r="G981" t="s">
        <v>56</v>
      </c>
      <c r="H981" t="s">
        <v>33</v>
      </c>
      <c r="I981" t="s">
        <v>34</v>
      </c>
      <c r="J981" t="s">
        <v>35</v>
      </c>
      <c r="K981">
        <v>1</v>
      </c>
      <c r="L981">
        <v>2381.54</v>
      </c>
      <c r="M981">
        <v>10</v>
      </c>
      <c r="N981">
        <v>2143.39</v>
      </c>
      <c r="O981" t="s">
        <v>36</v>
      </c>
    </row>
    <row r="982" spans="1:15" x14ac:dyDescent="0.3">
      <c r="A982" t="s">
        <v>1050</v>
      </c>
      <c r="B982" s="2">
        <v>46272</v>
      </c>
      <c r="C982" t="s">
        <v>38</v>
      </c>
      <c r="D982" t="str">
        <f t="shared" si="15"/>
        <v>September</v>
      </c>
      <c r="E982" t="s">
        <v>32</v>
      </c>
      <c r="F982" t="s">
        <v>60</v>
      </c>
      <c r="G982" t="s">
        <v>78</v>
      </c>
      <c r="H982" t="s">
        <v>27</v>
      </c>
      <c r="I982" t="s">
        <v>42</v>
      </c>
      <c r="J982" t="s">
        <v>43</v>
      </c>
      <c r="K982">
        <v>2</v>
      </c>
      <c r="L982">
        <v>46152.38</v>
      </c>
      <c r="M982">
        <v>20</v>
      </c>
      <c r="N982">
        <v>73843.820000000007</v>
      </c>
      <c r="O982" t="s">
        <v>36</v>
      </c>
    </row>
    <row r="983" spans="1:15" x14ac:dyDescent="0.3">
      <c r="A983" t="s">
        <v>1051</v>
      </c>
      <c r="B983" s="2">
        <v>46273</v>
      </c>
      <c r="C983" t="s">
        <v>58</v>
      </c>
      <c r="D983" t="str">
        <f t="shared" si="15"/>
        <v>September</v>
      </c>
      <c r="E983" t="s">
        <v>24</v>
      </c>
      <c r="F983" t="s">
        <v>40</v>
      </c>
      <c r="G983" t="s">
        <v>118</v>
      </c>
      <c r="H983" t="s">
        <v>19</v>
      </c>
      <c r="I983" t="s">
        <v>20</v>
      </c>
      <c r="J983" t="s">
        <v>28</v>
      </c>
      <c r="K983">
        <v>2</v>
      </c>
      <c r="L983">
        <v>7516.02</v>
      </c>
      <c r="M983">
        <v>10</v>
      </c>
      <c r="N983">
        <v>13528.84</v>
      </c>
      <c r="O983" t="s">
        <v>22</v>
      </c>
    </row>
    <row r="984" spans="1:15" x14ac:dyDescent="0.3">
      <c r="A984" t="s">
        <v>1052</v>
      </c>
      <c r="B984" s="2">
        <v>46274</v>
      </c>
      <c r="C984" t="s">
        <v>38</v>
      </c>
      <c r="D984" t="str">
        <f t="shared" si="15"/>
        <v>September</v>
      </c>
      <c r="E984" t="s">
        <v>77</v>
      </c>
      <c r="F984" t="s">
        <v>60</v>
      </c>
      <c r="G984" t="s">
        <v>61</v>
      </c>
      <c r="H984" t="s">
        <v>27</v>
      </c>
      <c r="I984" t="s">
        <v>34</v>
      </c>
      <c r="J984" t="s">
        <v>35</v>
      </c>
      <c r="K984">
        <v>1</v>
      </c>
      <c r="L984">
        <v>47152.07</v>
      </c>
      <c r="M984">
        <v>10</v>
      </c>
      <c r="N984">
        <v>42436.87</v>
      </c>
      <c r="O984" t="s">
        <v>47</v>
      </c>
    </row>
    <row r="985" spans="1:15" x14ac:dyDescent="0.3">
      <c r="A985" t="s">
        <v>1053</v>
      </c>
      <c r="B985" s="2">
        <v>46275</v>
      </c>
      <c r="C985" t="s">
        <v>49</v>
      </c>
      <c r="D985" t="str">
        <f t="shared" si="15"/>
        <v>September</v>
      </c>
      <c r="E985" t="s">
        <v>77</v>
      </c>
      <c r="F985" t="s">
        <v>17</v>
      </c>
      <c r="G985" t="s">
        <v>18</v>
      </c>
      <c r="H985" t="s">
        <v>45</v>
      </c>
      <c r="I985" t="s">
        <v>42</v>
      </c>
      <c r="J985" t="s">
        <v>21</v>
      </c>
      <c r="K985">
        <v>2</v>
      </c>
      <c r="L985">
        <v>48987.4</v>
      </c>
      <c r="M985">
        <v>10</v>
      </c>
      <c r="N985">
        <v>88177.33</v>
      </c>
      <c r="O985" t="s">
        <v>47</v>
      </c>
    </row>
    <row r="986" spans="1:15" x14ac:dyDescent="0.3">
      <c r="A986" t="s">
        <v>1054</v>
      </c>
      <c r="B986" s="2">
        <v>46276</v>
      </c>
      <c r="C986" t="s">
        <v>49</v>
      </c>
      <c r="D986" t="str">
        <f t="shared" si="15"/>
        <v>September</v>
      </c>
      <c r="E986" t="s">
        <v>69</v>
      </c>
      <c r="F986" t="s">
        <v>60</v>
      </c>
      <c r="G986" t="s">
        <v>73</v>
      </c>
      <c r="H986" t="s">
        <v>45</v>
      </c>
      <c r="I986" t="s">
        <v>42</v>
      </c>
      <c r="J986" t="s">
        <v>46</v>
      </c>
      <c r="K986">
        <v>3</v>
      </c>
      <c r="L986">
        <v>38806.58</v>
      </c>
      <c r="M986">
        <v>15</v>
      </c>
      <c r="N986">
        <v>98956.79</v>
      </c>
      <c r="O986" t="s">
        <v>22</v>
      </c>
    </row>
    <row r="987" spans="1:15" x14ac:dyDescent="0.3">
      <c r="A987" t="s">
        <v>1055</v>
      </c>
      <c r="B987" s="2">
        <v>46277</v>
      </c>
      <c r="C987" t="s">
        <v>49</v>
      </c>
      <c r="D987" t="str">
        <f t="shared" si="15"/>
        <v>September</v>
      </c>
      <c r="E987" t="s">
        <v>77</v>
      </c>
      <c r="F987" t="s">
        <v>17</v>
      </c>
      <c r="G987" t="s">
        <v>18</v>
      </c>
      <c r="H987" t="s">
        <v>19</v>
      </c>
      <c r="I987" t="s">
        <v>20</v>
      </c>
      <c r="J987" t="s">
        <v>43</v>
      </c>
      <c r="K987">
        <v>3</v>
      </c>
      <c r="L987">
        <v>47991.19</v>
      </c>
      <c r="M987">
        <v>10</v>
      </c>
      <c r="N987">
        <v>129576.23</v>
      </c>
      <c r="O987" t="s">
        <v>36</v>
      </c>
    </row>
    <row r="988" spans="1:15" x14ac:dyDescent="0.3">
      <c r="A988" t="s">
        <v>1056</v>
      </c>
      <c r="B988" s="2">
        <v>46278</v>
      </c>
      <c r="C988" t="s">
        <v>58</v>
      </c>
      <c r="D988" t="str">
        <f t="shared" si="15"/>
        <v>September</v>
      </c>
      <c r="E988" t="s">
        <v>24</v>
      </c>
      <c r="F988" t="s">
        <v>53</v>
      </c>
      <c r="G988" t="s">
        <v>54</v>
      </c>
      <c r="H988" t="s">
        <v>33</v>
      </c>
      <c r="I988" t="s">
        <v>34</v>
      </c>
      <c r="J988" t="s">
        <v>46</v>
      </c>
      <c r="K988">
        <v>4</v>
      </c>
      <c r="L988">
        <v>37569.68</v>
      </c>
      <c r="M988">
        <v>5</v>
      </c>
      <c r="N988">
        <v>142764.79999999999</v>
      </c>
      <c r="O988" t="s">
        <v>47</v>
      </c>
    </row>
    <row r="989" spans="1:15" x14ac:dyDescent="0.3">
      <c r="A989" t="s">
        <v>1057</v>
      </c>
      <c r="B989" s="2">
        <v>46279</v>
      </c>
      <c r="C989" t="s">
        <v>38</v>
      </c>
      <c r="D989" t="str">
        <f t="shared" si="15"/>
        <v>September</v>
      </c>
      <c r="E989" t="s">
        <v>69</v>
      </c>
      <c r="F989" t="s">
        <v>60</v>
      </c>
      <c r="G989" t="s">
        <v>70</v>
      </c>
      <c r="H989" t="s">
        <v>33</v>
      </c>
      <c r="I989" t="s">
        <v>20</v>
      </c>
      <c r="J989" t="s">
        <v>28</v>
      </c>
      <c r="K989">
        <v>4</v>
      </c>
      <c r="L989">
        <v>49638.28</v>
      </c>
      <c r="M989">
        <v>15</v>
      </c>
      <c r="N989">
        <v>168770.17</v>
      </c>
      <c r="O989" t="s">
        <v>47</v>
      </c>
    </row>
    <row r="990" spans="1:15" x14ac:dyDescent="0.3">
      <c r="A990" t="s">
        <v>1058</v>
      </c>
      <c r="B990" s="2">
        <v>46280</v>
      </c>
      <c r="C990" t="s">
        <v>58</v>
      </c>
      <c r="D990" t="str">
        <f t="shared" si="15"/>
        <v>September</v>
      </c>
      <c r="E990" t="s">
        <v>100</v>
      </c>
      <c r="F990" t="s">
        <v>25</v>
      </c>
      <c r="G990" t="s">
        <v>56</v>
      </c>
      <c r="H990" t="s">
        <v>45</v>
      </c>
      <c r="I990" t="s">
        <v>20</v>
      </c>
      <c r="J990" t="s">
        <v>35</v>
      </c>
      <c r="K990">
        <v>1</v>
      </c>
      <c r="L990">
        <v>2690.7</v>
      </c>
      <c r="M990">
        <v>0</v>
      </c>
      <c r="N990">
        <v>2690.7</v>
      </c>
      <c r="O990" t="s">
        <v>22</v>
      </c>
    </row>
    <row r="991" spans="1:15" x14ac:dyDescent="0.3">
      <c r="A991" t="s">
        <v>1059</v>
      </c>
      <c r="B991" s="2">
        <v>46281</v>
      </c>
      <c r="C991" t="s">
        <v>15</v>
      </c>
      <c r="D991" t="str">
        <f t="shared" si="15"/>
        <v>September</v>
      </c>
      <c r="E991" t="s">
        <v>69</v>
      </c>
      <c r="F991" t="s">
        <v>53</v>
      </c>
      <c r="G991" t="s">
        <v>54</v>
      </c>
      <c r="H991" t="s">
        <v>45</v>
      </c>
      <c r="I991" t="s">
        <v>34</v>
      </c>
      <c r="J991" t="s">
        <v>46</v>
      </c>
      <c r="K991">
        <v>1</v>
      </c>
      <c r="L991">
        <v>30996.37</v>
      </c>
      <c r="M991">
        <v>5</v>
      </c>
      <c r="N991">
        <v>29446.55</v>
      </c>
      <c r="O991" t="s">
        <v>47</v>
      </c>
    </row>
    <row r="992" spans="1:15" x14ac:dyDescent="0.3">
      <c r="A992" t="s">
        <v>1060</v>
      </c>
      <c r="B992" s="2">
        <v>46282</v>
      </c>
      <c r="C992" t="s">
        <v>15</v>
      </c>
      <c r="D992" t="str">
        <f t="shared" si="15"/>
        <v>September</v>
      </c>
      <c r="E992" t="s">
        <v>24</v>
      </c>
      <c r="F992" t="s">
        <v>53</v>
      </c>
      <c r="G992" t="s">
        <v>65</v>
      </c>
      <c r="H992" t="s">
        <v>27</v>
      </c>
      <c r="I992" t="s">
        <v>20</v>
      </c>
      <c r="J992" t="s">
        <v>21</v>
      </c>
      <c r="K992">
        <v>5</v>
      </c>
      <c r="L992">
        <v>34777.71</v>
      </c>
      <c r="M992">
        <v>20</v>
      </c>
      <c r="N992">
        <v>139110.85999999999</v>
      </c>
      <c r="O992" t="s">
        <v>29</v>
      </c>
    </row>
    <row r="993" spans="1:15" x14ac:dyDescent="0.3">
      <c r="A993" t="s">
        <v>1061</v>
      </c>
      <c r="B993" s="2">
        <v>46283</v>
      </c>
      <c r="C993" t="s">
        <v>58</v>
      </c>
      <c r="D993" t="str">
        <f t="shared" si="15"/>
        <v>September</v>
      </c>
      <c r="E993" t="s">
        <v>100</v>
      </c>
      <c r="F993" t="s">
        <v>17</v>
      </c>
      <c r="G993" t="s">
        <v>123</v>
      </c>
      <c r="H993" t="s">
        <v>33</v>
      </c>
      <c r="I993" t="s">
        <v>34</v>
      </c>
      <c r="J993" t="s">
        <v>35</v>
      </c>
      <c r="K993">
        <v>3</v>
      </c>
      <c r="L993">
        <v>43527.34</v>
      </c>
      <c r="M993">
        <v>0</v>
      </c>
      <c r="N993">
        <v>130582.03</v>
      </c>
      <c r="O993" t="s">
        <v>36</v>
      </c>
    </row>
    <row r="994" spans="1:15" x14ac:dyDescent="0.3">
      <c r="A994" t="s">
        <v>1062</v>
      </c>
      <c r="B994" s="2">
        <v>46284</v>
      </c>
      <c r="C994" t="s">
        <v>15</v>
      </c>
      <c r="D994" t="str">
        <f t="shared" si="15"/>
        <v>September</v>
      </c>
      <c r="E994" t="s">
        <v>69</v>
      </c>
      <c r="F994" t="s">
        <v>60</v>
      </c>
      <c r="G994" t="s">
        <v>73</v>
      </c>
      <c r="H994" t="s">
        <v>33</v>
      </c>
      <c r="I994" t="s">
        <v>20</v>
      </c>
      <c r="J994" t="s">
        <v>21</v>
      </c>
      <c r="K994">
        <v>2</v>
      </c>
      <c r="L994">
        <v>34889.410000000003</v>
      </c>
      <c r="M994">
        <v>0</v>
      </c>
      <c r="N994">
        <v>69778.81</v>
      </c>
      <c r="O994" t="s">
        <v>36</v>
      </c>
    </row>
    <row r="995" spans="1:15" x14ac:dyDescent="0.3">
      <c r="A995" t="s">
        <v>1063</v>
      </c>
      <c r="B995" s="2">
        <v>46285</v>
      </c>
      <c r="C995" t="s">
        <v>31</v>
      </c>
      <c r="D995" t="str">
        <f t="shared" si="15"/>
        <v>September</v>
      </c>
      <c r="E995" t="s">
        <v>16</v>
      </c>
      <c r="F995" t="s">
        <v>60</v>
      </c>
      <c r="G995" t="s">
        <v>78</v>
      </c>
      <c r="H995" t="s">
        <v>19</v>
      </c>
      <c r="I995" t="s">
        <v>34</v>
      </c>
      <c r="J995" t="s">
        <v>28</v>
      </c>
      <c r="K995">
        <v>3</v>
      </c>
      <c r="L995">
        <v>31851.95</v>
      </c>
      <c r="M995">
        <v>10</v>
      </c>
      <c r="N995">
        <v>86000.27</v>
      </c>
      <c r="O995" t="s">
        <v>47</v>
      </c>
    </row>
    <row r="996" spans="1:15" x14ac:dyDescent="0.3">
      <c r="A996" t="s">
        <v>1064</v>
      </c>
      <c r="B996" s="2">
        <v>46286</v>
      </c>
      <c r="C996" t="s">
        <v>38</v>
      </c>
      <c r="D996" t="str">
        <f t="shared" si="15"/>
        <v>September</v>
      </c>
      <c r="E996" t="s">
        <v>39</v>
      </c>
      <c r="F996" t="s">
        <v>40</v>
      </c>
      <c r="G996" t="s">
        <v>118</v>
      </c>
      <c r="H996" t="s">
        <v>19</v>
      </c>
      <c r="I996" t="s">
        <v>20</v>
      </c>
      <c r="J996" t="s">
        <v>43</v>
      </c>
      <c r="K996">
        <v>3</v>
      </c>
      <c r="L996">
        <v>5533.21</v>
      </c>
      <c r="M996">
        <v>5</v>
      </c>
      <c r="N996">
        <v>15769.66</v>
      </c>
      <c r="O996" t="s">
        <v>29</v>
      </c>
    </row>
    <row r="997" spans="1:15" x14ac:dyDescent="0.3">
      <c r="A997" t="s">
        <v>1065</v>
      </c>
      <c r="B997" s="2">
        <v>46287</v>
      </c>
      <c r="C997" t="s">
        <v>49</v>
      </c>
      <c r="D997" t="str">
        <f t="shared" si="15"/>
        <v>September</v>
      </c>
      <c r="E997" t="s">
        <v>100</v>
      </c>
      <c r="F997" t="s">
        <v>40</v>
      </c>
      <c r="G997" t="s">
        <v>115</v>
      </c>
      <c r="H997" t="s">
        <v>19</v>
      </c>
      <c r="I997" t="s">
        <v>42</v>
      </c>
      <c r="J997" t="s">
        <v>46</v>
      </c>
      <c r="K997">
        <v>4</v>
      </c>
      <c r="L997">
        <v>5786.59</v>
      </c>
      <c r="M997">
        <v>15</v>
      </c>
      <c r="N997">
        <v>19674.400000000001</v>
      </c>
      <c r="O997" t="s">
        <v>47</v>
      </c>
    </row>
    <row r="998" spans="1:15" x14ac:dyDescent="0.3">
      <c r="A998" t="s">
        <v>1066</v>
      </c>
      <c r="B998" s="2">
        <v>46288</v>
      </c>
      <c r="C998" t="s">
        <v>49</v>
      </c>
      <c r="D998" t="str">
        <f t="shared" si="15"/>
        <v>September</v>
      </c>
      <c r="E998" t="s">
        <v>100</v>
      </c>
      <c r="F998" t="s">
        <v>17</v>
      </c>
      <c r="G998" t="s">
        <v>63</v>
      </c>
      <c r="H998" t="s">
        <v>33</v>
      </c>
      <c r="I998" t="s">
        <v>20</v>
      </c>
      <c r="J998" t="s">
        <v>21</v>
      </c>
      <c r="K998">
        <v>5</v>
      </c>
      <c r="L998">
        <v>68965.03</v>
      </c>
      <c r="M998">
        <v>5</v>
      </c>
      <c r="N998">
        <v>327583.88</v>
      </c>
      <c r="O998" t="s">
        <v>36</v>
      </c>
    </row>
    <row r="999" spans="1:15" x14ac:dyDescent="0.3">
      <c r="A999" t="s">
        <v>1067</v>
      </c>
      <c r="B999" s="2">
        <v>46289</v>
      </c>
      <c r="C999" t="s">
        <v>49</v>
      </c>
      <c r="D999" t="str">
        <f t="shared" si="15"/>
        <v>September</v>
      </c>
      <c r="E999" t="s">
        <v>24</v>
      </c>
      <c r="F999" t="s">
        <v>60</v>
      </c>
      <c r="G999" t="s">
        <v>73</v>
      </c>
      <c r="H999" t="s">
        <v>33</v>
      </c>
      <c r="I999" t="s">
        <v>20</v>
      </c>
      <c r="J999" t="s">
        <v>46</v>
      </c>
      <c r="K999">
        <v>5</v>
      </c>
      <c r="L999">
        <v>39760.11</v>
      </c>
      <c r="M999">
        <v>0</v>
      </c>
      <c r="N999">
        <v>198800.53</v>
      </c>
      <c r="O999" t="s">
        <v>47</v>
      </c>
    </row>
    <row r="1000" spans="1:15" x14ac:dyDescent="0.3">
      <c r="A1000" t="s">
        <v>1068</v>
      </c>
      <c r="B1000" s="2">
        <v>46290</v>
      </c>
      <c r="C1000" t="s">
        <v>38</v>
      </c>
      <c r="D1000" t="str">
        <f t="shared" si="15"/>
        <v>September</v>
      </c>
      <c r="E1000" t="s">
        <v>100</v>
      </c>
      <c r="F1000" t="s">
        <v>60</v>
      </c>
      <c r="G1000" t="s">
        <v>73</v>
      </c>
      <c r="H1000" t="s">
        <v>19</v>
      </c>
      <c r="I1000" t="s">
        <v>34</v>
      </c>
      <c r="J1000" t="s">
        <v>43</v>
      </c>
      <c r="K1000">
        <v>1</v>
      </c>
      <c r="L1000">
        <v>49323.9</v>
      </c>
      <c r="M1000">
        <v>0</v>
      </c>
      <c r="N1000">
        <v>49323.9</v>
      </c>
      <c r="O1000" t="s">
        <v>47</v>
      </c>
    </row>
    <row r="1001" spans="1:15" x14ac:dyDescent="0.3">
      <c r="A1001" t="s">
        <v>1069</v>
      </c>
      <c r="B1001" s="2">
        <v>46291</v>
      </c>
      <c r="C1001" t="s">
        <v>15</v>
      </c>
      <c r="D1001" t="str">
        <f t="shared" si="15"/>
        <v>September</v>
      </c>
      <c r="E1001" t="s">
        <v>100</v>
      </c>
      <c r="F1001" t="s">
        <v>17</v>
      </c>
      <c r="G1001" t="s">
        <v>123</v>
      </c>
      <c r="H1001" t="s">
        <v>45</v>
      </c>
      <c r="I1001" t="s">
        <v>34</v>
      </c>
      <c r="J1001" t="s">
        <v>35</v>
      </c>
      <c r="K1001">
        <v>1</v>
      </c>
      <c r="L1001">
        <v>57779.81</v>
      </c>
      <c r="M1001">
        <v>5</v>
      </c>
      <c r="N1001">
        <v>54890.82</v>
      </c>
      <c r="O1001" t="s">
        <v>47</v>
      </c>
    </row>
    <row r="1002" spans="1:15" x14ac:dyDescent="0.3">
      <c r="A1002" t="s">
        <v>1070</v>
      </c>
      <c r="B1002" s="2">
        <v>46292</v>
      </c>
      <c r="C1002" t="s">
        <v>38</v>
      </c>
      <c r="D1002" t="str">
        <f t="shared" si="15"/>
        <v>September</v>
      </c>
      <c r="E1002" t="s">
        <v>77</v>
      </c>
      <c r="F1002" t="s">
        <v>25</v>
      </c>
      <c r="G1002" t="s">
        <v>92</v>
      </c>
      <c r="H1002" t="s">
        <v>33</v>
      </c>
      <c r="I1002" t="s">
        <v>42</v>
      </c>
      <c r="J1002" t="s">
        <v>28</v>
      </c>
      <c r="K1002">
        <v>2</v>
      </c>
      <c r="L1002">
        <v>2076.66</v>
      </c>
      <c r="M1002">
        <v>5</v>
      </c>
      <c r="N1002">
        <v>3945.66</v>
      </c>
      <c r="O1002" t="s">
        <v>29</v>
      </c>
    </row>
    <row r="1003" spans="1:15" x14ac:dyDescent="0.3">
      <c r="A1003" t="s">
        <v>1071</v>
      </c>
      <c r="B1003" s="2">
        <v>46293</v>
      </c>
      <c r="C1003" t="s">
        <v>58</v>
      </c>
      <c r="D1003" t="str">
        <f t="shared" si="15"/>
        <v>September</v>
      </c>
      <c r="E1003" t="s">
        <v>69</v>
      </c>
      <c r="F1003" t="s">
        <v>53</v>
      </c>
      <c r="G1003" t="s">
        <v>65</v>
      </c>
      <c r="H1003" t="s">
        <v>45</v>
      </c>
      <c r="I1003" t="s">
        <v>20</v>
      </c>
      <c r="J1003" t="s">
        <v>46</v>
      </c>
      <c r="K1003">
        <v>4</v>
      </c>
      <c r="L1003">
        <v>35846.86</v>
      </c>
      <c r="M1003">
        <v>5</v>
      </c>
      <c r="N1003">
        <v>136218.07</v>
      </c>
      <c r="O1003" t="s">
        <v>29</v>
      </c>
    </row>
    <row r="1004" spans="1:15" x14ac:dyDescent="0.3">
      <c r="A1004" t="s">
        <v>1072</v>
      </c>
      <c r="B1004" s="2">
        <v>46294</v>
      </c>
      <c r="C1004" t="s">
        <v>31</v>
      </c>
      <c r="D1004" t="str">
        <f t="shared" si="15"/>
        <v>September</v>
      </c>
      <c r="E1004" t="s">
        <v>52</v>
      </c>
      <c r="F1004" t="s">
        <v>60</v>
      </c>
      <c r="G1004" t="s">
        <v>70</v>
      </c>
      <c r="H1004" t="s">
        <v>45</v>
      </c>
      <c r="I1004" t="s">
        <v>20</v>
      </c>
      <c r="J1004" t="s">
        <v>21</v>
      </c>
      <c r="K1004">
        <v>4</v>
      </c>
      <c r="L1004">
        <v>52312.12</v>
      </c>
      <c r="M1004">
        <v>0</v>
      </c>
      <c r="N1004">
        <v>209248.49</v>
      </c>
      <c r="O1004" t="s">
        <v>47</v>
      </c>
    </row>
    <row r="1005" spans="1:15" x14ac:dyDescent="0.3">
      <c r="A1005" t="s">
        <v>1073</v>
      </c>
      <c r="B1005" s="2">
        <v>46295</v>
      </c>
      <c r="C1005" t="s">
        <v>15</v>
      </c>
      <c r="D1005" t="str">
        <f t="shared" si="15"/>
        <v>September</v>
      </c>
      <c r="E1005" t="s">
        <v>100</v>
      </c>
      <c r="F1005" t="s">
        <v>25</v>
      </c>
      <c r="G1005" t="s">
        <v>26</v>
      </c>
      <c r="H1005" t="s">
        <v>19</v>
      </c>
      <c r="I1005" t="s">
        <v>42</v>
      </c>
      <c r="J1005" t="s">
        <v>28</v>
      </c>
      <c r="K1005">
        <v>4</v>
      </c>
      <c r="L1005">
        <v>1961.07</v>
      </c>
      <c r="M1005">
        <v>15</v>
      </c>
      <c r="N1005">
        <v>6667.64</v>
      </c>
      <c r="O1005" t="s">
        <v>29</v>
      </c>
    </row>
    <row r="1006" spans="1:15" x14ac:dyDescent="0.3">
      <c r="A1006" t="s">
        <v>1074</v>
      </c>
      <c r="B1006" s="2">
        <v>46296</v>
      </c>
      <c r="C1006" t="s">
        <v>31</v>
      </c>
      <c r="D1006" t="str">
        <f t="shared" si="15"/>
        <v>October</v>
      </c>
      <c r="E1006" t="s">
        <v>16</v>
      </c>
      <c r="F1006" t="s">
        <v>60</v>
      </c>
      <c r="G1006" t="s">
        <v>73</v>
      </c>
      <c r="H1006" t="s">
        <v>27</v>
      </c>
      <c r="I1006" t="s">
        <v>20</v>
      </c>
      <c r="J1006" t="s">
        <v>28</v>
      </c>
      <c r="K1006">
        <v>5</v>
      </c>
      <c r="L1006">
        <v>32376.28</v>
      </c>
      <c r="M1006">
        <v>0</v>
      </c>
      <c r="N1006">
        <v>161881.39000000001</v>
      </c>
      <c r="O1006" t="s">
        <v>47</v>
      </c>
    </row>
    <row r="1007" spans="1:15" x14ac:dyDescent="0.3">
      <c r="A1007" t="s">
        <v>1075</v>
      </c>
      <c r="B1007" s="2">
        <v>46297</v>
      </c>
      <c r="C1007" t="s">
        <v>15</v>
      </c>
      <c r="D1007" t="str">
        <f t="shared" si="15"/>
        <v>October</v>
      </c>
      <c r="E1007" t="s">
        <v>77</v>
      </c>
      <c r="F1007" t="s">
        <v>25</v>
      </c>
      <c r="G1007" t="s">
        <v>26</v>
      </c>
      <c r="H1007" t="s">
        <v>33</v>
      </c>
      <c r="I1007" t="s">
        <v>42</v>
      </c>
      <c r="J1007" t="s">
        <v>43</v>
      </c>
      <c r="K1007">
        <v>3</v>
      </c>
      <c r="L1007">
        <v>3008.03</v>
      </c>
      <c r="M1007">
        <v>5</v>
      </c>
      <c r="N1007">
        <v>8572.9</v>
      </c>
      <c r="O1007" t="s">
        <v>47</v>
      </c>
    </row>
    <row r="1008" spans="1:15" x14ac:dyDescent="0.3">
      <c r="A1008" t="s">
        <v>1076</v>
      </c>
      <c r="B1008" s="2">
        <v>46298</v>
      </c>
      <c r="C1008" t="s">
        <v>38</v>
      </c>
      <c r="D1008" t="str">
        <f t="shared" si="15"/>
        <v>October</v>
      </c>
      <c r="E1008" t="s">
        <v>77</v>
      </c>
      <c r="F1008" t="s">
        <v>53</v>
      </c>
      <c r="G1008" t="s">
        <v>129</v>
      </c>
      <c r="H1008" t="s">
        <v>45</v>
      </c>
      <c r="I1008" t="s">
        <v>20</v>
      </c>
      <c r="J1008" t="s">
        <v>43</v>
      </c>
      <c r="K1008">
        <v>1</v>
      </c>
      <c r="L1008">
        <v>35100.99</v>
      </c>
      <c r="M1008">
        <v>5</v>
      </c>
      <c r="N1008">
        <v>33345.94</v>
      </c>
      <c r="O1008" t="s">
        <v>22</v>
      </c>
    </row>
    <row r="1009" spans="1:15" x14ac:dyDescent="0.3">
      <c r="A1009" t="s">
        <v>1077</v>
      </c>
      <c r="B1009" s="2">
        <v>46299</v>
      </c>
      <c r="C1009" t="s">
        <v>31</v>
      </c>
      <c r="D1009" t="str">
        <f t="shared" si="15"/>
        <v>October</v>
      </c>
      <c r="E1009" t="s">
        <v>16</v>
      </c>
      <c r="F1009" t="s">
        <v>53</v>
      </c>
      <c r="G1009" t="s">
        <v>54</v>
      </c>
      <c r="H1009" t="s">
        <v>19</v>
      </c>
      <c r="I1009" t="s">
        <v>42</v>
      </c>
      <c r="J1009" t="s">
        <v>43</v>
      </c>
      <c r="K1009">
        <v>5</v>
      </c>
      <c r="L1009">
        <v>38749.480000000003</v>
      </c>
      <c r="M1009">
        <v>0</v>
      </c>
      <c r="N1009">
        <v>193747.38</v>
      </c>
      <c r="O1009" t="s">
        <v>36</v>
      </c>
    </row>
    <row r="1010" spans="1:15" x14ac:dyDescent="0.3">
      <c r="A1010" t="s">
        <v>1078</v>
      </c>
      <c r="B1010" s="2">
        <v>46300</v>
      </c>
      <c r="C1010" t="s">
        <v>58</v>
      </c>
      <c r="D1010" t="str">
        <f t="shared" si="15"/>
        <v>October</v>
      </c>
      <c r="E1010" t="s">
        <v>52</v>
      </c>
      <c r="F1010" t="s">
        <v>40</v>
      </c>
      <c r="G1010" t="s">
        <v>118</v>
      </c>
      <c r="H1010" t="s">
        <v>27</v>
      </c>
      <c r="I1010" t="s">
        <v>20</v>
      </c>
      <c r="J1010" t="s">
        <v>28</v>
      </c>
      <c r="K1010">
        <v>1</v>
      </c>
      <c r="L1010">
        <v>6024.97</v>
      </c>
      <c r="M1010">
        <v>10</v>
      </c>
      <c r="N1010">
        <v>5422.48</v>
      </c>
      <c r="O1010" t="s">
        <v>47</v>
      </c>
    </row>
    <row r="1011" spans="1:15" x14ac:dyDescent="0.3">
      <c r="A1011" t="s">
        <v>1079</v>
      </c>
      <c r="B1011" s="2">
        <v>46301</v>
      </c>
      <c r="C1011" t="s">
        <v>15</v>
      </c>
      <c r="D1011" t="str">
        <f t="shared" si="15"/>
        <v>October</v>
      </c>
      <c r="E1011" t="s">
        <v>100</v>
      </c>
      <c r="F1011" t="s">
        <v>17</v>
      </c>
      <c r="G1011" t="s">
        <v>63</v>
      </c>
      <c r="H1011" t="s">
        <v>27</v>
      </c>
      <c r="I1011" t="s">
        <v>42</v>
      </c>
      <c r="J1011" t="s">
        <v>43</v>
      </c>
      <c r="K1011">
        <v>2</v>
      </c>
      <c r="L1011">
        <v>54752.71</v>
      </c>
      <c r="M1011">
        <v>5</v>
      </c>
      <c r="N1011">
        <v>104030.15</v>
      </c>
      <c r="O1011" t="s">
        <v>47</v>
      </c>
    </row>
    <row r="1012" spans="1:15" x14ac:dyDescent="0.3">
      <c r="A1012" t="s">
        <v>1080</v>
      </c>
      <c r="B1012" s="2">
        <v>46302</v>
      </c>
      <c r="C1012" t="s">
        <v>49</v>
      </c>
      <c r="D1012" t="str">
        <f t="shared" si="15"/>
        <v>October</v>
      </c>
      <c r="E1012" t="s">
        <v>100</v>
      </c>
      <c r="F1012" t="s">
        <v>40</v>
      </c>
      <c r="G1012" t="s">
        <v>41</v>
      </c>
      <c r="H1012" t="s">
        <v>45</v>
      </c>
      <c r="I1012" t="s">
        <v>42</v>
      </c>
      <c r="J1012" t="s">
        <v>28</v>
      </c>
      <c r="K1012">
        <v>1</v>
      </c>
      <c r="L1012">
        <v>5239.63</v>
      </c>
      <c r="M1012">
        <v>10</v>
      </c>
      <c r="N1012">
        <v>4715.66</v>
      </c>
      <c r="O1012" t="s">
        <v>47</v>
      </c>
    </row>
    <row r="1013" spans="1:15" x14ac:dyDescent="0.3">
      <c r="A1013" t="s">
        <v>1081</v>
      </c>
      <c r="B1013" s="2">
        <v>46303</v>
      </c>
      <c r="C1013" t="s">
        <v>38</v>
      </c>
      <c r="D1013" t="str">
        <f t="shared" si="15"/>
        <v>October</v>
      </c>
      <c r="E1013" t="s">
        <v>32</v>
      </c>
      <c r="F1013" t="s">
        <v>17</v>
      </c>
      <c r="G1013" t="s">
        <v>67</v>
      </c>
      <c r="H1013" t="s">
        <v>45</v>
      </c>
      <c r="I1013" t="s">
        <v>42</v>
      </c>
      <c r="J1013" t="s">
        <v>46</v>
      </c>
      <c r="K1013">
        <v>5</v>
      </c>
      <c r="L1013">
        <v>57203.81</v>
      </c>
      <c r="M1013">
        <v>10</v>
      </c>
      <c r="N1013">
        <v>257417.16</v>
      </c>
      <c r="O1013" t="s">
        <v>47</v>
      </c>
    </row>
    <row r="1014" spans="1:15" x14ac:dyDescent="0.3">
      <c r="A1014" t="s">
        <v>1082</v>
      </c>
      <c r="B1014" s="2">
        <v>46304</v>
      </c>
      <c r="C1014" t="s">
        <v>49</v>
      </c>
      <c r="D1014" t="str">
        <f t="shared" si="15"/>
        <v>October</v>
      </c>
      <c r="E1014" t="s">
        <v>50</v>
      </c>
      <c r="F1014" t="s">
        <v>17</v>
      </c>
      <c r="G1014" t="s">
        <v>123</v>
      </c>
      <c r="H1014" t="s">
        <v>19</v>
      </c>
      <c r="I1014" t="s">
        <v>42</v>
      </c>
      <c r="J1014" t="s">
        <v>46</v>
      </c>
      <c r="K1014">
        <v>1</v>
      </c>
      <c r="L1014">
        <v>58912.480000000003</v>
      </c>
      <c r="M1014">
        <v>5</v>
      </c>
      <c r="N1014">
        <v>55966.85</v>
      </c>
      <c r="O1014" t="s">
        <v>47</v>
      </c>
    </row>
    <row r="1015" spans="1:15" x14ac:dyDescent="0.3">
      <c r="A1015" t="s">
        <v>1083</v>
      </c>
      <c r="B1015" s="2">
        <v>46305</v>
      </c>
      <c r="C1015" t="s">
        <v>49</v>
      </c>
      <c r="D1015" t="str">
        <f t="shared" si="15"/>
        <v>October</v>
      </c>
      <c r="E1015" t="s">
        <v>69</v>
      </c>
      <c r="F1015" t="s">
        <v>40</v>
      </c>
      <c r="G1015" t="s">
        <v>75</v>
      </c>
      <c r="H1015" t="s">
        <v>19</v>
      </c>
      <c r="I1015" t="s">
        <v>42</v>
      </c>
      <c r="J1015" t="s">
        <v>46</v>
      </c>
      <c r="K1015">
        <v>4</v>
      </c>
      <c r="L1015">
        <v>7334.05</v>
      </c>
      <c r="M1015">
        <v>0</v>
      </c>
      <c r="N1015">
        <v>29336.2</v>
      </c>
      <c r="O1015" t="s">
        <v>47</v>
      </c>
    </row>
    <row r="1016" spans="1:15" x14ac:dyDescent="0.3">
      <c r="A1016" t="s">
        <v>1084</v>
      </c>
      <c r="B1016" s="2">
        <v>46306</v>
      </c>
      <c r="C1016" t="s">
        <v>31</v>
      </c>
      <c r="D1016" t="str">
        <f t="shared" si="15"/>
        <v>October</v>
      </c>
      <c r="E1016" t="s">
        <v>16</v>
      </c>
      <c r="F1016" t="s">
        <v>53</v>
      </c>
      <c r="G1016" t="s">
        <v>105</v>
      </c>
      <c r="H1016" t="s">
        <v>19</v>
      </c>
      <c r="I1016" t="s">
        <v>20</v>
      </c>
      <c r="J1016" t="s">
        <v>21</v>
      </c>
      <c r="K1016">
        <v>5</v>
      </c>
      <c r="L1016">
        <v>30111.06</v>
      </c>
      <c r="M1016">
        <v>5</v>
      </c>
      <c r="N1016">
        <v>143027.51</v>
      </c>
      <c r="O1016" t="s">
        <v>47</v>
      </c>
    </row>
    <row r="1017" spans="1:15" x14ac:dyDescent="0.3">
      <c r="A1017" t="s">
        <v>1085</v>
      </c>
      <c r="B1017" s="2">
        <v>46307</v>
      </c>
      <c r="C1017" t="s">
        <v>38</v>
      </c>
      <c r="D1017" t="str">
        <f t="shared" si="15"/>
        <v>October</v>
      </c>
      <c r="E1017" t="s">
        <v>39</v>
      </c>
      <c r="F1017" t="s">
        <v>17</v>
      </c>
      <c r="G1017" t="s">
        <v>123</v>
      </c>
      <c r="H1017" t="s">
        <v>33</v>
      </c>
      <c r="I1017" t="s">
        <v>42</v>
      </c>
      <c r="J1017" t="s">
        <v>28</v>
      </c>
      <c r="K1017">
        <v>5</v>
      </c>
      <c r="L1017">
        <v>50696.56</v>
      </c>
      <c r="M1017">
        <v>5</v>
      </c>
      <c r="N1017">
        <v>240808.64</v>
      </c>
      <c r="O1017" t="s">
        <v>47</v>
      </c>
    </row>
    <row r="1018" spans="1:15" x14ac:dyDescent="0.3">
      <c r="A1018" t="s">
        <v>1086</v>
      </c>
      <c r="B1018" s="2">
        <v>46308</v>
      </c>
      <c r="C1018" t="s">
        <v>15</v>
      </c>
      <c r="D1018" t="str">
        <f t="shared" si="15"/>
        <v>October</v>
      </c>
      <c r="E1018" t="s">
        <v>50</v>
      </c>
      <c r="F1018" t="s">
        <v>40</v>
      </c>
      <c r="G1018" t="s">
        <v>75</v>
      </c>
      <c r="H1018" t="s">
        <v>33</v>
      </c>
      <c r="I1018" t="s">
        <v>34</v>
      </c>
      <c r="J1018" t="s">
        <v>43</v>
      </c>
      <c r="K1018">
        <v>4</v>
      </c>
      <c r="L1018">
        <v>4932.55</v>
      </c>
      <c r="M1018">
        <v>20</v>
      </c>
      <c r="N1018">
        <v>15784.17</v>
      </c>
      <c r="O1018" t="s">
        <v>29</v>
      </c>
    </row>
    <row r="1019" spans="1:15" x14ac:dyDescent="0.3">
      <c r="A1019" t="s">
        <v>1087</v>
      </c>
      <c r="B1019" s="2">
        <v>46309</v>
      </c>
      <c r="C1019" t="s">
        <v>31</v>
      </c>
      <c r="D1019" t="str">
        <f t="shared" si="15"/>
        <v>October</v>
      </c>
      <c r="E1019" t="s">
        <v>24</v>
      </c>
      <c r="F1019" t="s">
        <v>53</v>
      </c>
      <c r="G1019" t="s">
        <v>65</v>
      </c>
      <c r="H1019" t="s">
        <v>45</v>
      </c>
      <c r="I1019" t="s">
        <v>34</v>
      </c>
      <c r="J1019" t="s">
        <v>46</v>
      </c>
      <c r="K1019">
        <v>1</v>
      </c>
      <c r="L1019">
        <v>36430.65</v>
      </c>
      <c r="M1019">
        <v>0</v>
      </c>
      <c r="N1019">
        <v>36430.65</v>
      </c>
      <c r="O1019" t="s">
        <v>36</v>
      </c>
    </row>
    <row r="1020" spans="1:15" x14ac:dyDescent="0.3">
      <c r="A1020" t="s">
        <v>1088</v>
      </c>
      <c r="B1020" s="2">
        <v>46310</v>
      </c>
      <c r="C1020" t="s">
        <v>38</v>
      </c>
      <c r="D1020" t="str">
        <f t="shared" si="15"/>
        <v>October</v>
      </c>
      <c r="E1020" t="s">
        <v>52</v>
      </c>
      <c r="F1020" t="s">
        <v>40</v>
      </c>
      <c r="G1020" t="s">
        <v>115</v>
      </c>
      <c r="H1020" t="s">
        <v>33</v>
      </c>
      <c r="I1020" t="s">
        <v>34</v>
      </c>
      <c r="J1020" t="s">
        <v>43</v>
      </c>
      <c r="K1020">
        <v>4</v>
      </c>
      <c r="L1020">
        <v>6511.07</v>
      </c>
      <c r="M1020">
        <v>5</v>
      </c>
      <c r="N1020">
        <v>24742.07</v>
      </c>
      <c r="O1020" t="s">
        <v>22</v>
      </c>
    </row>
    <row r="1021" spans="1:15" x14ac:dyDescent="0.3">
      <c r="A1021" t="s">
        <v>1089</v>
      </c>
      <c r="B1021" s="2">
        <v>46311</v>
      </c>
      <c r="C1021" t="s">
        <v>49</v>
      </c>
      <c r="D1021" t="str">
        <f t="shared" si="15"/>
        <v>October</v>
      </c>
      <c r="E1021" t="s">
        <v>72</v>
      </c>
      <c r="F1021" t="s">
        <v>53</v>
      </c>
      <c r="G1021" t="s">
        <v>129</v>
      </c>
      <c r="H1021" t="s">
        <v>45</v>
      </c>
      <c r="I1021" t="s">
        <v>34</v>
      </c>
      <c r="J1021" t="s">
        <v>46</v>
      </c>
      <c r="K1021">
        <v>4</v>
      </c>
      <c r="L1021">
        <v>36404.69</v>
      </c>
      <c r="M1021">
        <v>5</v>
      </c>
      <c r="N1021">
        <v>138337.79999999999</v>
      </c>
      <c r="O1021" t="s">
        <v>47</v>
      </c>
    </row>
    <row r="1022" spans="1:15" x14ac:dyDescent="0.3">
      <c r="A1022" t="s">
        <v>1090</v>
      </c>
      <c r="B1022" s="2">
        <v>46312</v>
      </c>
      <c r="C1022" t="s">
        <v>49</v>
      </c>
      <c r="D1022" t="str">
        <f t="shared" si="15"/>
        <v>October</v>
      </c>
      <c r="E1022" t="s">
        <v>50</v>
      </c>
      <c r="F1022" t="s">
        <v>17</v>
      </c>
      <c r="G1022" t="s">
        <v>63</v>
      </c>
      <c r="H1022" t="s">
        <v>33</v>
      </c>
      <c r="I1022" t="s">
        <v>34</v>
      </c>
      <c r="J1022" t="s">
        <v>46</v>
      </c>
      <c r="K1022">
        <v>3</v>
      </c>
      <c r="L1022">
        <v>68831.61</v>
      </c>
      <c r="M1022">
        <v>5</v>
      </c>
      <c r="N1022">
        <v>196170.08</v>
      </c>
      <c r="O1022" t="s">
        <v>36</v>
      </c>
    </row>
    <row r="1023" spans="1:15" x14ac:dyDescent="0.3">
      <c r="A1023" t="s">
        <v>1091</v>
      </c>
      <c r="B1023" s="2">
        <v>46313</v>
      </c>
      <c r="C1023" t="s">
        <v>31</v>
      </c>
      <c r="D1023" t="str">
        <f t="shared" si="15"/>
        <v>October</v>
      </c>
      <c r="E1023" t="s">
        <v>39</v>
      </c>
      <c r="F1023" t="s">
        <v>40</v>
      </c>
      <c r="G1023" t="s">
        <v>75</v>
      </c>
      <c r="H1023" t="s">
        <v>45</v>
      </c>
      <c r="I1023" t="s">
        <v>20</v>
      </c>
      <c r="J1023" t="s">
        <v>46</v>
      </c>
      <c r="K1023">
        <v>2</v>
      </c>
      <c r="L1023">
        <v>7880.04</v>
      </c>
      <c r="M1023">
        <v>10</v>
      </c>
      <c r="N1023">
        <v>14184.08</v>
      </c>
      <c r="O1023" t="s">
        <v>47</v>
      </c>
    </row>
    <row r="1024" spans="1:15" x14ac:dyDescent="0.3">
      <c r="A1024" t="s">
        <v>1092</v>
      </c>
      <c r="B1024" s="2">
        <v>46314</v>
      </c>
      <c r="C1024" t="s">
        <v>15</v>
      </c>
      <c r="D1024" t="str">
        <f t="shared" si="15"/>
        <v>October</v>
      </c>
      <c r="E1024" t="s">
        <v>39</v>
      </c>
      <c r="F1024" t="s">
        <v>25</v>
      </c>
      <c r="G1024" t="s">
        <v>92</v>
      </c>
      <c r="H1024" t="s">
        <v>27</v>
      </c>
      <c r="I1024" t="s">
        <v>20</v>
      </c>
      <c r="J1024" t="s">
        <v>43</v>
      </c>
      <c r="K1024">
        <v>3</v>
      </c>
      <c r="L1024">
        <v>2176.64</v>
      </c>
      <c r="M1024">
        <v>5</v>
      </c>
      <c r="N1024">
        <v>6203.41</v>
      </c>
      <c r="O1024" t="s">
        <v>36</v>
      </c>
    </row>
    <row r="1025" spans="1:15" x14ac:dyDescent="0.3">
      <c r="A1025" t="s">
        <v>1093</v>
      </c>
      <c r="B1025" s="2">
        <v>46315</v>
      </c>
      <c r="C1025" t="s">
        <v>58</v>
      </c>
      <c r="D1025" t="str">
        <f t="shared" si="15"/>
        <v>October</v>
      </c>
      <c r="E1025" t="s">
        <v>52</v>
      </c>
      <c r="F1025" t="s">
        <v>40</v>
      </c>
      <c r="G1025" t="s">
        <v>41</v>
      </c>
      <c r="H1025" t="s">
        <v>45</v>
      </c>
      <c r="I1025" t="s">
        <v>34</v>
      </c>
      <c r="J1025" t="s">
        <v>21</v>
      </c>
      <c r="K1025">
        <v>4</v>
      </c>
      <c r="L1025">
        <v>5316.57</v>
      </c>
      <c r="M1025">
        <v>15</v>
      </c>
      <c r="N1025">
        <v>18076.349999999999</v>
      </c>
      <c r="O1025" t="s">
        <v>22</v>
      </c>
    </row>
    <row r="1026" spans="1:15" x14ac:dyDescent="0.3">
      <c r="A1026" t="s">
        <v>1094</v>
      </c>
      <c r="B1026" s="2">
        <v>46316</v>
      </c>
      <c r="C1026" t="s">
        <v>15</v>
      </c>
      <c r="D1026" t="str">
        <f t="shared" si="15"/>
        <v>October</v>
      </c>
      <c r="E1026" t="s">
        <v>72</v>
      </c>
      <c r="F1026" t="s">
        <v>40</v>
      </c>
      <c r="G1026" t="s">
        <v>118</v>
      </c>
      <c r="H1026" t="s">
        <v>33</v>
      </c>
      <c r="I1026" t="s">
        <v>20</v>
      </c>
      <c r="J1026" t="s">
        <v>35</v>
      </c>
      <c r="K1026">
        <v>4</v>
      </c>
      <c r="L1026">
        <v>8068.94</v>
      </c>
      <c r="M1026">
        <v>5</v>
      </c>
      <c r="N1026">
        <v>30661.97</v>
      </c>
      <c r="O1026" t="s">
        <v>47</v>
      </c>
    </row>
    <row r="1027" spans="1:15" x14ac:dyDescent="0.3">
      <c r="A1027" t="s">
        <v>1095</v>
      </c>
      <c r="B1027" s="2">
        <v>46317</v>
      </c>
      <c r="C1027" t="s">
        <v>49</v>
      </c>
      <c r="D1027" t="str">
        <f t="shared" ref="D1027:D1090" si="16">TEXT(B1027,"mmmm")</f>
        <v>October</v>
      </c>
      <c r="E1027" t="s">
        <v>69</v>
      </c>
      <c r="F1027" t="s">
        <v>60</v>
      </c>
      <c r="G1027" t="s">
        <v>61</v>
      </c>
      <c r="H1027" t="s">
        <v>19</v>
      </c>
      <c r="I1027" t="s">
        <v>20</v>
      </c>
      <c r="J1027" t="s">
        <v>46</v>
      </c>
      <c r="K1027">
        <v>1</v>
      </c>
      <c r="L1027">
        <v>38198.080000000002</v>
      </c>
      <c r="M1027">
        <v>5</v>
      </c>
      <c r="N1027">
        <v>36288.18</v>
      </c>
      <c r="O1027" t="s">
        <v>47</v>
      </c>
    </row>
    <row r="1028" spans="1:15" x14ac:dyDescent="0.3">
      <c r="A1028" t="s">
        <v>1096</v>
      </c>
      <c r="B1028" s="2">
        <v>46318</v>
      </c>
      <c r="C1028" t="s">
        <v>58</v>
      </c>
      <c r="D1028" t="str">
        <f t="shared" si="16"/>
        <v>October</v>
      </c>
      <c r="E1028" t="s">
        <v>100</v>
      </c>
      <c r="F1028" t="s">
        <v>25</v>
      </c>
      <c r="G1028" t="s">
        <v>26</v>
      </c>
      <c r="H1028" t="s">
        <v>27</v>
      </c>
      <c r="I1028" t="s">
        <v>34</v>
      </c>
      <c r="J1028" t="s">
        <v>21</v>
      </c>
      <c r="K1028">
        <v>3</v>
      </c>
      <c r="L1028">
        <v>3090.88</v>
      </c>
      <c r="M1028">
        <v>20</v>
      </c>
      <c r="N1028">
        <v>7418.12</v>
      </c>
      <c r="O1028" t="s">
        <v>36</v>
      </c>
    </row>
    <row r="1029" spans="1:15" x14ac:dyDescent="0.3">
      <c r="A1029" t="s">
        <v>1097</v>
      </c>
      <c r="B1029" s="2">
        <v>46319</v>
      </c>
      <c r="C1029" t="s">
        <v>15</v>
      </c>
      <c r="D1029" t="str">
        <f t="shared" si="16"/>
        <v>October</v>
      </c>
      <c r="E1029" t="s">
        <v>24</v>
      </c>
      <c r="F1029" t="s">
        <v>17</v>
      </c>
      <c r="G1029" t="s">
        <v>63</v>
      </c>
      <c r="H1029" t="s">
        <v>27</v>
      </c>
      <c r="I1029" t="s">
        <v>34</v>
      </c>
      <c r="J1029" t="s">
        <v>46</v>
      </c>
      <c r="K1029">
        <v>2</v>
      </c>
      <c r="L1029">
        <v>43922.73</v>
      </c>
      <c r="M1029">
        <v>10</v>
      </c>
      <c r="N1029">
        <v>79060.91</v>
      </c>
      <c r="O1029" t="s">
        <v>36</v>
      </c>
    </row>
    <row r="1030" spans="1:15" x14ac:dyDescent="0.3">
      <c r="A1030" t="s">
        <v>1098</v>
      </c>
      <c r="B1030" s="2">
        <v>46320</v>
      </c>
      <c r="C1030" t="s">
        <v>15</v>
      </c>
      <c r="D1030" t="str">
        <f t="shared" si="16"/>
        <v>October</v>
      </c>
      <c r="E1030" t="s">
        <v>16</v>
      </c>
      <c r="F1030" t="s">
        <v>53</v>
      </c>
      <c r="G1030" t="s">
        <v>65</v>
      </c>
      <c r="H1030" t="s">
        <v>33</v>
      </c>
      <c r="I1030" t="s">
        <v>42</v>
      </c>
      <c r="J1030" t="s">
        <v>35</v>
      </c>
      <c r="K1030">
        <v>3</v>
      </c>
      <c r="L1030">
        <v>26173.29</v>
      </c>
      <c r="M1030">
        <v>15</v>
      </c>
      <c r="N1030">
        <v>66741.89</v>
      </c>
      <c r="O1030" t="s">
        <v>22</v>
      </c>
    </row>
    <row r="1031" spans="1:15" x14ac:dyDescent="0.3">
      <c r="A1031" t="s">
        <v>1099</v>
      </c>
      <c r="B1031" s="2">
        <v>46321</v>
      </c>
      <c r="C1031" t="s">
        <v>31</v>
      </c>
      <c r="D1031" t="str">
        <f t="shared" si="16"/>
        <v>October</v>
      </c>
      <c r="E1031" t="s">
        <v>39</v>
      </c>
      <c r="F1031" t="s">
        <v>25</v>
      </c>
      <c r="G1031" t="s">
        <v>92</v>
      </c>
      <c r="H1031" t="s">
        <v>19</v>
      </c>
      <c r="I1031" t="s">
        <v>42</v>
      </c>
      <c r="J1031" t="s">
        <v>43</v>
      </c>
      <c r="K1031">
        <v>2</v>
      </c>
      <c r="L1031">
        <v>2761.88</v>
      </c>
      <c r="M1031">
        <v>20</v>
      </c>
      <c r="N1031">
        <v>4419.01</v>
      </c>
      <c r="O1031" t="s">
        <v>36</v>
      </c>
    </row>
    <row r="1032" spans="1:15" x14ac:dyDescent="0.3">
      <c r="A1032" t="s">
        <v>1100</v>
      </c>
      <c r="B1032" s="2">
        <v>46322</v>
      </c>
      <c r="C1032" t="s">
        <v>31</v>
      </c>
      <c r="D1032" t="str">
        <f t="shared" si="16"/>
        <v>October</v>
      </c>
      <c r="E1032" t="s">
        <v>50</v>
      </c>
      <c r="F1032" t="s">
        <v>60</v>
      </c>
      <c r="G1032" t="s">
        <v>78</v>
      </c>
      <c r="H1032" t="s">
        <v>45</v>
      </c>
      <c r="I1032" t="s">
        <v>42</v>
      </c>
      <c r="J1032" t="s">
        <v>46</v>
      </c>
      <c r="K1032">
        <v>5</v>
      </c>
      <c r="L1032">
        <v>34873.78</v>
      </c>
      <c r="M1032">
        <v>5</v>
      </c>
      <c r="N1032">
        <v>165650.47</v>
      </c>
      <c r="O1032" t="s">
        <v>47</v>
      </c>
    </row>
    <row r="1033" spans="1:15" x14ac:dyDescent="0.3">
      <c r="A1033" t="s">
        <v>1101</v>
      </c>
      <c r="B1033" s="2">
        <v>46323</v>
      </c>
      <c r="C1033" t="s">
        <v>49</v>
      </c>
      <c r="D1033" t="str">
        <f t="shared" si="16"/>
        <v>October</v>
      </c>
      <c r="E1033" t="s">
        <v>52</v>
      </c>
      <c r="F1033" t="s">
        <v>25</v>
      </c>
      <c r="G1033" t="s">
        <v>81</v>
      </c>
      <c r="H1033" t="s">
        <v>27</v>
      </c>
      <c r="I1033" t="s">
        <v>34</v>
      </c>
      <c r="J1033" t="s">
        <v>46</v>
      </c>
      <c r="K1033">
        <v>4</v>
      </c>
      <c r="L1033">
        <v>2796.97</v>
      </c>
      <c r="M1033">
        <v>15</v>
      </c>
      <c r="N1033">
        <v>9509.69</v>
      </c>
      <c r="O1033" t="s">
        <v>36</v>
      </c>
    </row>
    <row r="1034" spans="1:15" x14ac:dyDescent="0.3">
      <c r="A1034" t="s">
        <v>1102</v>
      </c>
      <c r="B1034" s="2">
        <v>46324</v>
      </c>
      <c r="C1034" t="s">
        <v>31</v>
      </c>
      <c r="D1034" t="str">
        <f t="shared" si="16"/>
        <v>October</v>
      </c>
      <c r="E1034" t="s">
        <v>50</v>
      </c>
      <c r="F1034" t="s">
        <v>25</v>
      </c>
      <c r="G1034" t="s">
        <v>26</v>
      </c>
      <c r="H1034" t="s">
        <v>33</v>
      </c>
      <c r="I1034" t="s">
        <v>42</v>
      </c>
      <c r="J1034" t="s">
        <v>43</v>
      </c>
      <c r="K1034">
        <v>2</v>
      </c>
      <c r="L1034">
        <v>2007.44</v>
      </c>
      <c r="M1034">
        <v>10</v>
      </c>
      <c r="N1034">
        <v>3613.4</v>
      </c>
      <c r="O1034" t="s">
        <v>22</v>
      </c>
    </row>
    <row r="1035" spans="1:15" x14ac:dyDescent="0.3">
      <c r="A1035" t="s">
        <v>1103</v>
      </c>
      <c r="B1035" s="2">
        <v>46325</v>
      </c>
      <c r="C1035" t="s">
        <v>15</v>
      </c>
      <c r="D1035" t="str">
        <f t="shared" si="16"/>
        <v>October</v>
      </c>
      <c r="E1035" t="s">
        <v>50</v>
      </c>
      <c r="F1035" t="s">
        <v>40</v>
      </c>
      <c r="G1035" t="s">
        <v>118</v>
      </c>
      <c r="H1035" t="s">
        <v>45</v>
      </c>
      <c r="I1035" t="s">
        <v>42</v>
      </c>
      <c r="J1035" t="s">
        <v>43</v>
      </c>
      <c r="K1035">
        <v>2</v>
      </c>
      <c r="L1035">
        <v>7794.36</v>
      </c>
      <c r="M1035">
        <v>15</v>
      </c>
      <c r="N1035">
        <v>13250.41</v>
      </c>
      <c r="O1035" t="s">
        <v>47</v>
      </c>
    </row>
    <row r="1036" spans="1:15" x14ac:dyDescent="0.3">
      <c r="A1036" t="s">
        <v>1104</v>
      </c>
      <c r="B1036" s="2">
        <v>46326</v>
      </c>
      <c r="C1036" t="s">
        <v>15</v>
      </c>
      <c r="D1036" t="str">
        <f t="shared" si="16"/>
        <v>October</v>
      </c>
      <c r="E1036" t="s">
        <v>39</v>
      </c>
      <c r="F1036" t="s">
        <v>40</v>
      </c>
      <c r="G1036" t="s">
        <v>118</v>
      </c>
      <c r="H1036" t="s">
        <v>19</v>
      </c>
      <c r="I1036" t="s">
        <v>20</v>
      </c>
      <c r="J1036" t="s">
        <v>43</v>
      </c>
      <c r="K1036">
        <v>1</v>
      </c>
      <c r="L1036">
        <v>7670.38</v>
      </c>
      <c r="M1036">
        <v>5</v>
      </c>
      <c r="N1036">
        <v>7286.86</v>
      </c>
      <c r="O1036" t="s">
        <v>47</v>
      </c>
    </row>
    <row r="1037" spans="1:15" x14ac:dyDescent="0.3">
      <c r="A1037" t="s">
        <v>1105</v>
      </c>
      <c r="B1037" s="2">
        <v>46327</v>
      </c>
      <c r="C1037" t="s">
        <v>31</v>
      </c>
      <c r="D1037" t="str">
        <f t="shared" si="16"/>
        <v>November</v>
      </c>
      <c r="E1037" t="s">
        <v>24</v>
      </c>
      <c r="F1037" t="s">
        <v>40</v>
      </c>
      <c r="G1037" t="s">
        <v>41</v>
      </c>
      <c r="H1037" t="s">
        <v>27</v>
      </c>
      <c r="I1037" t="s">
        <v>34</v>
      </c>
      <c r="J1037" t="s">
        <v>21</v>
      </c>
      <c r="K1037">
        <v>4</v>
      </c>
      <c r="L1037">
        <v>7442.62</v>
      </c>
      <c r="M1037">
        <v>10</v>
      </c>
      <c r="N1037">
        <v>26793.439999999999</v>
      </c>
      <c r="O1037" t="s">
        <v>36</v>
      </c>
    </row>
    <row r="1038" spans="1:15" x14ac:dyDescent="0.3">
      <c r="A1038" t="s">
        <v>1106</v>
      </c>
      <c r="B1038" s="2">
        <v>46328</v>
      </c>
      <c r="C1038" t="s">
        <v>38</v>
      </c>
      <c r="D1038" t="str">
        <f t="shared" si="16"/>
        <v>November</v>
      </c>
      <c r="E1038" t="s">
        <v>32</v>
      </c>
      <c r="F1038" t="s">
        <v>53</v>
      </c>
      <c r="G1038" t="s">
        <v>65</v>
      </c>
      <c r="H1038" t="s">
        <v>33</v>
      </c>
      <c r="I1038" t="s">
        <v>20</v>
      </c>
      <c r="J1038" t="s">
        <v>28</v>
      </c>
      <c r="K1038">
        <v>3</v>
      </c>
      <c r="L1038">
        <v>27188.03</v>
      </c>
      <c r="M1038">
        <v>5</v>
      </c>
      <c r="N1038">
        <v>77485.899999999994</v>
      </c>
      <c r="O1038" t="s">
        <v>22</v>
      </c>
    </row>
    <row r="1039" spans="1:15" x14ac:dyDescent="0.3">
      <c r="A1039" t="s">
        <v>1107</v>
      </c>
      <c r="B1039" s="2">
        <v>46329</v>
      </c>
      <c r="C1039" t="s">
        <v>58</v>
      </c>
      <c r="D1039" t="str">
        <f t="shared" si="16"/>
        <v>November</v>
      </c>
      <c r="E1039" t="s">
        <v>72</v>
      </c>
      <c r="F1039" t="s">
        <v>53</v>
      </c>
      <c r="G1039" t="s">
        <v>129</v>
      </c>
      <c r="H1039" t="s">
        <v>19</v>
      </c>
      <c r="I1039" t="s">
        <v>42</v>
      </c>
      <c r="J1039" t="s">
        <v>21</v>
      </c>
      <c r="K1039">
        <v>5</v>
      </c>
      <c r="L1039">
        <v>39617.519999999997</v>
      </c>
      <c r="M1039">
        <v>10</v>
      </c>
      <c r="N1039">
        <v>178278.82</v>
      </c>
      <c r="O1039" t="s">
        <v>47</v>
      </c>
    </row>
    <row r="1040" spans="1:15" x14ac:dyDescent="0.3">
      <c r="A1040" t="s">
        <v>1108</v>
      </c>
      <c r="B1040" s="2">
        <v>46330</v>
      </c>
      <c r="C1040" t="s">
        <v>38</v>
      </c>
      <c r="D1040" t="str">
        <f t="shared" si="16"/>
        <v>November</v>
      </c>
      <c r="E1040" t="s">
        <v>39</v>
      </c>
      <c r="F1040" t="s">
        <v>53</v>
      </c>
      <c r="G1040" t="s">
        <v>65</v>
      </c>
      <c r="H1040" t="s">
        <v>45</v>
      </c>
      <c r="I1040" t="s">
        <v>20</v>
      </c>
      <c r="J1040" t="s">
        <v>28</v>
      </c>
      <c r="K1040">
        <v>3</v>
      </c>
      <c r="L1040">
        <v>39932.32</v>
      </c>
      <c r="M1040">
        <v>20</v>
      </c>
      <c r="N1040">
        <v>95837.58</v>
      </c>
      <c r="O1040" t="s">
        <v>36</v>
      </c>
    </row>
    <row r="1041" spans="1:15" x14ac:dyDescent="0.3">
      <c r="A1041" t="s">
        <v>1109</v>
      </c>
      <c r="B1041" s="2">
        <v>46331</v>
      </c>
      <c r="C1041" t="s">
        <v>15</v>
      </c>
      <c r="D1041" t="str">
        <f t="shared" si="16"/>
        <v>November</v>
      </c>
      <c r="E1041" t="s">
        <v>100</v>
      </c>
      <c r="F1041" t="s">
        <v>17</v>
      </c>
      <c r="G1041" t="s">
        <v>123</v>
      </c>
      <c r="H1041" t="s">
        <v>19</v>
      </c>
      <c r="I1041" t="s">
        <v>42</v>
      </c>
      <c r="J1041" t="s">
        <v>43</v>
      </c>
      <c r="K1041">
        <v>2</v>
      </c>
      <c r="L1041">
        <v>69316.25</v>
      </c>
      <c r="M1041">
        <v>15</v>
      </c>
      <c r="N1041">
        <v>117837.62</v>
      </c>
      <c r="O1041" t="s">
        <v>47</v>
      </c>
    </row>
    <row r="1042" spans="1:15" x14ac:dyDescent="0.3">
      <c r="A1042" t="s">
        <v>1110</v>
      </c>
      <c r="B1042" s="2">
        <v>46332</v>
      </c>
      <c r="C1042" t="s">
        <v>58</v>
      </c>
      <c r="D1042" t="str">
        <f t="shared" si="16"/>
        <v>November</v>
      </c>
      <c r="E1042" t="s">
        <v>39</v>
      </c>
      <c r="F1042" t="s">
        <v>53</v>
      </c>
      <c r="G1042" t="s">
        <v>105</v>
      </c>
      <c r="H1042" t="s">
        <v>45</v>
      </c>
      <c r="I1042" t="s">
        <v>20</v>
      </c>
      <c r="J1042" t="s">
        <v>21</v>
      </c>
      <c r="K1042">
        <v>2</v>
      </c>
      <c r="L1042">
        <v>33328.480000000003</v>
      </c>
      <c r="M1042">
        <v>5</v>
      </c>
      <c r="N1042">
        <v>63324.12</v>
      </c>
      <c r="O1042" t="s">
        <v>36</v>
      </c>
    </row>
    <row r="1043" spans="1:15" x14ac:dyDescent="0.3">
      <c r="A1043" t="s">
        <v>1111</v>
      </c>
      <c r="B1043" s="2">
        <v>46333</v>
      </c>
      <c r="C1043" t="s">
        <v>49</v>
      </c>
      <c r="D1043" t="str">
        <f t="shared" si="16"/>
        <v>November</v>
      </c>
      <c r="E1043" t="s">
        <v>50</v>
      </c>
      <c r="F1043" t="s">
        <v>60</v>
      </c>
      <c r="G1043" t="s">
        <v>61</v>
      </c>
      <c r="H1043" t="s">
        <v>33</v>
      </c>
      <c r="I1043" t="s">
        <v>34</v>
      </c>
      <c r="J1043" t="s">
        <v>28</v>
      </c>
      <c r="K1043">
        <v>2</v>
      </c>
      <c r="L1043">
        <v>48699.09</v>
      </c>
      <c r="M1043">
        <v>0</v>
      </c>
      <c r="N1043">
        <v>97398.18</v>
      </c>
      <c r="O1043" t="s">
        <v>47</v>
      </c>
    </row>
    <row r="1044" spans="1:15" x14ac:dyDescent="0.3">
      <c r="A1044" t="s">
        <v>1112</v>
      </c>
      <c r="B1044" s="2">
        <v>46334</v>
      </c>
      <c r="C1044" t="s">
        <v>15</v>
      </c>
      <c r="D1044" t="str">
        <f t="shared" si="16"/>
        <v>November</v>
      </c>
      <c r="E1044" t="s">
        <v>69</v>
      </c>
      <c r="F1044" t="s">
        <v>40</v>
      </c>
      <c r="G1044" t="s">
        <v>118</v>
      </c>
      <c r="H1044" t="s">
        <v>45</v>
      </c>
      <c r="I1044" t="s">
        <v>42</v>
      </c>
      <c r="J1044" t="s">
        <v>28</v>
      </c>
      <c r="K1044">
        <v>5</v>
      </c>
      <c r="L1044">
        <v>5435.34</v>
      </c>
      <c r="M1044">
        <v>0</v>
      </c>
      <c r="N1044">
        <v>27176.720000000001</v>
      </c>
      <c r="O1044" t="s">
        <v>47</v>
      </c>
    </row>
    <row r="1045" spans="1:15" x14ac:dyDescent="0.3">
      <c r="A1045" t="s">
        <v>1113</v>
      </c>
      <c r="B1045" s="2">
        <v>46335</v>
      </c>
      <c r="C1045" t="s">
        <v>58</v>
      </c>
      <c r="D1045" t="str">
        <f t="shared" si="16"/>
        <v>November</v>
      </c>
      <c r="E1045" t="s">
        <v>16</v>
      </c>
      <c r="F1045" t="s">
        <v>40</v>
      </c>
      <c r="G1045" t="s">
        <v>41</v>
      </c>
      <c r="H1045" t="s">
        <v>19</v>
      </c>
      <c r="I1045" t="s">
        <v>20</v>
      </c>
      <c r="J1045" t="s">
        <v>28</v>
      </c>
      <c r="K1045">
        <v>4</v>
      </c>
      <c r="L1045">
        <v>6875.31</v>
      </c>
      <c r="M1045">
        <v>5</v>
      </c>
      <c r="N1045">
        <v>26126.18</v>
      </c>
      <c r="O1045" t="s">
        <v>47</v>
      </c>
    </row>
    <row r="1046" spans="1:15" x14ac:dyDescent="0.3">
      <c r="A1046" t="s">
        <v>1114</v>
      </c>
      <c r="B1046" s="2">
        <v>46336</v>
      </c>
      <c r="C1046" t="s">
        <v>15</v>
      </c>
      <c r="D1046" t="str">
        <f t="shared" si="16"/>
        <v>November</v>
      </c>
      <c r="E1046" t="s">
        <v>100</v>
      </c>
      <c r="F1046" t="s">
        <v>60</v>
      </c>
      <c r="G1046" t="s">
        <v>70</v>
      </c>
      <c r="H1046" t="s">
        <v>19</v>
      </c>
      <c r="I1046" t="s">
        <v>42</v>
      </c>
      <c r="J1046" t="s">
        <v>46</v>
      </c>
      <c r="K1046">
        <v>5</v>
      </c>
      <c r="L1046">
        <v>45276.45</v>
      </c>
      <c r="M1046">
        <v>5</v>
      </c>
      <c r="N1046">
        <v>215063.13</v>
      </c>
      <c r="O1046" t="s">
        <v>36</v>
      </c>
    </row>
    <row r="1047" spans="1:15" x14ac:dyDescent="0.3">
      <c r="A1047" t="s">
        <v>1115</v>
      </c>
      <c r="B1047" s="2">
        <v>46337</v>
      </c>
      <c r="C1047" t="s">
        <v>15</v>
      </c>
      <c r="D1047" t="str">
        <f t="shared" si="16"/>
        <v>November</v>
      </c>
      <c r="E1047" t="s">
        <v>32</v>
      </c>
      <c r="F1047" t="s">
        <v>60</v>
      </c>
      <c r="G1047" t="s">
        <v>70</v>
      </c>
      <c r="H1047" t="s">
        <v>45</v>
      </c>
      <c r="I1047" t="s">
        <v>20</v>
      </c>
      <c r="J1047" t="s">
        <v>43</v>
      </c>
      <c r="K1047">
        <v>5</v>
      </c>
      <c r="L1047">
        <v>49323.67</v>
      </c>
      <c r="M1047">
        <v>0</v>
      </c>
      <c r="N1047">
        <v>246618.34</v>
      </c>
      <c r="O1047" t="s">
        <v>47</v>
      </c>
    </row>
    <row r="1048" spans="1:15" x14ac:dyDescent="0.3">
      <c r="A1048" t="s">
        <v>1116</v>
      </c>
      <c r="B1048" s="2">
        <v>46338</v>
      </c>
      <c r="C1048" t="s">
        <v>38</v>
      </c>
      <c r="D1048" t="str">
        <f t="shared" si="16"/>
        <v>November</v>
      </c>
      <c r="E1048" t="s">
        <v>39</v>
      </c>
      <c r="F1048" t="s">
        <v>17</v>
      </c>
      <c r="G1048" t="s">
        <v>67</v>
      </c>
      <c r="H1048" t="s">
        <v>27</v>
      </c>
      <c r="I1048" t="s">
        <v>20</v>
      </c>
      <c r="J1048" t="s">
        <v>35</v>
      </c>
      <c r="K1048">
        <v>2</v>
      </c>
      <c r="L1048">
        <v>63556.93</v>
      </c>
      <c r="M1048">
        <v>5</v>
      </c>
      <c r="N1048">
        <v>120758.16</v>
      </c>
      <c r="O1048" t="s">
        <v>47</v>
      </c>
    </row>
    <row r="1049" spans="1:15" x14ac:dyDescent="0.3">
      <c r="A1049" t="s">
        <v>1117</v>
      </c>
      <c r="B1049" s="2">
        <v>46339</v>
      </c>
      <c r="C1049" t="s">
        <v>31</v>
      </c>
      <c r="D1049" t="str">
        <f t="shared" si="16"/>
        <v>November</v>
      </c>
      <c r="E1049" t="s">
        <v>77</v>
      </c>
      <c r="F1049" t="s">
        <v>60</v>
      </c>
      <c r="G1049" t="s">
        <v>70</v>
      </c>
      <c r="H1049" t="s">
        <v>19</v>
      </c>
      <c r="I1049" t="s">
        <v>34</v>
      </c>
      <c r="J1049" t="s">
        <v>43</v>
      </c>
      <c r="K1049">
        <v>3</v>
      </c>
      <c r="L1049">
        <v>40081.370000000003</v>
      </c>
      <c r="M1049">
        <v>15</v>
      </c>
      <c r="N1049">
        <v>102207.5</v>
      </c>
      <c r="O1049" t="s">
        <v>36</v>
      </c>
    </row>
    <row r="1050" spans="1:15" x14ac:dyDescent="0.3">
      <c r="A1050" t="s">
        <v>1118</v>
      </c>
      <c r="B1050" s="2">
        <v>46340</v>
      </c>
      <c r="C1050" t="s">
        <v>31</v>
      </c>
      <c r="D1050" t="str">
        <f t="shared" si="16"/>
        <v>November</v>
      </c>
      <c r="E1050" t="s">
        <v>100</v>
      </c>
      <c r="F1050" t="s">
        <v>60</v>
      </c>
      <c r="G1050" t="s">
        <v>78</v>
      </c>
      <c r="H1050" t="s">
        <v>19</v>
      </c>
      <c r="I1050" t="s">
        <v>34</v>
      </c>
      <c r="J1050" t="s">
        <v>35</v>
      </c>
      <c r="K1050">
        <v>5</v>
      </c>
      <c r="L1050">
        <v>38513.160000000003</v>
      </c>
      <c r="M1050">
        <v>15</v>
      </c>
      <c r="N1050">
        <v>163680.94</v>
      </c>
      <c r="O1050" t="s">
        <v>36</v>
      </c>
    </row>
    <row r="1051" spans="1:15" x14ac:dyDescent="0.3">
      <c r="A1051" t="s">
        <v>1119</v>
      </c>
      <c r="B1051" s="2">
        <v>46341</v>
      </c>
      <c r="C1051" t="s">
        <v>15</v>
      </c>
      <c r="D1051" t="str">
        <f t="shared" si="16"/>
        <v>November</v>
      </c>
      <c r="E1051" t="s">
        <v>52</v>
      </c>
      <c r="F1051" t="s">
        <v>17</v>
      </c>
      <c r="G1051" t="s">
        <v>123</v>
      </c>
      <c r="H1051" t="s">
        <v>19</v>
      </c>
      <c r="I1051" t="s">
        <v>20</v>
      </c>
      <c r="J1051" t="s">
        <v>46</v>
      </c>
      <c r="K1051">
        <v>2</v>
      </c>
      <c r="L1051">
        <v>64225.45</v>
      </c>
      <c r="M1051">
        <v>0</v>
      </c>
      <c r="N1051">
        <v>128450.9</v>
      </c>
      <c r="O1051" t="s">
        <v>36</v>
      </c>
    </row>
    <row r="1052" spans="1:15" x14ac:dyDescent="0.3">
      <c r="A1052" t="s">
        <v>1120</v>
      </c>
      <c r="B1052" s="2">
        <v>46342</v>
      </c>
      <c r="C1052" t="s">
        <v>38</v>
      </c>
      <c r="D1052" t="str">
        <f t="shared" si="16"/>
        <v>November</v>
      </c>
      <c r="E1052" t="s">
        <v>39</v>
      </c>
      <c r="F1052" t="s">
        <v>17</v>
      </c>
      <c r="G1052" t="s">
        <v>123</v>
      </c>
      <c r="H1052" t="s">
        <v>19</v>
      </c>
      <c r="I1052" t="s">
        <v>20</v>
      </c>
      <c r="J1052" t="s">
        <v>46</v>
      </c>
      <c r="K1052">
        <v>1</v>
      </c>
      <c r="L1052">
        <v>66439.03</v>
      </c>
      <c r="M1052">
        <v>10</v>
      </c>
      <c r="N1052">
        <v>59795.12</v>
      </c>
      <c r="O1052" t="s">
        <v>47</v>
      </c>
    </row>
    <row r="1053" spans="1:15" x14ac:dyDescent="0.3">
      <c r="A1053" t="s">
        <v>1121</v>
      </c>
      <c r="B1053" s="2">
        <v>46343</v>
      </c>
      <c r="C1053" t="s">
        <v>58</v>
      </c>
      <c r="D1053" t="str">
        <f t="shared" si="16"/>
        <v>November</v>
      </c>
      <c r="E1053" t="s">
        <v>52</v>
      </c>
      <c r="F1053" t="s">
        <v>40</v>
      </c>
      <c r="G1053" t="s">
        <v>75</v>
      </c>
      <c r="H1053" t="s">
        <v>19</v>
      </c>
      <c r="I1053" t="s">
        <v>42</v>
      </c>
      <c r="J1053" t="s">
        <v>35</v>
      </c>
      <c r="K1053">
        <v>5</v>
      </c>
      <c r="L1053">
        <v>7149.93</v>
      </c>
      <c r="M1053">
        <v>20</v>
      </c>
      <c r="N1053">
        <v>28599.73</v>
      </c>
      <c r="O1053" t="s">
        <v>22</v>
      </c>
    </row>
    <row r="1054" spans="1:15" x14ac:dyDescent="0.3">
      <c r="A1054" t="s">
        <v>1122</v>
      </c>
      <c r="B1054" s="2">
        <v>46344</v>
      </c>
      <c r="C1054" t="s">
        <v>49</v>
      </c>
      <c r="D1054" t="str">
        <f t="shared" si="16"/>
        <v>November</v>
      </c>
      <c r="E1054" t="s">
        <v>24</v>
      </c>
      <c r="F1054" t="s">
        <v>53</v>
      </c>
      <c r="G1054" t="s">
        <v>54</v>
      </c>
      <c r="H1054" t="s">
        <v>19</v>
      </c>
      <c r="I1054" t="s">
        <v>20</v>
      </c>
      <c r="J1054" t="s">
        <v>43</v>
      </c>
      <c r="K1054">
        <v>2</v>
      </c>
      <c r="L1054">
        <v>31092.43</v>
      </c>
      <c r="M1054">
        <v>5</v>
      </c>
      <c r="N1054">
        <v>59075.61</v>
      </c>
      <c r="O1054" t="s">
        <v>47</v>
      </c>
    </row>
    <row r="1055" spans="1:15" x14ac:dyDescent="0.3">
      <c r="A1055" t="s">
        <v>1123</v>
      </c>
      <c r="B1055" s="2">
        <v>46345</v>
      </c>
      <c r="C1055" t="s">
        <v>58</v>
      </c>
      <c r="D1055" t="str">
        <f t="shared" si="16"/>
        <v>November</v>
      </c>
      <c r="E1055" t="s">
        <v>24</v>
      </c>
      <c r="F1055" t="s">
        <v>17</v>
      </c>
      <c r="G1055" t="s">
        <v>67</v>
      </c>
      <c r="H1055" t="s">
        <v>19</v>
      </c>
      <c r="I1055" t="s">
        <v>42</v>
      </c>
      <c r="J1055" t="s">
        <v>28</v>
      </c>
      <c r="K1055">
        <v>3</v>
      </c>
      <c r="L1055">
        <v>52981.8</v>
      </c>
      <c r="M1055">
        <v>5</v>
      </c>
      <c r="N1055">
        <v>150998.14000000001</v>
      </c>
      <c r="O1055" t="s">
        <v>47</v>
      </c>
    </row>
    <row r="1056" spans="1:15" x14ac:dyDescent="0.3">
      <c r="A1056" t="s">
        <v>1124</v>
      </c>
      <c r="B1056" s="2">
        <v>46346</v>
      </c>
      <c r="C1056" t="s">
        <v>15</v>
      </c>
      <c r="D1056" t="str">
        <f t="shared" si="16"/>
        <v>November</v>
      </c>
      <c r="E1056" t="s">
        <v>100</v>
      </c>
      <c r="F1056" t="s">
        <v>60</v>
      </c>
      <c r="G1056" t="s">
        <v>78</v>
      </c>
      <c r="H1056" t="s">
        <v>27</v>
      </c>
      <c r="I1056" t="s">
        <v>34</v>
      </c>
      <c r="J1056" t="s">
        <v>35</v>
      </c>
      <c r="K1056">
        <v>1</v>
      </c>
      <c r="L1056">
        <v>36909.64</v>
      </c>
      <c r="M1056">
        <v>5</v>
      </c>
      <c r="N1056">
        <v>35064.160000000003</v>
      </c>
      <c r="O1056" t="s">
        <v>29</v>
      </c>
    </row>
    <row r="1057" spans="1:15" x14ac:dyDescent="0.3">
      <c r="A1057" t="s">
        <v>1125</v>
      </c>
      <c r="B1057" s="2">
        <v>46347</v>
      </c>
      <c r="C1057" t="s">
        <v>38</v>
      </c>
      <c r="D1057" t="str">
        <f t="shared" si="16"/>
        <v>November</v>
      </c>
      <c r="E1057" t="s">
        <v>50</v>
      </c>
      <c r="F1057" t="s">
        <v>53</v>
      </c>
      <c r="G1057" t="s">
        <v>105</v>
      </c>
      <c r="H1057" t="s">
        <v>45</v>
      </c>
      <c r="I1057" t="s">
        <v>42</v>
      </c>
      <c r="J1057" t="s">
        <v>43</v>
      </c>
      <c r="K1057">
        <v>3</v>
      </c>
      <c r="L1057">
        <v>39480.839999999997</v>
      </c>
      <c r="M1057">
        <v>0</v>
      </c>
      <c r="N1057">
        <v>118442.51</v>
      </c>
      <c r="O1057" t="s">
        <v>29</v>
      </c>
    </row>
    <row r="1058" spans="1:15" x14ac:dyDescent="0.3">
      <c r="A1058" t="s">
        <v>1126</v>
      </c>
      <c r="B1058" s="2">
        <v>46348</v>
      </c>
      <c r="C1058" t="s">
        <v>58</v>
      </c>
      <c r="D1058" t="str">
        <f t="shared" si="16"/>
        <v>November</v>
      </c>
      <c r="E1058" t="s">
        <v>39</v>
      </c>
      <c r="F1058" t="s">
        <v>53</v>
      </c>
      <c r="G1058" t="s">
        <v>129</v>
      </c>
      <c r="H1058" t="s">
        <v>19</v>
      </c>
      <c r="I1058" t="s">
        <v>42</v>
      </c>
      <c r="J1058" t="s">
        <v>21</v>
      </c>
      <c r="K1058">
        <v>3</v>
      </c>
      <c r="L1058">
        <v>36336.67</v>
      </c>
      <c r="M1058">
        <v>15</v>
      </c>
      <c r="N1058">
        <v>92658.51</v>
      </c>
      <c r="O1058" t="s">
        <v>22</v>
      </c>
    </row>
    <row r="1059" spans="1:15" x14ac:dyDescent="0.3">
      <c r="A1059" t="s">
        <v>1127</v>
      </c>
      <c r="B1059" s="2">
        <v>46349</v>
      </c>
      <c r="C1059" t="s">
        <v>31</v>
      </c>
      <c r="D1059" t="str">
        <f t="shared" si="16"/>
        <v>November</v>
      </c>
      <c r="E1059" t="s">
        <v>100</v>
      </c>
      <c r="F1059" t="s">
        <v>60</v>
      </c>
      <c r="G1059" t="s">
        <v>73</v>
      </c>
      <c r="H1059" t="s">
        <v>33</v>
      </c>
      <c r="I1059" t="s">
        <v>42</v>
      </c>
      <c r="J1059" t="s">
        <v>21</v>
      </c>
      <c r="K1059">
        <v>1</v>
      </c>
      <c r="L1059">
        <v>39764.379999999997</v>
      </c>
      <c r="M1059">
        <v>5</v>
      </c>
      <c r="N1059">
        <v>37776.160000000003</v>
      </c>
      <c r="O1059" t="s">
        <v>36</v>
      </c>
    </row>
    <row r="1060" spans="1:15" x14ac:dyDescent="0.3">
      <c r="A1060" t="s">
        <v>1128</v>
      </c>
      <c r="B1060" s="2">
        <v>46350</v>
      </c>
      <c r="C1060" t="s">
        <v>31</v>
      </c>
      <c r="D1060" t="str">
        <f t="shared" si="16"/>
        <v>November</v>
      </c>
      <c r="E1060" t="s">
        <v>69</v>
      </c>
      <c r="F1060" t="s">
        <v>17</v>
      </c>
      <c r="G1060" t="s">
        <v>67</v>
      </c>
      <c r="H1060" t="s">
        <v>27</v>
      </c>
      <c r="I1060" t="s">
        <v>34</v>
      </c>
      <c r="J1060" t="s">
        <v>43</v>
      </c>
      <c r="K1060">
        <v>3</v>
      </c>
      <c r="L1060">
        <v>54375.47</v>
      </c>
      <c r="M1060">
        <v>10</v>
      </c>
      <c r="N1060">
        <v>146813.76999999999</v>
      </c>
      <c r="O1060" t="s">
        <v>47</v>
      </c>
    </row>
    <row r="1061" spans="1:15" x14ac:dyDescent="0.3">
      <c r="A1061" t="s">
        <v>1129</v>
      </c>
      <c r="B1061" s="2">
        <v>46351</v>
      </c>
      <c r="C1061" t="s">
        <v>38</v>
      </c>
      <c r="D1061" t="str">
        <f t="shared" si="16"/>
        <v>November</v>
      </c>
      <c r="E1061" t="s">
        <v>39</v>
      </c>
      <c r="F1061" t="s">
        <v>53</v>
      </c>
      <c r="G1061" t="s">
        <v>129</v>
      </c>
      <c r="H1061" t="s">
        <v>45</v>
      </c>
      <c r="I1061" t="s">
        <v>42</v>
      </c>
      <c r="J1061" t="s">
        <v>43</v>
      </c>
      <c r="K1061">
        <v>2</v>
      </c>
      <c r="L1061">
        <v>33030.589999999997</v>
      </c>
      <c r="M1061">
        <v>0</v>
      </c>
      <c r="N1061">
        <v>66061.179999999993</v>
      </c>
      <c r="O1061" t="s">
        <v>47</v>
      </c>
    </row>
    <row r="1062" spans="1:15" x14ac:dyDescent="0.3">
      <c r="A1062" t="s">
        <v>1130</v>
      </c>
      <c r="B1062" s="2">
        <v>46352</v>
      </c>
      <c r="C1062" t="s">
        <v>31</v>
      </c>
      <c r="D1062" t="str">
        <f t="shared" si="16"/>
        <v>November</v>
      </c>
      <c r="E1062" t="s">
        <v>32</v>
      </c>
      <c r="F1062" t="s">
        <v>60</v>
      </c>
      <c r="G1062" t="s">
        <v>78</v>
      </c>
      <c r="H1062" t="s">
        <v>27</v>
      </c>
      <c r="I1062" t="s">
        <v>34</v>
      </c>
      <c r="J1062" t="s">
        <v>21</v>
      </c>
      <c r="K1062">
        <v>1</v>
      </c>
      <c r="L1062">
        <v>34878.980000000003</v>
      </c>
      <c r="M1062">
        <v>5</v>
      </c>
      <c r="N1062">
        <v>33135.03</v>
      </c>
      <c r="O1062" t="s">
        <v>29</v>
      </c>
    </row>
    <row r="1063" spans="1:15" x14ac:dyDescent="0.3">
      <c r="A1063" t="s">
        <v>1131</v>
      </c>
      <c r="B1063" s="2">
        <v>46353</v>
      </c>
      <c r="C1063" t="s">
        <v>58</v>
      </c>
      <c r="D1063" t="str">
        <f t="shared" si="16"/>
        <v>November</v>
      </c>
      <c r="E1063" t="s">
        <v>16</v>
      </c>
      <c r="F1063" t="s">
        <v>60</v>
      </c>
      <c r="G1063" t="s">
        <v>73</v>
      </c>
      <c r="H1063" t="s">
        <v>19</v>
      </c>
      <c r="I1063" t="s">
        <v>42</v>
      </c>
      <c r="J1063" t="s">
        <v>43</v>
      </c>
      <c r="K1063">
        <v>3</v>
      </c>
      <c r="L1063">
        <v>43676.37</v>
      </c>
      <c r="M1063">
        <v>10</v>
      </c>
      <c r="N1063">
        <v>117926.19</v>
      </c>
      <c r="O1063" t="s">
        <v>29</v>
      </c>
    </row>
    <row r="1064" spans="1:15" x14ac:dyDescent="0.3">
      <c r="A1064" t="s">
        <v>1132</v>
      </c>
      <c r="B1064" s="2">
        <v>46354</v>
      </c>
      <c r="C1064" t="s">
        <v>49</v>
      </c>
      <c r="D1064" t="str">
        <f t="shared" si="16"/>
        <v>November</v>
      </c>
      <c r="E1064" t="s">
        <v>50</v>
      </c>
      <c r="F1064" t="s">
        <v>60</v>
      </c>
      <c r="G1064" t="s">
        <v>61</v>
      </c>
      <c r="H1064" t="s">
        <v>19</v>
      </c>
      <c r="I1064" t="s">
        <v>34</v>
      </c>
      <c r="J1064" t="s">
        <v>35</v>
      </c>
      <c r="K1064">
        <v>2</v>
      </c>
      <c r="L1064">
        <v>44003.86</v>
      </c>
      <c r="M1064">
        <v>15</v>
      </c>
      <c r="N1064">
        <v>74806.559999999998</v>
      </c>
      <c r="O1064" t="s">
        <v>29</v>
      </c>
    </row>
    <row r="1065" spans="1:15" x14ac:dyDescent="0.3">
      <c r="A1065" t="s">
        <v>1133</v>
      </c>
      <c r="B1065" s="2">
        <v>46355</v>
      </c>
      <c r="C1065" t="s">
        <v>49</v>
      </c>
      <c r="D1065" t="str">
        <f t="shared" si="16"/>
        <v>November</v>
      </c>
      <c r="E1065" t="s">
        <v>72</v>
      </c>
      <c r="F1065" t="s">
        <v>17</v>
      </c>
      <c r="G1065" t="s">
        <v>67</v>
      </c>
      <c r="H1065" t="s">
        <v>27</v>
      </c>
      <c r="I1065" t="s">
        <v>34</v>
      </c>
      <c r="J1065" t="s">
        <v>43</v>
      </c>
      <c r="K1065">
        <v>1</v>
      </c>
      <c r="L1065">
        <v>62708.39</v>
      </c>
      <c r="M1065">
        <v>20</v>
      </c>
      <c r="N1065">
        <v>50166.71</v>
      </c>
      <c r="O1065" t="s">
        <v>22</v>
      </c>
    </row>
    <row r="1066" spans="1:15" x14ac:dyDescent="0.3">
      <c r="A1066" t="s">
        <v>1134</v>
      </c>
      <c r="B1066" s="2">
        <v>46356</v>
      </c>
      <c r="C1066" t="s">
        <v>58</v>
      </c>
      <c r="D1066" t="str">
        <f t="shared" si="16"/>
        <v>November</v>
      </c>
      <c r="E1066" t="s">
        <v>32</v>
      </c>
      <c r="F1066" t="s">
        <v>25</v>
      </c>
      <c r="G1066" t="s">
        <v>56</v>
      </c>
      <c r="H1066" t="s">
        <v>27</v>
      </c>
      <c r="I1066" t="s">
        <v>42</v>
      </c>
      <c r="J1066" t="s">
        <v>46</v>
      </c>
      <c r="K1066">
        <v>5</v>
      </c>
      <c r="L1066">
        <v>1875.83</v>
      </c>
      <c r="M1066">
        <v>5</v>
      </c>
      <c r="N1066">
        <v>8910.19</v>
      </c>
      <c r="O1066" t="s">
        <v>36</v>
      </c>
    </row>
    <row r="1067" spans="1:15" x14ac:dyDescent="0.3">
      <c r="A1067" t="s">
        <v>1135</v>
      </c>
      <c r="B1067" s="2">
        <v>46357</v>
      </c>
      <c r="C1067" t="s">
        <v>15</v>
      </c>
      <c r="D1067" t="str">
        <f t="shared" si="16"/>
        <v>December</v>
      </c>
      <c r="E1067" t="s">
        <v>52</v>
      </c>
      <c r="F1067" t="s">
        <v>17</v>
      </c>
      <c r="G1067" t="s">
        <v>123</v>
      </c>
      <c r="H1067" t="s">
        <v>33</v>
      </c>
      <c r="I1067" t="s">
        <v>34</v>
      </c>
      <c r="J1067" t="s">
        <v>28</v>
      </c>
      <c r="K1067">
        <v>4</v>
      </c>
      <c r="L1067">
        <v>50445.52</v>
      </c>
      <c r="M1067">
        <v>0</v>
      </c>
      <c r="N1067">
        <v>201782.08</v>
      </c>
      <c r="O1067" t="s">
        <v>47</v>
      </c>
    </row>
    <row r="1068" spans="1:15" x14ac:dyDescent="0.3">
      <c r="A1068" t="s">
        <v>1136</v>
      </c>
      <c r="B1068" s="2">
        <v>46358</v>
      </c>
      <c r="C1068" t="s">
        <v>15</v>
      </c>
      <c r="D1068" t="str">
        <f t="shared" si="16"/>
        <v>December</v>
      </c>
      <c r="E1068" t="s">
        <v>72</v>
      </c>
      <c r="F1068" t="s">
        <v>40</v>
      </c>
      <c r="G1068" t="s">
        <v>115</v>
      </c>
      <c r="H1068" t="s">
        <v>45</v>
      </c>
      <c r="I1068" t="s">
        <v>34</v>
      </c>
      <c r="J1068" t="s">
        <v>21</v>
      </c>
      <c r="K1068">
        <v>3</v>
      </c>
      <c r="L1068">
        <v>4926.95</v>
      </c>
      <c r="M1068">
        <v>5</v>
      </c>
      <c r="N1068">
        <v>14041.82</v>
      </c>
      <c r="O1068" t="s">
        <v>47</v>
      </c>
    </row>
    <row r="1069" spans="1:15" x14ac:dyDescent="0.3">
      <c r="A1069" t="s">
        <v>1137</v>
      </c>
      <c r="B1069" s="2">
        <v>46359</v>
      </c>
      <c r="C1069" t="s">
        <v>31</v>
      </c>
      <c r="D1069" t="str">
        <f t="shared" si="16"/>
        <v>December</v>
      </c>
      <c r="E1069" t="s">
        <v>69</v>
      </c>
      <c r="F1069" t="s">
        <v>25</v>
      </c>
      <c r="G1069" t="s">
        <v>92</v>
      </c>
      <c r="H1069" t="s">
        <v>27</v>
      </c>
      <c r="I1069" t="s">
        <v>34</v>
      </c>
      <c r="J1069" t="s">
        <v>46</v>
      </c>
      <c r="K1069">
        <v>3</v>
      </c>
      <c r="L1069">
        <v>2691.29</v>
      </c>
      <c r="M1069">
        <v>20</v>
      </c>
      <c r="N1069">
        <v>6459.09</v>
      </c>
      <c r="O1069" t="s">
        <v>47</v>
      </c>
    </row>
    <row r="1070" spans="1:15" x14ac:dyDescent="0.3">
      <c r="A1070" t="s">
        <v>1138</v>
      </c>
      <c r="B1070" s="2">
        <v>46360</v>
      </c>
      <c r="C1070" t="s">
        <v>49</v>
      </c>
      <c r="D1070" t="str">
        <f t="shared" si="16"/>
        <v>December</v>
      </c>
      <c r="E1070" t="s">
        <v>100</v>
      </c>
      <c r="F1070" t="s">
        <v>25</v>
      </c>
      <c r="G1070" t="s">
        <v>81</v>
      </c>
      <c r="H1070" t="s">
        <v>45</v>
      </c>
      <c r="I1070" t="s">
        <v>42</v>
      </c>
      <c r="J1070" t="s">
        <v>21</v>
      </c>
      <c r="K1070">
        <v>5</v>
      </c>
      <c r="L1070">
        <v>2279.3000000000002</v>
      </c>
      <c r="M1070">
        <v>5</v>
      </c>
      <c r="N1070">
        <v>10826.67</v>
      </c>
      <c r="O1070" t="s">
        <v>47</v>
      </c>
    </row>
    <row r="1071" spans="1:15" x14ac:dyDescent="0.3">
      <c r="A1071" t="s">
        <v>1139</v>
      </c>
      <c r="B1071" s="2">
        <v>46361</v>
      </c>
      <c r="C1071" t="s">
        <v>49</v>
      </c>
      <c r="D1071" t="str">
        <f t="shared" si="16"/>
        <v>December</v>
      </c>
      <c r="E1071" t="s">
        <v>16</v>
      </c>
      <c r="F1071" t="s">
        <v>17</v>
      </c>
      <c r="G1071" t="s">
        <v>67</v>
      </c>
      <c r="H1071" t="s">
        <v>45</v>
      </c>
      <c r="I1071" t="s">
        <v>34</v>
      </c>
      <c r="J1071" t="s">
        <v>43</v>
      </c>
      <c r="K1071">
        <v>2</v>
      </c>
      <c r="L1071">
        <v>65952.210000000006</v>
      </c>
      <c r="M1071">
        <v>0</v>
      </c>
      <c r="N1071">
        <v>131904.43</v>
      </c>
      <c r="O1071" t="s">
        <v>29</v>
      </c>
    </row>
    <row r="1072" spans="1:15" x14ac:dyDescent="0.3">
      <c r="A1072" t="s">
        <v>1140</v>
      </c>
      <c r="B1072" s="2">
        <v>46362</v>
      </c>
      <c r="C1072" t="s">
        <v>58</v>
      </c>
      <c r="D1072" t="str">
        <f t="shared" si="16"/>
        <v>December</v>
      </c>
      <c r="E1072" t="s">
        <v>72</v>
      </c>
      <c r="F1072" t="s">
        <v>53</v>
      </c>
      <c r="G1072" t="s">
        <v>54</v>
      </c>
      <c r="H1072" t="s">
        <v>33</v>
      </c>
      <c r="I1072" t="s">
        <v>42</v>
      </c>
      <c r="J1072" t="s">
        <v>46</v>
      </c>
      <c r="K1072">
        <v>2</v>
      </c>
      <c r="L1072">
        <v>26590.48</v>
      </c>
      <c r="M1072">
        <v>15</v>
      </c>
      <c r="N1072">
        <v>45203.82</v>
      </c>
      <c r="O1072" t="s">
        <v>47</v>
      </c>
    </row>
    <row r="1073" spans="1:15" x14ac:dyDescent="0.3">
      <c r="A1073" t="s">
        <v>1141</v>
      </c>
      <c r="B1073" s="2">
        <v>46363</v>
      </c>
      <c r="C1073" t="s">
        <v>58</v>
      </c>
      <c r="D1073" t="str">
        <f t="shared" si="16"/>
        <v>December</v>
      </c>
      <c r="E1073" t="s">
        <v>52</v>
      </c>
      <c r="F1073" t="s">
        <v>17</v>
      </c>
      <c r="G1073" t="s">
        <v>123</v>
      </c>
      <c r="H1073" t="s">
        <v>45</v>
      </c>
      <c r="I1073" t="s">
        <v>34</v>
      </c>
      <c r="J1073" t="s">
        <v>43</v>
      </c>
      <c r="K1073">
        <v>4</v>
      </c>
      <c r="L1073">
        <v>56592.75</v>
      </c>
      <c r="M1073">
        <v>0</v>
      </c>
      <c r="N1073">
        <v>226370.99</v>
      </c>
      <c r="O1073" t="s">
        <v>47</v>
      </c>
    </row>
    <row r="1074" spans="1:15" x14ac:dyDescent="0.3">
      <c r="A1074" t="s">
        <v>1142</v>
      </c>
      <c r="B1074" s="2">
        <v>46364</v>
      </c>
      <c r="C1074" t="s">
        <v>31</v>
      </c>
      <c r="D1074" t="str">
        <f t="shared" si="16"/>
        <v>December</v>
      </c>
      <c r="E1074" t="s">
        <v>52</v>
      </c>
      <c r="F1074" t="s">
        <v>53</v>
      </c>
      <c r="G1074" t="s">
        <v>54</v>
      </c>
      <c r="H1074" t="s">
        <v>19</v>
      </c>
      <c r="I1074" t="s">
        <v>42</v>
      </c>
      <c r="J1074" t="s">
        <v>28</v>
      </c>
      <c r="K1074">
        <v>2</v>
      </c>
      <c r="L1074">
        <v>24634.19</v>
      </c>
      <c r="M1074">
        <v>5</v>
      </c>
      <c r="N1074">
        <v>46804.959999999999</v>
      </c>
      <c r="O1074" t="s">
        <v>47</v>
      </c>
    </row>
    <row r="1075" spans="1:15" x14ac:dyDescent="0.3">
      <c r="A1075" t="s">
        <v>1143</v>
      </c>
      <c r="B1075" s="2">
        <v>46365</v>
      </c>
      <c r="C1075" t="s">
        <v>31</v>
      </c>
      <c r="D1075" t="str">
        <f t="shared" si="16"/>
        <v>December</v>
      </c>
      <c r="E1075" t="s">
        <v>52</v>
      </c>
      <c r="F1075" t="s">
        <v>40</v>
      </c>
      <c r="G1075" t="s">
        <v>41</v>
      </c>
      <c r="H1075" t="s">
        <v>33</v>
      </c>
      <c r="I1075" t="s">
        <v>34</v>
      </c>
      <c r="J1075" t="s">
        <v>46</v>
      </c>
      <c r="K1075">
        <v>3</v>
      </c>
      <c r="L1075">
        <v>5241.45</v>
      </c>
      <c r="M1075">
        <v>20</v>
      </c>
      <c r="N1075">
        <v>12579.48</v>
      </c>
      <c r="O1075" t="s">
        <v>22</v>
      </c>
    </row>
    <row r="1076" spans="1:15" x14ac:dyDescent="0.3">
      <c r="A1076" t="s">
        <v>1144</v>
      </c>
      <c r="B1076" s="2">
        <v>46366</v>
      </c>
      <c r="C1076" t="s">
        <v>15</v>
      </c>
      <c r="D1076" t="str">
        <f t="shared" si="16"/>
        <v>December</v>
      </c>
      <c r="E1076" t="s">
        <v>24</v>
      </c>
      <c r="F1076" t="s">
        <v>25</v>
      </c>
      <c r="G1076" t="s">
        <v>56</v>
      </c>
      <c r="H1076" t="s">
        <v>45</v>
      </c>
      <c r="I1076" t="s">
        <v>42</v>
      </c>
      <c r="J1076" t="s">
        <v>43</v>
      </c>
      <c r="K1076">
        <v>4</v>
      </c>
      <c r="L1076">
        <v>3085.37</v>
      </c>
      <c r="M1076">
        <v>0</v>
      </c>
      <c r="N1076">
        <v>12341.49</v>
      </c>
      <c r="O1076" t="s">
        <v>36</v>
      </c>
    </row>
    <row r="1077" spans="1:15" x14ac:dyDescent="0.3">
      <c r="A1077" t="s">
        <v>1145</v>
      </c>
      <c r="B1077" s="2">
        <v>46367</v>
      </c>
      <c r="C1077" t="s">
        <v>15</v>
      </c>
      <c r="D1077" t="str">
        <f t="shared" si="16"/>
        <v>December</v>
      </c>
      <c r="E1077" t="s">
        <v>16</v>
      </c>
      <c r="F1077" t="s">
        <v>40</v>
      </c>
      <c r="G1077" t="s">
        <v>118</v>
      </c>
      <c r="H1077" t="s">
        <v>27</v>
      </c>
      <c r="I1077" t="s">
        <v>20</v>
      </c>
      <c r="J1077" t="s">
        <v>28</v>
      </c>
      <c r="K1077">
        <v>3</v>
      </c>
      <c r="L1077">
        <v>7210.9</v>
      </c>
      <c r="M1077">
        <v>10</v>
      </c>
      <c r="N1077">
        <v>19469.43</v>
      </c>
      <c r="O1077" t="s">
        <v>47</v>
      </c>
    </row>
    <row r="1078" spans="1:15" x14ac:dyDescent="0.3">
      <c r="A1078" t="s">
        <v>1146</v>
      </c>
      <c r="B1078" s="2">
        <v>46368</v>
      </c>
      <c r="C1078" t="s">
        <v>49</v>
      </c>
      <c r="D1078" t="str">
        <f t="shared" si="16"/>
        <v>December</v>
      </c>
      <c r="E1078" t="s">
        <v>100</v>
      </c>
      <c r="F1078" t="s">
        <v>53</v>
      </c>
      <c r="G1078" t="s">
        <v>54</v>
      </c>
      <c r="H1078" t="s">
        <v>27</v>
      </c>
      <c r="I1078" t="s">
        <v>42</v>
      </c>
      <c r="J1078" t="s">
        <v>21</v>
      </c>
      <c r="K1078">
        <v>4</v>
      </c>
      <c r="L1078">
        <v>30880.84</v>
      </c>
      <c r="M1078">
        <v>0</v>
      </c>
      <c r="N1078">
        <v>123523.37</v>
      </c>
      <c r="O1078" t="s">
        <v>29</v>
      </c>
    </row>
    <row r="1079" spans="1:15" x14ac:dyDescent="0.3">
      <c r="A1079" t="s">
        <v>1147</v>
      </c>
      <c r="B1079" s="2">
        <v>46369</v>
      </c>
      <c r="C1079" t="s">
        <v>38</v>
      </c>
      <c r="D1079" t="str">
        <f t="shared" si="16"/>
        <v>December</v>
      </c>
      <c r="E1079" t="s">
        <v>24</v>
      </c>
      <c r="F1079" t="s">
        <v>17</v>
      </c>
      <c r="G1079" t="s">
        <v>67</v>
      </c>
      <c r="H1079" t="s">
        <v>33</v>
      </c>
      <c r="I1079" t="s">
        <v>34</v>
      </c>
      <c r="J1079" t="s">
        <v>35</v>
      </c>
      <c r="K1079">
        <v>4</v>
      </c>
      <c r="L1079">
        <v>43879.23</v>
      </c>
      <c r="M1079">
        <v>5</v>
      </c>
      <c r="N1079">
        <v>166741.09</v>
      </c>
      <c r="O1079" t="s">
        <v>47</v>
      </c>
    </row>
    <row r="1080" spans="1:15" x14ac:dyDescent="0.3">
      <c r="A1080" t="s">
        <v>1148</v>
      </c>
      <c r="B1080" s="2">
        <v>46370</v>
      </c>
      <c r="C1080" t="s">
        <v>49</v>
      </c>
      <c r="D1080" t="str">
        <f t="shared" si="16"/>
        <v>December</v>
      </c>
      <c r="E1080" t="s">
        <v>77</v>
      </c>
      <c r="F1080" t="s">
        <v>25</v>
      </c>
      <c r="G1080" t="s">
        <v>81</v>
      </c>
      <c r="H1080" t="s">
        <v>45</v>
      </c>
      <c r="I1080" t="s">
        <v>42</v>
      </c>
      <c r="J1080" t="s">
        <v>28</v>
      </c>
      <c r="K1080">
        <v>3</v>
      </c>
      <c r="L1080">
        <v>2321.4699999999998</v>
      </c>
      <c r="M1080">
        <v>5</v>
      </c>
      <c r="N1080">
        <v>6616.18</v>
      </c>
      <c r="O1080" t="s">
        <v>36</v>
      </c>
    </row>
    <row r="1081" spans="1:15" x14ac:dyDescent="0.3">
      <c r="A1081" t="s">
        <v>1149</v>
      </c>
      <c r="B1081" s="2">
        <v>46371</v>
      </c>
      <c r="C1081" t="s">
        <v>31</v>
      </c>
      <c r="D1081" t="str">
        <f t="shared" si="16"/>
        <v>December</v>
      </c>
      <c r="E1081" t="s">
        <v>72</v>
      </c>
      <c r="F1081" t="s">
        <v>40</v>
      </c>
      <c r="G1081" t="s">
        <v>75</v>
      </c>
      <c r="H1081" t="s">
        <v>19</v>
      </c>
      <c r="I1081" t="s">
        <v>42</v>
      </c>
      <c r="J1081" t="s">
        <v>21</v>
      </c>
      <c r="K1081">
        <v>1</v>
      </c>
      <c r="L1081">
        <v>5666.93</v>
      </c>
      <c r="M1081">
        <v>0</v>
      </c>
      <c r="N1081">
        <v>5666.93</v>
      </c>
      <c r="O1081" t="s">
        <v>29</v>
      </c>
    </row>
    <row r="1082" spans="1:15" x14ac:dyDescent="0.3">
      <c r="A1082" t="s">
        <v>1150</v>
      </c>
      <c r="B1082" s="2">
        <v>46372</v>
      </c>
      <c r="C1082" t="s">
        <v>38</v>
      </c>
      <c r="D1082" t="str">
        <f t="shared" si="16"/>
        <v>December</v>
      </c>
      <c r="E1082" t="s">
        <v>50</v>
      </c>
      <c r="F1082" t="s">
        <v>17</v>
      </c>
      <c r="G1082" t="s">
        <v>18</v>
      </c>
      <c r="H1082" t="s">
        <v>33</v>
      </c>
      <c r="I1082" t="s">
        <v>34</v>
      </c>
      <c r="J1082" t="s">
        <v>21</v>
      </c>
      <c r="K1082">
        <v>2</v>
      </c>
      <c r="L1082">
        <v>56190.26</v>
      </c>
      <c r="M1082">
        <v>15</v>
      </c>
      <c r="N1082">
        <v>95523.44</v>
      </c>
      <c r="O1082" t="s">
        <v>47</v>
      </c>
    </row>
    <row r="1083" spans="1:15" x14ac:dyDescent="0.3">
      <c r="A1083" t="s">
        <v>1151</v>
      </c>
      <c r="B1083" s="2">
        <v>46373</v>
      </c>
      <c r="C1083" t="s">
        <v>58</v>
      </c>
      <c r="D1083" t="str">
        <f t="shared" si="16"/>
        <v>December</v>
      </c>
      <c r="E1083" t="s">
        <v>100</v>
      </c>
      <c r="F1083" t="s">
        <v>25</v>
      </c>
      <c r="G1083" t="s">
        <v>92</v>
      </c>
      <c r="H1083" t="s">
        <v>27</v>
      </c>
      <c r="I1083" t="s">
        <v>20</v>
      </c>
      <c r="J1083" t="s">
        <v>28</v>
      </c>
      <c r="K1083">
        <v>2</v>
      </c>
      <c r="L1083">
        <v>2532.37</v>
      </c>
      <c r="M1083">
        <v>15</v>
      </c>
      <c r="N1083">
        <v>4305.03</v>
      </c>
      <c r="O1083" t="s">
        <v>29</v>
      </c>
    </row>
    <row r="1084" spans="1:15" x14ac:dyDescent="0.3">
      <c r="A1084" t="s">
        <v>1152</v>
      </c>
      <c r="B1084" s="2">
        <v>46374</v>
      </c>
      <c r="C1084" t="s">
        <v>58</v>
      </c>
      <c r="D1084" t="str">
        <f t="shared" si="16"/>
        <v>December</v>
      </c>
      <c r="E1084" t="s">
        <v>100</v>
      </c>
      <c r="F1084" t="s">
        <v>60</v>
      </c>
      <c r="G1084" t="s">
        <v>61</v>
      </c>
      <c r="H1084" t="s">
        <v>33</v>
      </c>
      <c r="I1084" t="s">
        <v>20</v>
      </c>
      <c r="J1084" t="s">
        <v>46</v>
      </c>
      <c r="K1084">
        <v>1</v>
      </c>
      <c r="L1084">
        <v>46450.32</v>
      </c>
      <c r="M1084">
        <v>20</v>
      </c>
      <c r="N1084">
        <v>37160.25</v>
      </c>
      <c r="O1084" t="s">
        <v>36</v>
      </c>
    </row>
    <row r="1085" spans="1:15" x14ac:dyDescent="0.3">
      <c r="A1085" t="s">
        <v>1153</v>
      </c>
      <c r="B1085" s="2">
        <v>46375</v>
      </c>
      <c r="C1085" t="s">
        <v>31</v>
      </c>
      <c r="D1085" t="str">
        <f t="shared" si="16"/>
        <v>December</v>
      </c>
      <c r="E1085" t="s">
        <v>39</v>
      </c>
      <c r="F1085" t="s">
        <v>40</v>
      </c>
      <c r="G1085" t="s">
        <v>118</v>
      </c>
      <c r="H1085" t="s">
        <v>33</v>
      </c>
      <c r="I1085" t="s">
        <v>42</v>
      </c>
      <c r="J1085" t="s">
        <v>46</v>
      </c>
      <c r="K1085">
        <v>3</v>
      </c>
      <c r="L1085">
        <v>6017.75</v>
      </c>
      <c r="M1085">
        <v>0</v>
      </c>
      <c r="N1085">
        <v>18053.25</v>
      </c>
      <c r="O1085" t="s">
        <v>29</v>
      </c>
    </row>
    <row r="1086" spans="1:15" x14ac:dyDescent="0.3">
      <c r="A1086" t="s">
        <v>1154</v>
      </c>
      <c r="B1086" s="2">
        <v>46376</v>
      </c>
      <c r="C1086" t="s">
        <v>49</v>
      </c>
      <c r="D1086" t="str">
        <f t="shared" si="16"/>
        <v>December</v>
      </c>
      <c r="E1086" t="s">
        <v>77</v>
      </c>
      <c r="F1086" t="s">
        <v>17</v>
      </c>
      <c r="G1086" t="s">
        <v>67</v>
      </c>
      <c r="H1086" t="s">
        <v>33</v>
      </c>
      <c r="I1086" t="s">
        <v>34</v>
      </c>
      <c r="J1086" t="s">
        <v>21</v>
      </c>
      <c r="K1086">
        <v>3</v>
      </c>
      <c r="L1086">
        <v>46486.73</v>
      </c>
      <c r="M1086">
        <v>0</v>
      </c>
      <c r="N1086">
        <v>139460.20000000001</v>
      </c>
      <c r="O1086" t="s">
        <v>29</v>
      </c>
    </row>
    <row r="1087" spans="1:15" x14ac:dyDescent="0.3">
      <c r="A1087" t="s">
        <v>1155</v>
      </c>
      <c r="B1087" s="2">
        <v>46377</v>
      </c>
      <c r="C1087" t="s">
        <v>38</v>
      </c>
      <c r="D1087" t="str">
        <f t="shared" si="16"/>
        <v>December</v>
      </c>
      <c r="E1087" t="s">
        <v>52</v>
      </c>
      <c r="F1087" t="s">
        <v>40</v>
      </c>
      <c r="G1087" t="s">
        <v>115</v>
      </c>
      <c r="H1087" t="s">
        <v>19</v>
      </c>
      <c r="I1087" t="s">
        <v>34</v>
      </c>
      <c r="J1087" t="s">
        <v>46</v>
      </c>
      <c r="K1087">
        <v>2</v>
      </c>
      <c r="L1087">
        <v>8068.68</v>
      </c>
      <c r="M1087">
        <v>10</v>
      </c>
      <c r="N1087">
        <v>14523.63</v>
      </c>
      <c r="O1087" t="s">
        <v>22</v>
      </c>
    </row>
    <row r="1088" spans="1:15" x14ac:dyDescent="0.3">
      <c r="A1088" t="s">
        <v>1156</v>
      </c>
      <c r="B1088" s="2">
        <v>46378</v>
      </c>
      <c r="C1088" t="s">
        <v>38</v>
      </c>
      <c r="D1088" t="str">
        <f t="shared" si="16"/>
        <v>December</v>
      </c>
      <c r="E1088" t="s">
        <v>32</v>
      </c>
      <c r="F1088" t="s">
        <v>53</v>
      </c>
      <c r="G1088" t="s">
        <v>65</v>
      </c>
      <c r="H1088" t="s">
        <v>19</v>
      </c>
      <c r="I1088" t="s">
        <v>42</v>
      </c>
      <c r="J1088" t="s">
        <v>21</v>
      </c>
      <c r="K1088">
        <v>1</v>
      </c>
      <c r="L1088">
        <v>28952.34</v>
      </c>
      <c r="M1088">
        <v>0</v>
      </c>
      <c r="N1088">
        <v>28952.34</v>
      </c>
      <c r="O1088" t="s">
        <v>29</v>
      </c>
    </row>
    <row r="1089" spans="1:15" x14ac:dyDescent="0.3">
      <c r="A1089" t="s">
        <v>1157</v>
      </c>
      <c r="B1089" s="2">
        <v>46379</v>
      </c>
      <c r="C1089" t="s">
        <v>49</v>
      </c>
      <c r="D1089" t="str">
        <f t="shared" si="16"/>
        <v>December</v>
      </c>
      <c r="E1089" t="s">
        <v>39</v>
      </c>
      <c r="F1089" t="s">
        <v>60</v>
      </c>
      <c r="G1089" t="s">
        <v>61</v>
      </c>
      <c r="H1089" t="s">
        <v>19</v>
      </c>
      <c r="I1089" t="s">
        <v>42</v>
      </c>
      <c r="J1089" t="s">
        <v>46</v>
      </c>
      <c r="K1089">
        <v>3</v>
      </c>
      <c r="L1089">
        <v>47623.22</v>
      </c>
      <c r="M1089">
        <v>15</v>
      </c>
      <c r="N1089">
        <v>121439.21</v>
      </c>
      <c r="O1089" t="s">
        <v>47</v>
      </c>
    </row>
    <row r="1090" spans="1:15" x14ac:dyDescent="0.3">
      <c r="A1090" t="s">
        <v>1158</v>
      </c>
      <c r="B1090" s="2">
        <v>46380</v>
      </c>
      <c r="C1090" t="s">
        <v>58</v>
      </c>
      <c r="D1090" t="str">
        <f t="shared" si="16"/>
        <v>December</v>
      </c>
      <c r="E1090" t="s">
        <v>77</v>
      </c>
      <c r="F1090" t="s">
        <v>60</v>
      </c>
      <c r="G1090" t="s">
        <v>70</v>
      </c>
      <c r="H1090" t="s">
        <v>45</v>
      </c>
      <c r="I1090" t="s">
        <v>34</v>
      </c>
      <c r="J1090" t="s">
        <v>46</v>
      </c>
      <c r="K1090">
        <v>3</v>
      </c>
      <c r="L1090">
        <v>40731.72</v>
      </c>
      <c r="M1090">
        <v>15</v>
      </c>
      <c r="N1090">
        <v>103865.88</v>
      </c>
      <c r="O1090" t="s">
        <v>36</v>
      </c>
    </row>
    <row r="1091" spans="1:15" x14ac:dyDescent="0.3">
      <c r="A1091" t="s">
        <v>1159</v>
      </c>
      <c r="B1091" s="2">
        <v>46381</v>
      </c>
      <c r="C1091" t="s">
        <v>31</v>
      </c>
      <c r="D1091" t="str">
        <f t="shared" ref="D1091:D1154" si="17">TEXT(B1091,"mmmm")</f>
        <v>December</v>
      </c>
      <c r="E1091" t="s">
        <v>100</v>
      </c>
      <c r="F1091" t="s">
        <v>17</v>
      </c>
      <c r="G1091" t="s">
        <v>18</v>
      </c>
      <c r="H1091" t="s">
        <v>45</v>
      </c>
      <c r="I1091" t="s">
        <v>34</v>
      </c>
      <c r="J1091" t="s">
        <v>35</v>
      </c>
      <c r="K1091">
        <v>4</v>
      </c>
      <c r="L1091">
        <v>54187.94</v>
      </c>
      <c r="M1091">
        <v>5</v>
      </c>
      <c r="N1091">
        <v>205914.17</v>
      </c>
      <c r="O1091" t="s">
        <v>47</v>
      </c>
    </row>
    <row r="1092" spans="1:15" x14ac:dyDescent="0.3">
      <c r="A1092" t="s">
        <v>1160</v>
      </c>
      <c r="B1092" s="2">
        <v>46382</v>
      </c>
      <c r="C1092" t="s">
        <v>49</v>
      </c>
      <c r="D1092" t="str">
        <f t="shared" si="17"/>
        <v>December</v>
      </c>
      <c r="E1092" t="s">
        <v>50</v>
      </c>
      <c r="F1092" t="s">
        <v>25</v>
      </c>
      <c r="G1092" t="s">
        <v>81</v>
      </c>
      <c r="H1092" t="s">
        <v>45</v>
      </c>
      <c r="I1092" t="s">
        <v>34</v>
      </c>
      <c r="J1092" t="s">
        <v>35</v>
      </c>
      <c r="K1092">
        <v>5</v>
      </c>
      <c r="L1092">
        <v>2698.9</v>
      </c>
      <c r="M1092">
        <v>0</v>
      </c>
      <c r="N1092">
        <v>13494.52</v>
      </c>
      <c r="O1092" t="s">
        <v>47</v>
      </c>
    </row>
    <row r="1093" spans="1:15" x14ac:dyDescent="0.3">
      <c r="A1093" t="s">
        <v>1161</v>
      </c>
      <c r="B1093" s="2">
        <v>46383</v>
      </c>
      <c r="C1093" t="s">
        <v>58</v>
      </c>
      <c r="D1093" t="str">
        <f t="shared" si="17"/>
        <v>December</v>
      </c>
      <c r="E1093" t="s">
        <v>16</v>
      </c>
      <c r="F1093" t="s">
        <v>25</v>
      </c>
      <c r="G1093" t="s">
        <v>81</v>
      </c>
      <c r="H1093" t="s">
        <v>33</v>
      </c>
      <c r="I1093" t="s">
        <v>42</v>
      </c>
      <c r="J1093" t="s">
        <v>35</v>
      </c>
      <c r="K1093">
        <v>4</v>
      </c>
      <c r="L1093">
        <v>3103.74</v>
      </c>
      <c r="M1093">
        <v>10</v>
      </c>
      <c r="N1093">
        <v>11173.48</v>
      </c>
      <c r="O1093" t="s">
        <v>47</v>
      </c>
    </row>
    <row r="1094" spans="1:15" x14ac:dyDescent="0.3">
      <c r="A1094" t="s">
        <v>1162</v>
      </c>
      <c r="B1094" s="2">
        <v>46384</v>
      </c>
      <c r="C1094" t="s">
        <v>49</v>
      </c>
      <c r="D1094" t="str">
        <f t="shared" si="17"/>
        <v>December</v>
      </c>
      <c r="E1094" t="s">
        <v>72</v>
      </c>
      <c r="F1094" t="s">
        <v>60</v>
      </c>
      <c r="G1094" t="s">
        <v>70</v>
      </c>
      <c r="H1094" t="s">
        <v>45</v>
      </c>
      <c r="I1094" t="s">
        <v>42</v>
      </c>
      <c r="J1094" t="s">
        <v>43</v>
      </c>
      <c r="K1094">
        <v>1</v>
      </c>
      <c r="L1094">
        <v>34516.68</v>
      </c>
      <c r="M1094">
        <v>0</v>
      </c>
      <c r="N1094">
        <v>34516.68</v>
      </c>
      <c r="O1094" t="s">
        <v>47</v>
      </c>
    </row>
    <row r="1095" spans="1:15" x14ac:dyDescent="0.3">
      <c r="A1095" t="s">
        <v>1163</v>
      </c>
      <c r="B1095" s="2">
        <v>46385</v>
      </c>
      <c r="C1095" t="s">
        <v>15</v>
      </c>
      <c r="D1095" t="str">
        <f t="shared" si="17"/>
        <v>December</v>
      </c>
      <c r="E1095" t="s">
        <v>52</v>
      </c>
      <c r="F1095" t="s">
        <v>53</v>
      </c>
      <c r="G1095" t="s">
        <v>54</v>
      </c>
      <c r="H1095" t="s">
        <v>19</v>
      </c>
      <c r="I1095" t="s">
        <v>20</v>
      </c>
      <c r="J1095" t="s">
        <v>35</v>
      </c>
      <c r="K1095">
        <v>4</v>
      </c>
      <c r="L1095">
        <v>28341.13</v>
      </c>
      <c r="M1095">
        <v>0</v>
      </c>
      <c r="N1095">
        <v>113364.54</v>
      </c>
      <c r="O1095" t="s">
        <v>47</v>
      </c>
    </row>
    <row r="1096" spans="1:15" x14ac:dyDescent="0.3">
      <c r="A1096" t="s">
        <v>1164</v>
      </c>
      <c r="B1096" s="2">
        <v>46386</v>
      </c>
      <c r="C1096" t="s">
        <v>38</v>
      </c>
      <c r="D1096" t="str">
        <f t="shared" si="17"/>
        <v>December</v>
      </c>
      <c r="E1096" t="s">
        <v>69</v>
      </c>
      <c r="F1096" t="s">
        <v>53</v>
      </c>
      <c r="G1096" t="s">
        <v>129</v>
      </c>
      <c r="H1096" t="s">
        <v>19</v>
      </c>
      <c r="I1096" t="s">
        <v>42</v>
      </c>
      <c r="J1096" t="s">
        <v>46</v>
      </c>
      <c r="K1096">
        <v>1</v>
      </c>
      <c r="L1096">
        <v>37660.17</v>
      </c>
      <c r="M1096">
        <v>5</v>
      </c>
      <c r="N1096">
        <v>35777.17</v>
      </c>
      <c r="O1096" t="s">
        <v>36</v>
      </c>
    </row>
    <row r="1097" spans="1:15" x14ac:dyDescent="0.3">
      <c r="A1097" t="s">
        <v>1165</v>
      </c>
      <c r="B1097" s="2">
        <v>46387</v>
      </c>
      <c r="C1097" t="s">
        <v>49</v>
      </c>
      <c r="D1097" t="str">
        <f t="shared" si="17"/>
        <v>December</v>
      </c>
      <c r="E1097" t="s">
        <v>39</v>
      </c>
      <c r="F1097" t="s">
        <v>40</v>
      </c>
      <c r="G1097" t="s">
        <v>75</v>
      </c>
      <c r="H1097" t="s">
        <v>45</v>
      </c>
      <c r="I1097" t="s">
        <v>34</v>
      </c>
      <c r="J1097" t="s">
        <v>43</v>
      </c>
      <c r="K1097">
        <v>5</v>
      </c>
      <c r="L1097">
        <v>4933.37</v>
      </c>
      <c r="M1097">
        <v>15</v>
      </c>
      <c r="N1097">
        <v>20966.84</v>
      </c>
      <c r="O1097" t="s">
        <v>47</v>
      </c>
    </row>
    <row r="1098" spans="1:15" x14ac:dyDescent="0.3">
      <c r="A1098" t="s">
        <v>1166</v>
      </c>
      <c r="B1098" s="2">
        <v>46388</v>
      </c>
      <c r="C1098" t="s">
        <v>58</v>
      </c>
      <c r="D1098" t="str">
        <f t="shared" si="17"/>
        <v>January</v>
      </c>
      <c r="E1098" t="s">
        <v>16</v>
      </c>
      <c r="F1098" t="s">
        <v>25</v>
      </c>
      <c r="G1098" t="s">
        <v>81</v>
      </c>
      <c r="H1098" t="s">
        <v>45</v>
      </c>
      <c r="I1098" t="s">
        <v>34</v>
      </c>
      <c r="J1098" t="s">
        <v>28</v>
      </c>
      <c r="K1098">
        <v>4</v>
      </c>
      <c r="L1098">
        <v>2249.59</v>
      </c>
      <c r="M1098">
        <v>0</v>
      </c>
      <c r="N1098">
        <v>8998.36</v>
      </c>
      <c r="O1098" t="s">
        <v>22</v>
      </c>
    </row>
    <row r="1099" spans="1:15" x14ac:dyDescent="0.3">
      <c r="A1099" t="s">
        <v>1167</v>
      </c>
      <c r="B1099" s="2">
        <v>46389</v>
      </c>
      <c r="C1099" t="s">
        <v>31</v>
      </c>
      <c r="D1099" t="str">
        <f t="shared" si="17"/>
        <v>January</v>
      </c>
      <c r="E1099" t="s">
        <v>39</v>
      </c>
      <c r="F1099" t="s">
        <v>17</v>
      </c>
      <c r="G1099" t="s">
        <v>67</v>
      </c>
      <c r="H1099" t="s">
        <v>19</v>
      </c>
      <c r="I1099" t="s">
        <v>34</v>
      </c>
      <c r="J1099" t="s">
        <v>28</v>
      </c>
      <c r="K1099">
        <v>4</v>
      </c>
      <c r="L1099">
        <v>53302.2</v>
      </c>
      <c r="M1099">
        <v>15</v>
      </c>
      <c r="N1099">
        <v>181227.47</v>
      </c>
      <c r="O1099" t="s">
        <v>47</v>
      </c>
    </row>
    <row r="1100" spans="1:15" x14ac:dyDescent="0.3">
      <c r="A1100" t="s">
        <v>1168</v>
      </c>
      <c r="B1100" s="2">
        <v>46390</v>
      </c>
      <c r="C1100" t="s">
        <v>15</v>
      </c>
      <c r="D1100" t="str">
        <f t="shared" si="17"/>
        <v>January</v>
      </c>
      <c r="E1100" t="s">
        <v>100</v>
      </c>
      <c r="F1100" t="s">
        <v>60</v>
      </c>
      <c r="G1100" t="s">
        <v>78</v>
      </c>
      <c r="H1100" t="s">
        <v>45</v>
      </c>
      <c r="I1100" t="s">
        <v>42</v>
      </c>
      <c r="J1100" t="s">
        <v>46</v>
      </c>
      <c r="K1100">
        <v>2</v>
      </c>
      <c r="L1100">
        <v>47763.76</v>
      </c>
      <c r="M1100">
        <v>15</v>
      </c>
      <c r="N1100">
        <v>81198.39</v>
      </c>
      <c r="O1100" t="s">
        <v>36</v>
      </c>
    </row>
    <row r="1101" spans="1:15" x14ac:dyDescent="0.3">
      <c r="A1101" t="s">
        <v>1169</v>
      </c>
      <c r="B1101" s="2">
        <v>46391</v>
      </c>
      <c r="C1101" t="s">
        <v>15</v>
      </c>
      <c r="D1101" t="str">
        <f t="shared" si="17"/>
        <v>January</v>
      </c>
      <c r="E1101" t="s">
        <v>16</v>
      </c>
      <c r="F1101" t="s">
        <v>60</v>
      </c>
      <c r="G1101" t="s">
        <v>73</v>
      </c>
      <c r="H1101" t="s">
        <v>33</v>
      </c>
      <c r="I1101" t="s">
        <v>34</v>
      </c>
      <c r="J1101" t="s">
        <v>43</v>
      </c>
      <c r="K1101">
        <v>1</v>
      </c>
      <c r="L1101">
        <v>50017.23</v>
      </c>
      <c r="M1101">
        <v>0</v>
      </c>
      <c r="N1101">
        <v>50017.23</v>
      </c>
      <c r="O1101" t="s">
        <v>29</v>
      </c>
    </row>
    <row r="1102" spans="1:15" x14ac:dyDescent="0.3">
      <c r="A1102" t="s">
        <v>1170</v>
      </c>
      <c r="B1102" s="2">
        <v>46392</v>
      </c>
      <c r="C1102" t="s">
        <v>38</v>
      </c>
      <c r="D1102" t="str">
        <f t="shared" si="17"/>
        <v>January</v>
      </c>
      <c r="E1102" t="s">
        <v>16</v>
      </c>
      <c r="F1102" t="s">
        <v>53</v>
      </c>
      <c r="G1102" t="s">
        <v>105</v>
      </c>
      <c r="H1102" t="s">
        <v>33</v>
      </c>
      <c r="I1102" t="s">
        <v>42</v>
      </c>
      <c r="J1102" t="s">
        <v>46</v>
      </c>
      <c r="K1102">
        <v>2</v>
      </c>
      <c r="L1102">
        <v>36542.019999999997</v>
      </c>
      <c r="M1102">
        <v>15</v>
      </c>
      <c r="N1102">
        <v>62121.440000000002</v>
      </c>
      <c r="O1102" t="s">
        <v>47</v>
      </c>
    </row>
    <row r="1103" spans="1:15" x14ac:dyDescent="0.3">
      <c r="A1103" t="s">
        <v>1171</v>
      </c>
      <c r="B1103" s="2">
        <v>46393</v>
      </c>
      <c r="C1103" t="s">
        <v>58</v>
      </c>
      <c r="D1103" t="str">
        <f t="shared" si="17"/>
        <v>January</v>
      </c>
      <c r="E1103" t="s">
        <v>32</v>
      </c>
      <c r="F1103" t="s">
        <v>53</v>
      </c>
      <c r="G1103" t="s">
        <v>105</v>
      </c>
      <c r="H1103" t="s">
        <v>19</v>
      </c>
      <c r="I1103" t="s">
        <v>20</v>
      </c>
      <c r="J1103" t="s">
        <v>35</v>
      </c>
      <c r="K1103">
        <v>1</v>
      </c>
      <c r="L1103">
        <v>30662.95</v>
      </c>
      <c r="M1103">
        <v>10</v>
      </c>
      <c r="N1103">
        <v>27596.65</v>
      </c>
      <c r="O1103" t="s">
        <v>36</v>
      </c>
    </row>
    <row r="1104" spans="1:15" x14ac:dyDescent="0.3">
      <c r="A1104" t="s">
        <v>1172</v>
      </c>
      <c r="B1104" s="2">
        <v>46394</v>
      </c>
      <c r="C1104" t="s">
        <v>38</v>
      </c>
      <c r="D1104" t="str">
        <f t="shared" si="17"/>
        <v>January</v>
      </c>
      <c r="E1104" t="s">
        <v>39</v>
      </c>
      <c r="F1104" t="s">
        <v>53</v>
      </c>
      <c r="G1104" t="s">
        <v>129</v>
      </c>
      <c r="H1104" t="s">
        <v>33</v>
      </c>
      <c r="I1104" t="s">
        <v>42</v>
      </c>
      <c r="J1104" t="s">
        <v>28</v>
      </c>
      <c r="K1104">
        <v>1</v>
      </c>
      <c r="L1104">
        <v>28471.88</v>
      </c>
      <c r="M1104">
        <v>0</v>
      </c>
      <c r="N1104">
        <v>28471.88</v>
      </c>
      <c r="O1104" t="s">
        <v>47</v>
      </c>
    </row>
    <row r="1105" spans="1:15" x14ac:dyDescent="0.3">
      <c r="A1105" t="s">
        <v>1173</v>
      </c>
      <c r="B1105" s="2">
        <v>46395</v>
      </c>
      <c r="C1105" t="s">
        <v>38</v>
      </c>
      <c r="D1105" t="str">
        <f t="shared" si="17"/>
        <v>January</v>
      </c>
      <c r="E1105" t="s">
        <v>24</v>
      </c>
      <c r="F1105" t="s">
        <v>53</v>
      </c>
      <c r="G1105" t="s">
        <v>129</v>
      </c>
      <c r="H1105" t="s">
        <v>45</v>
      </c>
      <c r="I1105" t="s">
        <v>34</v>
      </c>
      <c r="J1105" t="s">
        <v>21</v>
      </c>
      <c r="K1105">
        <v>5</v>
      </c>
      <c r="L1105">
        <v>39165.480000000003</v>
      </c>
      <c r="M1105">
        <v>0</v>
      </c>
      <c r="N1105">
        <v>195827.41</v>
      </c>
      <c r="O1105" t="s">
        <v>29</v>
      </c>
    </row>
    <row r="1106" spans="1:15" x14ac:dyDescent="0.3">
      <c r="A1106" t="s">
        <v>1174</v>
      </c>
      <c r="B1106" s="2">
        <v>46396</v>
      </c>
      <c r="C1106" t="s">
        <v>15</v>
      </c>
      <c r="D1106" t="str">
        <f t="shared" si="17"/>
        <v>January</v>
      </c>
      <c r="E1106" t="s">
        <v>100</v>
      </c>
      <c r="F1106" t="s">
        <v>25</v>
      </c>
      <c r="G1106" t="s">
        <v>92</v>
      </c>
      <c r="H1106" t="s">
        <v>27</v>
      </c>
      <c r="I1106" t="s">
        <v>20</v>
      </c>
      <c r="J1106" t="s">
        <v>43</v>
      </c>
      <c r="K1106">
        <v>4</v>
      </c>
      <c r="L1106">
        <v>2869.98</v>
      </c>
      <c r="M1106">
        <v>15</v>
      </c>
      <c r="N1106">
        <v>9757.92</v>
      </c>
      <c r="O1106" t="s">
        <v>47</v>
      </c>
    </row>
    <row r="1107" spans="1:15" x14ac:dyDescent="0.3">
      <c r="A1107" t="s">
        <v>1175</v>
      </c>
      <c r="B1107" s="2">
        <v>46397</v>
      </c>
      <c r="C1107" t="s">
        <v>49</v>
      </c>
      <c r="D1107" t="str">
        <f t="shared" si="17"/>
        <v>January</v>
      </c>
      <c r="E1107" t="s">
        <v>32</v>
      </c>
      <c r="F1107" t="s">
        <v>40</v>
      </c>
      <c r="G1107" t="s">
        <v>75</v>
      </c>
      <c r="H1107" t="s">
        <v>19</v>
      </c>
      <c r="I1107" t="s">
        <v>20</v>
      </c>
      <c r="J1107" t="s">
        <v>28</v>
      </c>
      <c r="K1107">
        <v>2</v>
      </c>
      <c r="L1107">
        <v>5693.91</v>
      </c>
      <c r="M1107">
        <v>10</v>
      </c>
      <c r="N1107">
        <v>10249.030000000001</v>
      </c>
      <c r="O1107" t="s">
        <v>36</v>
      </c>
    </row>
    <row r="1108" spans="1:15" x14ac:dyDescent="0.3">
      <c r="A1108" t="s">
        <v>1176</v>
      </c>
      <c r="B1108" s="2">
        <v>46398</v>
      </c>
      <c r="C1108" t="s">
        <v>15</v>
      </c>
      <c r="D1108" t="str">
        <f t="shared" si="17"/>
        <v>January</v>
      </c>
      <c r="E1108" t="s">
        <v>52</v>
      </c>
      <c r="F1108" t="s">
        <v>60</v>
      </c>
      <c r="G1108" t="s">
        <v>73</v>
      </c>
      <c r="H1108" t="s">
        <v>27</v>
      </c>
      <c r="I1108" t="s">
        <v>42</v>
      </c>
      <c r="J1108" t="s">
        <v>43</v>
      </c>
      <c r="K1108">
        <v>5</v>
      </c>
      <c r="L1108">
        <v>38009.629999999997</v>
      </c>
      <c r="M1108">
        <v>5</v>
      </c>
      <c r="N1108">
        <v>180545.76</v>
      </c>
      <c r="O1108" t="s">
        <v>36</v>
      </c>
    </row>
    <row r="1109" spans="1:15" x14ac:dyDescent="0.3">
      <c r="A1109" t="s">
        <v>1177</v>
      </c>
      <c r="B1109" s="2">
        <v>46399</v>
      </c>
      <c r="C1109" t="s">
        <v>38</v>
      </c>
      <c r="D1109" t="str">
        <f t="shared" si="17"/>
        <v>January</v>
      </c>
      <c r="E1109" t="s">
        <v>77</v>
      </c>
      <c r="F1109" t="s">
        <v>40</v>
      </c>
      <c r="G1109" t="s">
        <v>75</v>
      </c>
      <c r="H1109" t="s">
        <v>45</v>
      </c>
      <c r="I1109" t="s">
        <v>34</v>
      </c>
      <c r="J1109" t="s">
        <v>46</v>
      </c>
      <c r="K1109">
        <v>1</v>
      </c>
      <c r="L1109">
        <v>5894.6</v>
      </c>
      <c r="M1109">
        <v>0</v>
      </c>
      <c r="N1109">
        <v>5894.6</v>
      </c>
      <c r="O1109" t="s">
        <v>47</v>
      </c>
    </row>
    <row r="1110" spans="1:15" x14ac:dyDescent="0.3">
      <c r="A1110" t="s">
        <v>1178</v>
      </c>
      <c r="B1110" s="2">
        <v>46400</v>
      </c>
      <c r="C1110" t="s">
        <v>15</v>
      </c>
      <c r="D1110" t="str">
        <f t="shared" si="17"/>
        <v>January</v>
      </c>
      <c r="E1110" t="s">
        <v>77</v>
      </c>
      <c r="F1110" t="s">
        <v>17</v>
      </c>
      <c r="G1110" t="s">
        <v>67</v>
      </c>
      <c r="H1110" t="s">
        <v>33</v>
      </c>
      <c r="I1110" t="s">
        <v>42</v>
      </c>
      <c r="J1110" t="s">
        <v>21</v>
      </c>
      <c r="K1110">
        <v>2</v>
      </c>
      <c r="L1110">
        <v>55322.55</v>
      </c>
      <c r="M1110">
        <v>15</v>
      </c>
      <c r="N1110">
        <v>94048.34</v>
      </c>
      <c r="O1110" t="s">
        <v>22</v>
      </c>
    </row>
    <row r="1111" spans="1:15" x14ac:dyDescent="0.3">
      <c r="A1111" t="s">
        <v>1179</v>
      </c>
      <c r="B1111" s="2">
        <v>46401</v>
      </c>
      <c r="C1111" t="s">
        <v>31</v>
      </c>
      <c r="D1111" t="str">
        <f t="shared" si="17"/>
        <v>January</v>
      </c>
      <c r="E1111" t="s">
        <v>32</v>
      </c>
      <c r="F1111" t="s">
        <v>40</v>
      </c>
      <c r="G1111" t="s">
        <v>118</v>
      </c>
      <c r="H1111" t="s">
        <v>19</v>
      </c>
      <c r="I1111" t="s">
        <v>42</v>
      </c>
      <c r="J1111" t="s">
        <v>43</v>
      </c>
      <c r="K1111">
        <v>5</v>
      </c>
      <c r="L1111">
        <v>6843.57</v>
      </c>
      <c r="M1111">
        <v>20</v>
      </c>
      <c r="N1111">
        <v>27374.29</v>
      </c>
      <c r="O1111" t="s">
        <v>47</v>
      </c>
    </row>
    <row r="1112" spans="1:15" x14ac:dyDescent="0.3">
      <c r="A1112" t="s">
        <v>1180</v>
      </c>
      <c r="B1112" s="2">
        <v>46402</v>
      </c>
      <c r="C1112" t="s">
        <v>15</v>
      </c>
      <c r="D1112" t="str">
        <f t="shared" si="17"/>
        <v>January</v>
      </c>
      <c r="E1112" t="s">
        <v>16</v>
      </c>
      <c r="F1112" t="s">
        <v>60</v>
      </c>
      <c r="G1112" t="s">
        <v>61</v>
      </c>
      <c r="H1112" t="s">
        <v>19</v>
      </c>
      <c r="I1112" t="s">
        <v>42</v>
      </c>
      <c r="J1112" t="s">
        <v>28</v>
      </c>
      <c r="K1112">
        <v>2</v>
      </c>
      <c r="L1112">
        <v>34516.07</v>
      </c>
      <c r="M1112">
        <v>0</v>
      </c>
      <c r="N1112">
        <v>69032.13</v>
      </c>
      <c r="O1112" t="s">
        <v>29</v>
      </c>
    </row>
    <row r="1113" spans="1:15" x14ac:dyDescent="0.3">
      <c r="A1113" t="s">
        <v>1181</v>
      </c>
      <c r="B1113" s="2">
        <v>46403</v>
      </c>
      <c r="C1113" t="s">
        <v>31</v>
      </c>
      <c r="D1113" t="str">
        <f t="shared" si="17"/>
        <v>January</v>
      </c>
      <c r="E1113" t="s">
        <v>50</v>
      </c>
      <c r="F1113" t="s">
        <v>60</v>
      </c>
      <c r="G1113" t="s">
        <v>73</v>
      </c>
      <c r="H1113" t="s">
        <v>45</v>
      </c>
      <c r="I1113" t="s">
        <v>42</v>
      </c>
      <c r="J1113" t="s">
        <v>21</v>
      </c>
      <c r="K1113">
        <v>1</v>
      </c>
      <c r="L1113">
        <v>51187.58</v>
      </c>
      <c r="M1113">
        <v>10</v>
      </c>
      <c r="N1113">
        <v>46068.82</v>
      </c>
      <c r="O1113" t="s">
        <v>22</v>
      </c>
    </row>
    <row r="1114" spans="1:15" x14ac:dyDescent="0.3">
      <c r="A1114" t="s">
        <v>1182</v>
      </c>
      <c r="B1114" s="2">
        <v>46404</v>
      </c>
      <c r="C1114" t="s">
        <v>15</v>
      </c>
      <c r="D1114" t="str">
        <f t="shared" si="17"/>
        <v>January</v>
      </c>
      <c r="E1114" t="s">
        <v>16</v>
      </c>
      <c r="F1114" t="s">
        <v>60</v>
      </c>
      <c r="G1114" t="s">
        <v>73</v>
      </c>
      <c r="H1114" t="s">
        <v>27</v>
      </c>
      <c r="I1114" t="s">
        <v>34</v>
      </c>
      <c r="J1114" t="s">
        <v>46</v>
      </c>
      <c r="K1114">
        <v>4</v>
      </c>
      <c r="L1114">
        <v>32839.370000000003</v>
      </c>
      <c r="M1114">
        <v>10</v>
      </c>
      <c r="N1114">
        <v>118221.72</v>
      </c>
      <c r="O1114" t="s">
        <v>47</v>
      </c>
    </row>
    <row r="1115" spans="1:15" x14ac:dyDescent="0.3">
      <c r="A1115" t="s">
        <v>1183</v>
      </c>
      <c r="B1115" s="2">
        <v>46405</v>
      </c>
      <c r="C1115" t="s">
        <v>31</v>
      </c>
      <c r="D1115" t="str">
        <f t="shared" si="17"/>
        <v>January</v>
      </c>
      <c r="E1115" t="s">
        <v>69</v>
      </c>
      <c r="F1115" t="s">
        <v>25</v>
      </c>
      <c r="G1115" t="s">
        <v>81</v>
      </c>
      <c r="H1115" t="s">
        <v>27</v>
      </c>
      <c r="I1115" t="s">
        <v>34</v>
      </c>
      <c r="J1115" t="s">
        <v>43</v>
      </c>
      <c r="K1115">
        <v>4</v>
      </c>
      <c r="L1115">
        <v>1998.35</v>
      </c>
      <c r="M1115">
        <v>10</v>
      </c>
      <c r="N1115">
        <v>7194.05</v>
      </c>
      <c r="O1115" t="s">
        <v>36</v>
      </c>
    </row>
    <row r="1116" spans="1:15" x14ac:dyDescent="0.3">
      <c r="A1116" t="s">
        <v>1184</v>
      </c>
      <c r="B1116" s="2">
        <v>46406</v>
      </c>
      <c r="C1116" t="s">
        <v>49</v>
      </c>
      <c r="D1116" t="str">
        <f t="shared" si="17"/>
        <v>January</v>
      </c>
      <c r="E1116" t="s">
        <v>50</v>
      </c>
      <c r="F1116" t="s">
        <v>40</v>
      </c>
      <c r="G1116" t="s">
        <v>118</v>
      </c>
      <c r="H1116" t="s">
        <v>27</v>
      </c>
      <c r="I1116" t="s">
        <v>42</v>
      </c>
      <c r="J1116" t="s">
        <v>43</v>
      </c>
      <c r="K1116">
        <v>4</v>
      </c>
      <c r="L1116">
        <v>5989.66</v>
      </c>
      <c r="M1116">
        <v>20</v>
      </c>
      <c r="N1116">
        <v>19166.900000000001</v>
      </c>
      <c r="O1116" t="s">
        <v>22</v>
      </c>
    </row>
    <row r="1117" spans="1:15" x14ac:dyDescent="0.3">
      <c r="A1117" t="s">
        <v>1185</v>
      </c>
      <c r="B1117" s="2">
        <v>46407</v>
      </c>
      <c r="C1117" t="s">
        <v>58</v>
      </c>
      <c r="D1117" t="str">
        <f t="shared" si="17"/>
        <v>January</v>
      </c>
      <c r="E1117" t="s">
        <v>77</v>
      </c>
      <c r="F1117" t="s">
        <v>17</v>
      </c>
      <c r="G1117" t="s">
        <v>63</v>
      </c>
      <c r="H1117" t="s">
        <v>27</v>
      </c>
      <c r="I1117" t="s">
        <v>34</v>
      </c>
      <c r="J1117" t="s">
        <v>21</v>
      </c>
      <c r="K1117">
        <v>1</v>
      </c>
      <c r="L1117">
        <v>52347.77</v>
      </c>
      <c r="M1117">
        <v>0</v>
      </c>
      <c r="N1117">
        <v>52347.77</v>
      </c>
      <c r="O1117" t="s">
        <v>29</v>
      </c>
    </row>
    <row r="1118" spans="1:15" x14ac:dyDescent="0.3">
      <c r="A1118" t="s">
        <v>1186</v>
      </c>
      <c r="B1118" s="2">
        <v>46408</v>
      </c>
      <c r="C1118" t="s">
        <v>31</v>
      </c>
      <c r="D1118" t="str">
        <f t="shared" si="17"/>
        <v>January</v>
      </c>
      <c r="E1118" t="s">
        <v>100</v>
      </c>
      <c r="F1118" t="s">
        <v>17</v>
      </c>
      <c r="G1118" t="s">
        <v>18</v>
      </c>
      <c r="H1118" t="s">
        <v>45</v>
      </c>
      <c r="I1118" t="s">
        <v>34</v>
      </c>
      <c r="J1118" t="s">
        <v>46</v>
      </c>
      <c r="K1118">
        <v>2</v>
      </c>
      <c r="L1118">
        <v>43667.92</v>
      </c>
      <c r="M1118">
        <v>0</v>
      </c>
      <c r="N1118">
        <v>87335.85</v>
      </c>
      <c r="O1118" t="s">
        <v>47</v>
      </c>
    </row>
    <row r="1119" spans="1:15" x14ac:dyDescent="0.3">
      <c r="A1119" t="s">
        <v>1187</v>
      </c>
      <c r="B1119" s="2">
        <v>46409</v>
      </c>
      <c r="C1119" t="s">
        <v>49</v>
      </c>
      <c r="D1119" t="str">
        <f t="shared" si="17"/>
        <v>January</v>
      </c>
      <c r="E1119" t="s">
        <v>72</v>
      </c>
      <c r="F1119" t="s">
        <v>53</v>
      </c>
      <c r="G1119" t="s">
        <v>65</v>
      </c>
      <c r="H1119" t="s">
        <v>27</v>
      </c>
      <c r="I1119" t="s">
        <v>20</v>
      </c>
      <c r="J1119" t="s">
        <v>35</v>
      </c>
      <c r="K1119">
        <v>4</v>
      </c>
      <c r="L1119">
        <v>25801.02</v>
      </c>
      <c r="M1119">
        <v>10</v>
      </c>
      <c r="N1119">
        <v>92883.67</v>
      </c>
      <c r="O1119" t="s">
        <v>47</v>
      </c>
    </row>
    <row r="1120" spans="1:15" x14ac:dyDescent="0.3">
      <c r="A1120" t="s">
        <v>1188</v>
      </c>
      <c r="B1120" s="2">
        <v>46410</v>
      </c>
      <c r="C1120" t="s">
        <v>15</v>
      </c>
      <c r="D1120" t="str">
        <f t="shared" si="17"/>
        <v>January</v>
      </c>
      <c r="E1120" t="s">
        <v>50</v>
      </c>
      <c r="F1120" t="s">
        <v>17</v>
      </c>
      <c r="G1120" t="s">
        <v>67</v>
      </c>
      <c r="H1120" t="s">
        <v>33</v>
      </c>
      <c r="I1120" t="s">
        <v>42</v>
      </c>
      <c r="J1120" t="s">
        <v>43</v>
      </c>
      <c r="K1120">
        <v>5</v>
      </c>
      <c r="L1120">
        <v>68663.3</v>
      </c>
      <c r="M1120">
        <v>10</v>
      </c>
      <c r="N1120">
        <v>308984.83</v>
      </c>
      <c r="O1120" t="s">
        <v>47</v>
      </c>
    </row>
    <row r="1121" spans="1:15" x14ac:dyDescent="0.3">
      <c r="A1121" t="s">
        <v>1189</v>
      </c>
      <c r="B1121" s="2">
        <v>46411</v>
      </c>
      <c r="C1121" t="s">
        <v>49</v>
      </c>
      <c r="D1121" t="str">
        <f t="shared" si="17"/>
        <v>January</v>
      </c>
      <c r="E1121" t="s">
        <v>50</v>
      </c>
      <c r="F1121" t="s">
        <v>53</v>
      </c>
      <c r="G1121" t="s">
        <v>105</v>
      </c>
      <c r="H1121" t="s">
        <v>27</v>
      </c>
      <c r="I1121" t="s">
        <v>20</v>
      </c>
      <c r="J1121" t="s">
        <v>28</v>
      </c>
      <c r="K1121">
        <v>4</v>
      </c>
      <c r="L1121">
        <v>38115.75</v>
      </c>
      <c r="M1121">
        <v>5</v>
      </c>
      <c r="N1121">
        <v>144839.84</v>
      </c>
      <c r="O1121" t="s">
        <v>22</v>
      </c>
    </row>
    <row r="1122" spans="1:15" x14ac:dyDescent="0.3">
      <c r="A1122" t="s">
        <v>1190</v>
      </c>
      <c r="B1122" s="2">
        <v>46412</v>
      </c>
      <c r="C1122" t="s">
        <v>15</v>
      </c>
      <c r="D1122" t="str">
        <f t="shared" si="17"/>
        <v>January</v>
      </c>
      <c r="E1122" t="s">
        <v>24</v>
      </c>
      <c r="F1122" t="s">
        <v>17</v>
      </c>
      <c r="G1122" t="s">
        <v>18</v>
      </c>
      <c r="H1122" t="s">
        <v>45</v>
      </c>
      <c r="I1122" t="s">
        <v>42</v>
      </c>
      <c r="J1122" t="s">
        <v>28</v>
      </c>
      <c r="K1122">
        <v>3</v>
      </c>
      <c r="L1122">
        <v>50587.9</v>
      </c>
      <c r="M1122">
        <v>5</v>
      </c>
      <c r="N1122">
        <v>144175.51</v>
      </c>
      <c r="O1122" t="s">
        <v>47</v>
      </c>
    </row>
    <row r="1123" spans="1:15" x14ac:dyDescent="0.3">
      <c r="A1123" t="s">
        <v>1191</v>
      </c>
      <c r="B1123" s="2">
        <v>46413</v>
      </c>
      <c r="C1123" t="s">
        <v>38</v>
      </c>
      <c r="D1123" t="str">
        <f t="shared" si="17"/>
        <v>January</v>
      </c>
      <c r="E1123" t="s">
        <v>50</v>
      </c>
      <c r="F1123" t="s">
        <v>40</v>
      </c>
      <c r="G1123" t="s">
        <v>118</v>
      </c>
      <c r="H1123" t="s">
        <v>33</v>
      </c>
      <c r="I1123" t="s">
        <v>20</v>
      </c>
      <c r="J1123" t="s">
        <v>21</v>
      </c>
      <c r="K1123">
        <v>2</v>
      </c>
      <c r="L1123">
        <v>4933.46</v>
      </c>
      <c r="M1123">
        <v>15</v>
      </c>
      <c r="N1123">
        <v>8386.8799999999992</v>
      </c>
      <c r="O1123" t="s">
        <v>29</v>
      </c>
    </row>
    <row r="1124" spans="1:15" x14ac:dyDescent="0.3">
      <c r="A1124" t="s">
        <v>1192</v>
      </c>
      <c r="B1124" s="2">
        <v>46414</v>
      </c>
      <c r="C1124" t="s">
        <v>31</v>
      </c>
      <c r="D1124" t="str">
        <f t="shared" si="17"/>
        <v>January</v>
      </c>
      <c r="E1124" t="s">
        <v>77</v>
      </c>
      <c r="F1124" t="s">
        <v>40</v>
      </c>
      <c r="G1124" t="s">
        <v>115</v>
      </c>
      <c r="H1124" t="s">
        <v>33</v>
      </c>
      <c r="I1124" t="s">
        <v>34</v>
      </c>
      <c r="J1124" t="s">
        <v>35</v>
      </c>
      <c r="K1124">
        <v>2</v>
      </c>
      <c r="L1124">
        <v>6062.95</v>
      </c>
      <c r="M1124">
        <v>10</v>
      </c>
      <c r="N1124">
        <v>10913.31</v>
      </c>
      <c r="O1124" t="s">
        <v>22</v>
      </c>
    </row>
    <row r="1125" spans="1:15" x14ac:dyDescent="0.3">
      <c r="A1125" t="s">
        <v>1193</v>
      </c>
      <c r="B1125" s="2">
        <v>46415</v>
      </c>
      <c r="C1125" t="s">
        <v>58</v>
      </c>
      <c r="D1125" t="str">
        <f t="shared" si="17"/>
        <v>January</v>
      </c>
      <c r="E1125" t="s">
        <v>24</v>
      </c>
      <c r="F1125" t="s">
        <v>60</v>
      </c>
      <c r="G1125" t="s">
        <v>70</v>
      </c>
      <c r="H1125" t="s">
        <v>27</v>
      </c>
      <c r="I1125" t="s">
        <v>20</v>
      </c>
      <c r="J1125" t="s">
        <v>43</v>
      </c>
      <c r="K1125">
        <v>5</v>
      </c>
      <c r="L1125">
        <v>42820.55</v>
      </c>
      <c r="M1125">
        <v>5</v>
      </c>
      <c r="N1125">
        <v>203397.63</v>
      </c>
      <c r="O1125" t="s">
        <v>22</v>
      </c>
    </row>
    <row r="1126" spans="1:15" x14ac:dyDescent="0.3">
      <c r="A1126" t="s">
        <v>1194</v>
      </c>
      <c r="B1126" s="2">
        <v>46416</v>
      </c>
      <c r="C1126" t="s">
        <v>15</v>
      </c>
      <c r="D1126" t="str">
        <f t="shared" si="17"/>
        <v>January</v>
      </c>
      <c r="E1126" t="s">
        <v>24</v>
      </c>
      <c r="F1126" t="s">
        <v>53</v>
      </c>
      <c r="G1126" t="s">
        <v>65</v>
      </c>
      <c r="H1126" t="s">
        <v>33</v>
      </c>
      <c r="I1126" t="s">
        <v>20</v>
      </c>
      <c r="J1126" t="s">
        <v>21</v>
      </c>
      <c r="K1126">
        <v>4</v>
      </c>
      <c r="L1126">
        <v>33381.25</v>
      </c>
      <c r="M1126">
        <v>10</v>
      </c>
      <c r="N1126">
        <v>120172.5</v>
      </c>
      <c r="O1126" t="s">
        <v>47</v>
      </c>
    </row>
    <row r="1127" spans="1:15" x14ac:dyDescent="0.3">
      <c r="A1127" t="s">
        <v>1195</v>
      </c>
      <c r="B1127" s="2">
        <v>46417</v>
      </c>
      <c r="C1127" t="s">
        <v>58</v>
      </c>
      <c r="D1127" t="str">
        <f t="shared" si="17"/>
        <v>January</v>
      </c>
      <c r="E1127" t="s">
        <v>32</v>
      </c>
      <c r="F1127" t="s">
        <v>25</v>
      </c>
      <c r="G1127" t="s">
        <v>81</v>
      </c>
      <c r="H1127" t="s">
        <v>19</v>
      </c>
      <c r="I1127" t="s">
        <v>42</v>
      </c>
      <c r="J1127" t="s">
        <v>46</v>
      </c>
      <c r="K1127">
        <v>2</v>
      </c>
      <c r="L1127">
        <v>2782.04</v>
      </c>
      <c r="M1127">
        <v>10</v>
      </c>
      <c r="N1127">
        <v>5007.67</v>
      </c>
      <c r="O1127" t="s">
        <v>47</v>
      </c>
    </row>
    <row r="1128" spans="1:15" x14ac:dyDescent="0.3">
      <c r="A1128" t="s">
        <v>1196</v>
      </c>
      <c r="B1128" s="2">
        <v>46418</v>
      </c>
      <c r="C1128" t="s">
        <v>49</v>
      </c>
      <c r="D1128" t="str">
        <f t="shared" si="17"/>
        <v>January</v>
      </c>
      <c r="E1128" t="s">
        <v>16</v>
      </c>
      <c r="F1128" t="s">
        <v>40</v>
      </c>
      <c r="G1128" t="s">
        <v>115</v>
      </c>
      <c r="H1128" t="s">
        <v>19</v>
      </c>
      <c r="I1128" t="s">
        <v>42</v>
      </c>
      <c r="J1128" t="s">
        <v>21</v>
      </c>
      <c r="K1128">
        <v>5</v>
      </c>
      <c r="L1128">
        <v>5031.2299999999996</v>
      </c>
      <c r="M1128">
        <v>5</v>
      </c>
      <c r="N1128">
        <v>23898.34</v>
      </c>
      <c r="O1128" t="s">
        <v>36</v>
      </c>
    </row>
    <row r="1129" spans="1:15" x14ac:dyDescent="0.3">
      <c r="A1129" t="s">
        <v>1197</v>
      </c>
      <c r="B1129" s="2">
        <v>46419</v>
      </c>
      <c r="C1129" t="s">
        <v>15</v>
      </c>
      <c r="D1129" t="str">
        <f t="shared" si="17"/>
        <v>February</v>
      </c>
      <c r="E1129" t="s">
        <v>72</v>
      </c>
      <c r="F1129" t="s">
        <v>40</v>
      </c>
      <c r="G1129" t="s">
        <v>115</v>
      </c>
      <c r="H1129" t="s">
        <v>27</v>
      </c>
      <c r="I1129" t="s">
        <v>42</v>
      </c>
      <c r="J1129" t="s">
        <v>35</v>
      </c>
      <c r="K1129">
        <v>3</v>
      </c>
      <c r="L1129">
        <v>5707.94</v>
      </c>
      <c r="M1129">
        <v>10</v>
      </c>
      <c r="N1129">
        <v>15411.44</v>
      </c>
      <c r="O1129" t="s">
        <v>36</v>
      </c>
    </row>
    <row r="1130" spans="1:15" x14ac:dyDescent="0.3">
      <c r="A1130" t="s">
        <v>1198</v>
      </c>
      <c r="B1130" s="2">
        <v>46420</v>
      </c>
      <c r="C1130" t="s">
        <v>38</v>
      </c>
      <c r="D1130" t="str">
        <f t="shared" si="17"/>
        <v>February</v>
      </c>
      <c r="E1130" t="s">
        <v>39</v>
      </c>
      <c r="F1130" t="s">
        <v>25</v>
      </c>
      <c r="G1130" t="s">
        <v>81</v>
      </c>
      <c r="H1130" t="s">
        <v>45</v>
      </c>
      <c r="I1130" t="s">
        <v>34</v>
      </c>
      <c r="J1130" t="s">
        <v>35</v>
      </c>
      <c r="K1130">
        <v>4</v>
      </c>
      <c r="L1130">
        <v>3104.48</v>
      </c>
      <c r="M1130">
        <v>15</v>
      </c>
      <c r="N1130">
        <v>10555.22</v>
      </c>
      <c r="O1130" t="s">
        <v>22</v>
      </c>
    </row>
    <row r="1131" spans="1:15" x14ac:dyDescent="0.3">
      <c r="A1131" t="s">
        <v>1199</v>
      </c>
      <c r="B1131" s="2">
        <v>46421</v>
      </c>
      <c r="C1131" t="s">
        <v>58</v>
      </c>
      <c r="D1131" t="str">
        <f t="shared" si="17"/>
        <v>February</v>
      </c>
      <c r="E1131" t="s">
        <v>52</v>
      </c>
      <c r="F1131" t="s">
        <v>60</v>
      </c>
      <c r="G1131" t="s">
        <v>70</v>
      </c>
      <c r="H1131" t="s">
        <v>45</v>
      </c>
      <c r="I1131" t="s">
        <v>34</v>
      </c>
      <c r="J1131" t="s">
        <v>35</v>
      </c>
      <c r="K1131">
        <v>3</v>
      </c>
      <c r="L1131">
        <v>39159.519999999997</v>
      </c>
      <c r="M1131">
        <v>0</v>
      </c>
      <c r="N1131">
        <v>117478.55</v>
      </c>
      <c r="O1131" t="s">
        <v>47</v>
      </c>
    </row>
    <row r="1132" spans="1:15" x14ac:dyDescent="0.3">
      <c r="A1132" t="s">
        <v>1200</v>
      </c>
      <c r="B1132" s="2">
        <v>46422</v>
      </c>
      <c r="C1132" t="s">
        <v>58</v>
      </c>
      <c r="D1132" t="str">
        <f t="shared" si="17"/>
        <v>February</v>
      </c>
      <c r="E1132" t="s">
        <v>24</v>
      </c>
      <c r="F1132" t="s">
        <v>60</v>
      </c>
      <c r="G1132" t="s">
        <v>73</v>
      </c>
      <c r="H1132" t="s">
        <v>19</v>
      </c>
      <c r="I1132" t="s">
        <v>20</v>
      </c>
      <c r="J1132" t="s">
        <v>35</v>
      </c>
      <c r="K1132">
        <v>2</v>
      </c>
      <c r="L1132">
        <v>46830.53</v>
      </c>
      <c r="M1132">
        <v>5</v>
      </c>
      <c r="N1132">
        <v>88978</v>
      </c>
      <c r="O1132" t="s">
        <v>47</v>
      </c>
    </row>
    <row r="1133" spans="1:15" x14ac:dyDescent="0.3">
      <c r="A1133" t="s">
        <v>1201</v>
      </c>
      <c r="B1133" s="2">
        <v>46423</v>
      </c>
      <c r="C1133" t="s">
        <v>31</v>
      </c>
      <c r="D1133" t="str">
        <f t="shared" si="17"/>
        <v>February</v>
      </c>
      <c r="E1133" t="s">
        <v>77</v>
      </c>
      <c r="F1133" t="s">
        <v>53</v>
      </c>
      <c r="G1133" t="s">
        <v>65</v>
      </c>
      <c r="H1133" t="s">
        <v>27</v>
      </c>
      <c r="I1133" t="s">
        <v>42</v>
      </c>
      <c r="J1133" t="s">
        <v>46</v>
      </c>
      <c r="K1133">
        <v>4</v>
      </c>
      <c r="L1133">
        <v>29171.29</v>
      </c>
      <c r="M1133">
        <v>0</v>
      </c>
      <c r="N1133">
        <v>116685.15</v>
      </c>
      <c r="O1133" t="s">
        <v>47</v>
      </c>
    </row>
    <row r="1134" spans="1:15" x14ac:dyDescent="0.3">
      <c r="A1134" t="s">
        <v>1202</v>
      </c>
      <c r="B1134" s="2">
        <v>46424</v>
      </c>
      <c r="C1134" t="s">
        <v>15</v>
      </c>
      <c r="D1134" t="str">
        <f t="shared" si="17"/>
        <v>February</v>
      </c>
      <c r="E1134" t="s">
        <v>52</v>
      </c>
      <c r="F1134" t="s">
        <v>40</v>
      </c>
      <c r="G1134" t="s">
        <v>41</v>
      </c>
      <c r="H1134" t="s">
        <v>45</v>
      </c>
      <c r="I1134" t="s">
        <v>34</v>
      </c>
      <c r="J1134" t="s">
        <v>43</v>
      </c>
      <c r="K1134">
        <v>3</v>
      </c>
      <c r="L1134">
        <v>5350.58</v>
      </c>
      <c r="M1134">
        <v>10</v>
      </c>
      <c r="N1134">
        <v>14446.57</v>
      </c>
      <c r="O1134" t="s">
        <v>29</v>
      </c>
    </row>
    <row r="1135" spans="1:15" x14ac:dyDescent="0.3">
      <c r="A1135" t="s">
        <v>1203</v>
      </c>
      <c r="B1135" s="2">
        <v>46425</v>
      </c>
      <c r="C1135" t="s">
        <v>38</v>
      </c>
      <c r="D1135" t="str">
        <f t="shared" si="17"/>
        <v>February</v>
      </c>
      <c r="E1135" t="s">
        <v>16</v>
      </c>
      <c r="F1135" t="s">
        <v>17</v>
      </c>
      <c r="G1135" t="s">
        <v>123</v>
      </c>
      <c r="H1135" t="s">
        <v>45</v>
      </c>
      <c r="I1135" t="s">
        <v>34</v>
      </c>
      <c r="J1135" t="s">
        <v>46</v>
      </c>
      <c r="K1135">
        <v>1</v>
      </c>
      <c r="L1135">
        <v>56235.47</v>
      </c>
      <c r="M1135">
        <v>10</v>
      </c>
      <c r="N1135">
        <v>50611.92</v>
      </c>
      <c r="O1135" t="s">
        <v>22</v>
      </c>
    </row>
    <row r="1136" spans="1:15" x14ac:dyDescent="0.3">
      <c r="A1136" t="s">
        <v>1204</v>
      </c>
      <c r="B1136" s="2">
        <v>46426</v>
      </c>
      <c r="C1136" t="s">
        <v>31</v>
      </c>
      <c r="D1136" t="str">
        <f t="shared" si="17"/>
        <v>February</v>
      </c>
      <c r="E1136" t="s">
        <v>24</v>
      </c>
      <c r="F1136" t="s">
        <v>17</v>
      </c>
      <c r="G1136" t="s">
        <v>123</v>
      </c>
      <c r="H1136" t="s">
        <v>33</v>
      </c>
      <c r="I1136" t="s">
        <v>34</v>
      </c>
      <c r="J1136" t="s">
        <v>35</v>
      </c>
      <c r="K1136">
        <v>1</v>
      </c>
      <c r="L1136">
        <v>55700.71</v>
      </c>
      <c r="M1136">
        <v>5</v>
      </c>
      <c r="N1136">
        <v>52915.68</v>
      </c>
      <c r="O1136" t="s">
        <v>22</v>
      </c>
    </row>
    <row r="1137" spans="1:15" x14ac:dyDescent="0.3">
      <c r="A1137" t="s">
        <v>1205</v>
      </c>
      <c r="B1137" s="2">
        <v>46427</v>
      </c>
      <c r="C1137" t="s">
        <v>58</v>
      </c>
      <c r="D1137" t="str">
        <f t="shared" si="17"/>
        <v>February</v>
      </c>
      <c r="E1137" t="s">
        <v>24</v>
      </c>
      <c r="F1137" t="s">
        <v>17</v>
      </c>
      <c r="G1137" t="s">
        <v>63</v>
      </c>
      <c r="H1137" t="s">
        <v>19</v>
      </c>
      <c r="I1137" t="s">
        <v>42</v>
      </c>
      <c r="J1137" t="s">
        <v>35</v>
      </c>
      <c r="K1137">
        <v>2</v>
      </c>
      <c r="L1137">
        <v>56162.879999999997</v>
      </c>
      <c r="M1137">
        <v>5</v>
      </c>
      <c r="N1137">
        <v>106709.48</v>
      </c>
      <c r="O1137" t="s">
        <v>29</v>
      </c>
    </row>
    <row r="1138" spans="1:15" x14ac:dyDescent="0.3">
      <c r="A1138" t="s">
        <v>1206</v>
      </c>
      <c r="B1138" s="2">
        <v>46428</v>
      </c>
      <c r="C1138" t="s">
        <v>38</v>
      </c>
      <c r="D1138" t="str">
        <f t="shared" si="17"/>
        <v>February</v>
      </c>
      <c r="E1138" t="s">
        <v>72</v>
      </c>
      <c r="F1138" t="s">
        <v>53</v>
      </c>
      <c r="G1138" t="s">
        <v>65</v>
      </c>
      <c r="H1138" t="s">
        <v>27</v>
      </c>
      <c r="I1138" t="s">
        <v>34</v>
      </c>
      <c r="J1138" t="s">
        <v>35</v>
      </c>
      <c r="K1138">
        <v>4</v>
      </c>
      <c r="L1138">
        <v>24580.61</v>
      </c>
      <c r="M1138">
        <v>20</v>
      </c>
      <c r="N1138">
        <v>78657.95</v>
      </c>
      <c r="O1138" t="s">
        <v>47</v>
      </c>
    </row>
    <row r="1139" spans="1:15" x14ac:dyDescent="0.3">
      <c r="A1139" t="s">
        <v>1207</v>
      </c>
      <c r="B1139" s="2">
        <v>46429</v>
      </c>
      <c r="C1139" t="s">
        <v>49</v>
      </c>
      <c r="D1139" t="str">
        <f t="shared" si="17"/>
        <v>February</v>
      </c>
      <c r="E1139" t="s">
        <v>32</v>
      </c>
      <c r="F1139" t="s">
        <v>40</v>
      </c>
      <c r="G1139" t="s">
        <v>75</v>
      </c>
      <c r="H1139" t="s">
        <v>33</v>
      </c>
      <c r="I1139" t="s">
        <v>42</v>
      </c>
      <c r="J1139" t="s">
        <v>28</v>
      </c>
      <c r="K1139">
        <v>5</v>
      </c>
      <c r="L1139">
        <v>6566.65</v>
      </c>
      <c r="M1139">
        <v>0</v>
      </c>
      <c r="N1139">
        <v>32833.269999999997</v>
      </c>
      <c r="O1139" t="s">
        <v>47</v>
      </c>
    </row>
    <row r="1140" spans="1:15" x14ac:dyDescent="0.3">
      <c r="A1140" t="s">
        <v>1208</v>
      </c>
      <c r="B1140" s="2">
        <v>46430</v>
      </c>
      <c r="C1140" t="s">
        <v>31</v>
      </c>
      <c r="D1140" t="str">
        <f t="shared" si="17"/>
        <v>February</v>
      </c>
      <c r="E1140" t="s">
        <v>16</v>
      </c>
      <c r="F1140" t="s">
        <v>53</v>
      </c>
      <c r="G1140" t="s">
        <v>105</v>
      </c>
      <c r="H1140" t="s">
        <v>27</v>
      </c>
      <c r="I1140" t="s">
        <v>34</v>
      </c>
      <c r="J1140" t="s">
        <v>21</v>
      </c>
      <c r="K1140">
        <v>4</v>
      </c>
      <c r="L1140">
        <v>32805.480000000003</v>
      </c>
      <c r="M1140">
        <v>0</v>
      </c>
      <c r="N1140">
        <v>131221.91</v>
      </c>
      <c r="O1140" t="s">
        <v>47</v>
      </c>
    </row>
    <row r="1141" spans="1:15" x14ac:dyDescent="0.3">
      <c r="A1141" t="s">
        <v>1209</v>
      </c>
      <c r="B1141" s="2">
        <v>46431</v>
      </c>
      <c r="C1141" t="s">
        <v>58</v>
      </c>
      <c r="D1141" t="str">
        <f t="shared" si="17"/>
        <v>February</v>
      </c>
      <c r="E1141" t="s">
        <v>50</v>
      </c>
      <c r="F1141" t="s">
        <v>53</v>
      </c>
      <c r="G1141" t="s">
        <v>65</v>
      </c>
      <c r="H1141" t="s">
        <v>27</v>
      </c>
      <c r="I1141" t="s">
        <v>34</v>
      </c>
      <c r="J1141" t="s">
        <v>35</v>
      </c>
      <c r="K1141">
        <v>3</v>
      </c>
      <c r="L1141">
        <v>39762.910000000003</v>
      </c>
      <c r="M1141">
        <v>10</v>
      </c>
      <c r="N1141">
        <v>107359.85</v>
      </c>
      <c r="O1141" t="s">
        <v>47</v>
      </c>
    </row>
    <row r="1142" spans="1:15" x14ac:dyDescent="0.3">
      <c r="A1142" t="s">
        <v>1210</v>
      </c>
      <c r="B1142" s="2">
        <v>46432</v>
      </c>
      <c r="C1142" t="s">
        <v>15</v>
      </c>
      <c r="D1142" t="str">
        <f t="shared" si="17"/>
        <v>February</v>
      </c>
      <c r="E1142" t="s">
        <v>72</v>
      </c>
      <c r="F1142" t="s">
        <v>60</v>
      </c>
      <c r="G1142" t="s">
        <v>70</v>
      </c>
      <c r="H1142" t="s">
        <v>45</v>
      </c>
      <c r="I1142" t="s">
        <v>34</v>
      </c>
      <c r="J1142" t="s">
        <v>43</v>
      </c>
      <c r="K1142">
        <v>4</v>
      </c>
      <c r="L1142">
        <v>43495.69</v>
      </c>
      <c r="M1142">
        <v>15</v>
      </c>
      <c r="N1142">
        <v>147885.35</v>
      </c>
      <c r="O1142" t="s">
        <v>47</v>
      </c>
    </row>
    <row r="1143" spans="1:15" x14ac:dyDescent="0.3">
      <c r="A1143" t="s">
        <v>1211</v>
      </c>
      <c r="B1143" s="2">
        <v>46433</v>
      </c>
      <c r="C1143" t="s">
        <v>49</v>
      </c>
      <c r="D1143" t="str">
        <f t="shared" si="17"/>
        <v>February</v>
      </c>
      <c r="E1143" t="s">
        <v>39</v>
      </c>
      <c r="F1143" t="s">
        <v>25</v>
      </c>
      <c r="G1143" t="s">
        <v>81</v>
      </c>
      <c r="H1143" t="s">
        <v>27</v>
      </c>
      <c r="I1143" t="s">
        <v>42</v>
      </c>
      <c r="J1143" t="s">
        <v>43</v>
      </c>
      <c r="K1143">
        <v>4</v>
      </c>
      <c r="L1143">
        <v>2114.1799999999998</v>
      </c>
      <c r="M1143">
        <v>0</v>
      </c>
      <c r="N1143">
        <v>8456.7099999999991</v>
      </c>
      <c r="O1143" t="s">
        <v>29</v>
      </c>
    </row>
    <row r="1144" spans="1:15" x14ac:dyDescent="0.3">
      <c r="A1144" t="s">
        <v>1212</v>
      </c>
      <c r="B1144" s="2">
        <v>46434</v>
      </c>
      <c r="C1144" t="s">
        <v>31</v>
      </c>
      <c r="D1144" t="str">
        <f t="shared" si="17"/>
        <v>February</v>
      </c>
      <c r="E1144" t="s">
        <v>52</v>
      </c>
      <c r="F1144" t="s">
        <v>17</v>
      </c>
      <c r="G1144" t="s">
        <v>63</v>
      </c>
      <c r="H1144" t="s">
        <v>45</v>
      </c>
      <c r="I1144" t="s">
        <v>42</v>
      </c>
      <c r="J1144" t="s">
        <v>21</v>
      </c>
      <c r="K1144">
        <v>4</v>
      </c>
      <c r="L1144">
        <v>48052.29</v>
      </c>
      <c r="M1144">
        <v>5</v>
      </c>
      <c r="N1144">
        <v>182598.69</v>
      </c>
      <c r="O1144" t="s">
        <v>47</v>
      </c>
    </row>
    <row r="1145" spans="1:15" x14ac:dyDescent="0.3">
      <c r="A1145" t="s">
        <v>1213</v>
      </c>
      <c r="B1145" s="2">
        <v>46435</v>
      </c>
      <c r="C1145" t="s">
        <v>15</v>
      </c>
      <c r="D1145" t="str">
        <f t="shared" si="17"/>
        <v>February</v>
      </c>
      <c r="E1145" t="s">
        <v>100</v>
      </c>
      <c r="F1145" t="s">
        <v>60</v>
      </c>
      <c r="G1145" t="s">
        <v>70</v>
      </c>
      <c r="H1145" t="s">
        <v>19</v>
      </c>
      <c r="I1145" t="s">
        <v>20</v>
      </c>
      <c r="J1145" t="s">
        <v>21</v>
      </c>
      <c r="K1145">
        <v>3</v>
      </c>
      <c r="L1145">
        <v>40009.1</v>
      </c>
      <c r="M1145">
        <v>15</v>
      </c>
      <c r="N1145">
        <v>102023.2</v>
      </c>
      <c r="O1145" t="s">
        <v>47</v>
      </c>
    </row>
    <row r="1146" spans="1:15" x14ac:dyDescent="0.3">
      <c r="A1146" t="s">
        <v>1214</v>
      </c>
      <c r="B1146" s="2">
        <v>46436</v>
      </c>
      <c r="C1146" t="s">
        <v>58</v>
      </c>
      <c r="D1146" t="str">
        <f t="shared" si="17"/>
        <v>February</v>
      </c>
      <c r="E1146" t="s">
        <v>16</v>
      </c>
      <c r="F1146" t="s">
        <v>60</v>
      </c>
      <c r="G1146" t="s">
        <v>70</v>
      </c>
      <c r="H1146" t="s">
        <v>19</v>
      </c>
      <c r="I1146" t="s">
        <v>42</v>
      </c>
      <c r="J1146" t="s">
        <v>28</v>
      </c>
      <c r="K1146">
        <v>5</v>
      </c>
      <c r="L1146">
        <v>42093.95</v>
      </c>
      <c r="M1146">
        <v>10</v>
      </c>
      <c r="N1146">
        <v>189422.77</v>
      </c>
      <c r="O1146" t="s">
        <v>22</v>
      </c>
    </row>
    <row r="1147" spans="1:15" x14ac:dyDescent="0.3">
      <c r="A1147" t="s">
        <v>1215</v>
      </c>
      <c r="B1147" s="2">
        <v>46437</v>
      </c>
      <c r="C1147" t="s">
        <v>31</v>
      </c>
      <c r="D1147" t="str">
        <f t="shared" si="17"/>
        <v>February</v>
      </c>
      <c r="E1147" t="s">
        <v>24</v>
      </c>
      <c r="F1147" t="s">
        <v>53</v>
      </c>
      <c r="G1147" t="s">
        <v>54</v>
      </c>
      <c r="H1147" t="s">
        <v>33</v>
      </c>
      <c r="I1147" t="s">
        <v>34</v>
      </c>
      <c r="J1147" t="s">
        <v>43</v>
      </c>
      <c r="K1147">
        <v>3</v>
      </c>
      <c r="L1147">
        <v>26850.91</v>
      </c>
      <c r="M1147">
        <v>5</v>
      </c>
      <c r="N1147">
        <v>76525.100000000006</v>
      </c>
      <c r="O1147" t="s">
        <v>47</v>
      </c>
    </row>
    <row r="1148" spans="1:15" x14ac:dyDescent="0.3">
      <c r="A1148" t="s">
        <v>1216</v>
      </c>
      <c r="B1148" s="2">
        <v>46438</v>
      </c>
      <c r="C1148" t="s">
        <v>38</v>
      </c>
      <c r="D1148" t="str">
        <f t="shared" si="17"/>
        <v>February</v>
      </c>
      <c r="E1148" t="s">
        <v>100</v>
      </c>
      <c r="F1148" t="s">
        <v>40</v>
      </c>
      <c r="G1148" t="s">
        <v>118</v>
      </c>
      <c r="H1148" t="s">
        <v>45</v>
      </c>
      <c r="I1148" t="s">
        <v>42</v>
      </c>
      <c r="J1148" t="s">
        <v>46</v>
      </c>
      <c r="K1148">
        <v>2</v>
      </c>
      <c r="L1148">
        <v>6715.3</v>
      </c>
      <c r="M1148">
        <v>5</v>
      </c>
      <c r="N1148">
        <v>12759.07</v>
      </c>
      <c r="O1148" t="s">
        <v>22</v>
      </c>
    </row>
    <row r="1149" spans="1:15" x14ac:dyDescent="0.3">
      <c r="A1149" t="s">
        <v>1217</v>
      </c>
      <c r="B1149" s="2">
        <v>46439</v>
      </c>
      <c r="C1149" t="s">
        <v>49</v>
      </c>
      <c r="D1149" t="str">
        <f t="shared" si="17"/>
        <v>February</v>
      </c>
      <c r="E1149" t="s">
        <v>72</v>
      </c>
      <c r="F1149" t="s">
        <v>25</v>
      </c>
      <c r="G1149" t="s">
        <v>81</v>
      </c>
      <c r="H1149" t="s">
        <v>33</v>
      </c>
      <c r="I1149" t="s">
        <v>42</v>
      </c>
      <c r="J1149" t="s">
        <v>21</v>
      </c>
      <c r="K1149">
        <v>1</v>
      </c>
      <c r="L1149">
        <v>2014.8</v>
      </c>
      <c r="M1149">
        <v>20</v>
      </c>
      <c r="N1149">
        <v>1611.84</v>
      </c>
      <c r="O1149" t="s">
        <v>47</v>
      </c>
    </row>
    <row r="1150" spans="1:15" x14ac:dyDescent="0.3">
      <c r="A1150" t="s">
        <v>1218</v>
      </c>
      <c r="B1150" s="2">
        <v>46440</v>
      </c>
      <c r="C1150" t="s">
        <v>58</v>
      </c>
      <c r="D1150" t="str">
        <f t="shared" si="17"/>
        <v>February</v>
      </c>
      <c r="E1150" t="s">
        <v>16</v>
      </c>
      <c r="F1150" t="s">
        <v>60</v>
      </c>
      <c r="G1150" t="s">
        <v>73</v>
      </c>
      <c r="H1150" t="s">
        <v>33</v>
      </c>
      <c r="I1150" t="s">
        <v>42</v>
      </c>
      <c r="J1150" t="s">
        <v>43</v>
      </c>
      <c r="K1150">
        <v>2</v>
      </c>
      <c r="L1150">
        <v>40959.97</v>
      </c>
      <c r="M1150">
        <v>20</v>
      </c>
      <c r="N1150">
        <v>65535.95</v>
      </c>
      <c r="O1150" t="s">
        <v>36</v>
      </c>
    </row>
    <row r="1151" spans="1:15" x14ac:dyDescent="0.3">
      <c r="A1151" t="s">
        <v>1219</v>
      </c>
      <c r="B1151" s="2">
        <v>46441</v>
      </c>
      <c r="C1151" t="s">
        <v>49</v>
      </c>
      <c r="D1151" t="str">
        <f t="shared" si="17"/>
        <v>February</v>
      </c>
      <c r="E1151" t="s">
        <v>32</v>
      </c>
      <c r="F1151" t="s">
        <v>60</v>
      </c>
      <c r="G1151" t="s">
        <v>78</v>
      </c>
      <c r="H1151" t="s">
        <v>27</v>
      </c>
      <c r="I1151" t="s">
        <v>42</v>
      </c>
      <c r="J1151" t="s">
        <v>28</v>
      </c>
      <c r="K1151">
        <v>5</v>
      </c>
      <c r="L1151">
        <v>37246.15</v>
      </c>
      <c r="M1151">
        <v>15</v>
      </c>
      <c r="N1151">
        <v>158296.15</v>
      </c>
      <c r="O1151" t="s">
        <v>36</v>
      </c>
    </row>
    <row r="1152" spans="1:15" x14ac:dyDescent="0.3">
      <c r="A1152" t="s">
        <v>1220</v>
      </c>
      <c r="B1152" s="2">
        <v>46442</v>
      </c>
      <c r="C1152" t="s">
        <v>15</v>
      </c>
      <c r="D1152" t="str">
        <f t="shared" si="17"/>
        <v>February</v>
      </c>
      <c r="E1152" t="s">
        <v>39</v>
      </c>
      <c r="F1152" t="s">
        <v>17</v>
      </c>
      <c r="G1152" t="s">
        <v>67</v>
      </c>
      <c r="H1152" t="s">
        <v>19</v>
      </c>
      <c r="I1152" t="s">
        <v>42</v>
      </c>
      <c r="J1152" t="s">
        <v>43</v>
      </c>
      <c r="K1152">
        <v>4</v>
      </c>
      <c r="L1152">
        <v>61886.25</v>
      </c>
      <c r="M1152">
        <v>20</v>
      </c>
      <c r="N1152">
        <v>198036</v>
      </c>
      <c r="O1152" t="s">
        <v>36</v>
      </c>
    </row>
    <row r="1153" spans="1:15" x14ac:dyDescent="0.3">
      <c r="A1153" t="s">
        <v>1221</v>
      </c>
      <c r="B1153" s="2">
        <v>46443</v>
      </c>
      <c r="C1153" t="s">
        <v>38</v>
      </c>
      <c r="D1153" t="str">
        <f t="shared" si="17"/>
        <v>February</v>
      </c>
      <c r="E1153" t="s">
        <v>69</v>
      </c>
      <c r="F1153" t="s">
        <v>25</v>
      </c>
      <c r="G1153" t="s">
        <v>56</v>
      </c>
      <c r="H1153" t="s">
        <v>27</v>
      </c>
      <c r="I1153" t="s">
        <v>42</v>
      </c>
      <c r="J1153" t="s">
        <v>35</v>
      </c>
      <c r="K1153">
        <v>2</v>
      </c>
      <c r="L1153">
        <v>2969.8</v>
      </c>
      <c r="M1153">
        <v>10</v>
      </c>
      <c r="N1153">
        <v>5345.65</v>
      </c>
      <c r="O1153" t="s">
        <v>47</v>
      </c>
    </row>
    <row r="1154" spans="1:15" x14ac:dyDescent="0.3">
      <c r="A1154" t="s">
        <v>1222</v>
      </c>
      <c r="B1154" s="2">
        <v>46444</v>
      </c>
      <c r="C1154" t="s">
        <v>58</v>
      </c>
      <c r="D1154" t="str">
        <f t="shared" si="17"/>
        <v>February</v>
      </c>
      <c r="E1154" t="s">
        <v>39</v>
      </c>
      <c r="F1154" t="s">
        <v>17</v>
      </c>
      <c r="G1154" t="s">
        <v>63</v>
      </c>
      <c r="H1154" t="s">
        <v>45</v>
      </c>
      <c r="I1154" t="s">
        <v>42</v>
      </c>
      <c r="J1154" t="s">
        <v>35</v>
      </c>
      <c r="K1154">
        <v>3</v>
      </c>
      <c r="L1154">
        <v>45811.33</v>
      </c>
      <c r="M1154">
        <v>15</v>
      </c>
      <c r="N1154">
        <v>116818.9</v>
      </c>
      <c r="O1154" t="s">
        <v>47</v>
      </c>
    </row>
    <row r="1155" spans="1:15" x14ac:dyDescent="0.3">
      <c r="A1155" t="s">
        <v>1223</v>
      </c>
      <c r="B1155" s="2">
        <v>46445</v>
      </c>
      <c r="C1155" t="s">
        <v>15</v>
      </c>
      <c r="D1155" t="str">
        <f t="shared" ref="D1155:D1218" si="18">TEXT(B1155,"mmmm")</f>
        <v>February</v>
      </c>
      <c r="E1155" t="s">
        <v>16</v>
      </c>
      <c r="F1155" t="s">
        <v>53</v>
      </c>
      <c r="G1155" t="s">
        <v>105</v>
      </c>
      <c r="H1155" t="s">
        <v>45</v>
      </c>
      <c r="I1155" t="s">
        <v>42</v>
      </c>
      <c r="J1155" t="s">
        <v>43</v>
      </c>
      <c r="K1155">
        <v>5</v>
      </c>
      <c r="L1155">
        <v>32020.54</v>
      </c>
      <c r="M1155">
        <v>15</v>
      </c>
      <c r="N1155">
        <v>136087.29</v>
      </c>
      <c r="O1155" t="s">
        <v>36</v>
      </c>
    </row>
    <row r="1156" spans="1:15" x14ac:dyDescent="0.3">
      <c r="A1156" t="s">
        <v>1224</v>
      </c>
      <c r="B1156" s="2">
        <v>46446</v>
      </c>
      <c r="C1156" t="s">
        <v>31</v>
      </c>
      <c r="D1156" t="str">
        <f t="shared" si="18"/>
        <v>February</v>
      </c>
      <c r="E1156" t="s">
        <v>77</v>
      </c>
      <c r="F1156" t="s">
        <v>17</v>
      </c>
      <c r="G1156" t="s">
        <v>123</v>
      </c>
      <c r="H1156" t="s">
        <v>33</v>
      </c>
      <c r="I1156" t="s">
        <v>34</v>
      </c>
      <c r="J1156" t="s">
        <v>28</v>
      </c>
      <c r="K1156">
        <v>3</v>
      </c>
      <c r="L1156">
        <v>69138.990000000005</v>
      </c>
      <c r="M1156">
        <v>10</v>
      </c>
      <c r="N1156">
        <v>186675.26</v>
      </c>
      <c r="O1156" t="s">
        <v>47</v>
      </c>
    </row>
    <row r="1157" spans="1:15" x14ac:dyDescent="0.3">
      <c r="A1157" t="s">
        <v>1225</v>
      </c>
      <c r="B1157" s="2">
        <v>46447</v>
      </c>
      <c r="C1157" t="s">
        <v>49</v>
      </c>
      <c r="D1157" t="str">
        <f t="shared" si="18"/>
        <v>March</v>
      </c>
      <c r="E1157" t="s">
        <v>77</v>
      </c>
      <c r="F1157" t="s">
        <v>17</v>
      </c>
      <c r="G1157" t="s">
        <v>18</v>
      </c>
      <c r="H1157" t="s">
        <v>33</v>
      </c>
      <c r="I1157" t="s">
        <v>34</v>
      </c>
      <c r="J1157" t="s">
        <v>43</v>
      </c>
      <c r="K1157">
        <v>4</v>
      </c>
      <c r="L1157">
        <v>50385.22</v>
      </c>
      <c r="M1157">
        <v>0</v>
      </c>
      <c r="N1157">
        <v>201540.9</v>
      </c>
      <c r="O1157" t="s">
        <v>22</v>
      </c>
    </row>
    <row r="1158" spans="1:15" x14ac:dyDescent="0.3">
      <c r="A1158" t="s">
        <v>1226</v>
      </c>
      <c r="B1158" s="2">
        <v>46448</v>
      </c>
      <c r="C1158" t="s">
        <v>31</v>
      </c>
      <c r="D1158" t="str">
        <f t="shared" si="18"/>
        <v>March</v>
      </c>
      <c r="E1158" t="s">
        <v>50</v>
      </c>
      <c r="F1158" t="s">
        <v>17</v>
      </c>
      <c r="G1158" t="s">
        <v>67</v>
      </c>
      <c r="H1158" t="s">
        <v>45</v>
      </c>
      <c r="I1158" t="s">
        <v>34</v>
      </c>
      <c r="J1158" t="s">
        <v>35</v>
      </c>
      <c r="K1158">
        <v>2</v>
      </c>
      <c r="L1158">
        <v>61196.13</v>
      </c>
      <c r="M1158">
        <v>10</v>
      </c>
      <c r="N1158">
        <v>110153.04</v>
      </c>
      <c r="O1158" t="s">
        <v>29</v>
      </c>
    </row>
    <row r="1159" spans="1:15" x14ac:dyDescent="0.3">
      <c r="A1159" t="s">
        <v>1227</v>
      </c>
      <c r="B1159" s="2">
        <v>46449</v>
      </c>
      <c r="C1159" t="s">
        <v>15</v>
      </c>
      <c r="D1159" t="str">
        <f t="shared" si="18"/>
        <v>March</v>
      </c>
      <c r="E1159" t="s">
        <v>72</v>
      </c>
      <c r="F1159" t="s">
        <v>53</v>
      </c>
      <c r="G1159" t="s">
        <v>65</v>
      </c>
      <c r="H1159" t="s">
        <v>27</v>
      </c>
      <c r="I1159" t="s">
        <v>20</v>
      </c>
      <c r="J1159" t="s">
        <v>46</v>
      </c>
      <c r="K1159">
        <v>2</v>
      </c>
      <c r="L1159">
        <v>29725.87</v>
      </c>
      <c r="M1159">
        <v>10</v>
      </c>
      <c r="N1159">
        <v>53506.559999999998</v>
      </c>
      <c r="O1159" t="s">
        <v>47</v>
      </c>
    </row>
    <row r="1160" spans="1:15" x14ac:dyDescent="0.3">
      <c r="A1160" t="s">
        <v>1228</v>
      </c>
      <c r="B1160" s="2">
        <v>46450</v>
      </c>
      <c r="C1160" t="s">
        <v>49</v>
      </c>
      <c r="D1160" t="str">
        <f t="shared" si="18"/>
        <v>March</v>
      </c>
      <c r="E1160" t="s">
        <v>69</v>
      </c>
      <c r="F1160" t="s">
        <v>40</v>
      </c>
      <c r="G1160" t="s">
        <v>118</v>
      </c>
      <c r="H1160" t="s">
        <v>27</v>
      </c>
      <c r="I1160" t="s">
        <v>42</v>
      </c>
      <c r="J1160" t="s">
        <v>43</v>
      </c>
      <c r="K1160">
        <v>3</v>
      </c>
      <c r="L1160">
        <v>5250.17</v>
      </c>
      <c r="M1160">
        <v>15</v>
      </c>
      <c r="N1160">
        <v>13387.94</v>
      </c>
      <c r="O1160" t="s">
        <v>36</v>
      </c>
    </row>
    <row r="1161" spans="1:15" x14ac:dyDescent="0.3">
      <c r="A1161" t="s">
        <v>1229</v>
      </c>
      <c r="B1161" s="2">
        <v>46451</v>
      </c>
      <c r="C1161" t="s">
        <v>15</v>
      </c>
      <c r="D1161" t="str">
        <f t="shared" si="18"/>
        <v>March</v>
      </c>
      <c r="E1161" t="s">
        <v>72</v>
      </c>
      <c r="F1161" t="s">
        <v>17</v>
      </c>
      <c r="G1161" t="s">
        <v>123</v>
      </c>
      <c r="H1161" t="s">
        <v>19</v>
      </c>
      <c r="I1161" t="s">
        <v>20</v>
      </c>
      <c r="J1161" t="s">
        <v>43</v>
      </c>
      <c r="K1161">
        <v>4</v>
      </c>
      <c r="L1161">
        <v>66859.72</v>
      </c>
      <c r="M1161">
        <v>5</v>
      </c>
      <c r="N1161">
        <v>254066.92</v>
      </c>
      <c r="O1161" t="s">
        <v>36</v>
      </c>
    </row>
    <row r="1162" spans="1:15" x14ac:dyDescent="0.3">
      <c r="A1162" t="s">
        <v>1230</v>
      </c>
      <c r="B1162" s="2">
        <v>46452</v>
      </c>
      <c r="C1162" t="s">
        <v>49</v>
      </c>
      <c r="D1162" t="str">
        <f t="shared" si="18"/>
        <v>March</v>
      </c>
      <c r="E1162" t="s">
        <v>100</v>
      </c>
      <c r="F1162" t="s">
        <v>17</v>
      </c>
      <c r="G1162" t="s">
        <v>18</v>
      </c>
      <c r="H1162" t="s">
        <v>45</v>
      </c>
      <c r="I1162" t="s">
        <v>34</v>
      </c>
      <c r="J1162" t="s">
        <v>35</v>
      </c>
      <c r="K1162">
        <v>2</v>
      </c>
      <c r="L1162">
        <v>59844.18</v>
      </c>
      <c r="M1162">
        <v>10</v>
      </c>
      <c r="N1162">
        <v>107719.53</v>
      </c>
      <c r="O1162" t="s">
        <v>47</v>
      </c>
    </row>
    <row r="1163" spans="1:15" x14ac:dyDescent="0.3">
      <c r="A1163" t="s">
        <v>1231</v>
      </c>
      <c r="B1163" s="2">
        <v>46453</v>
      </c>
      <c r="C1163" t="s">
        <v>58</v>
      </c>
      <c r="D1163" t="str">
        <f t="shared" si="18"/>
        <v>March</v>
      </c>
      <c r="E1163" t="s">
        <v>32</v>
      </c>
      <c r="F1163" t="s">
        <v>17</v>
      </c>
      <c r="G1163" t="s">
        <v>67</v>
      </c>
      <c r="H1163" t="s">
        <v>27</v>
      </c>
      <c r="I1163" t="s">
        <v>34</v>
      </c>
      <c r="J1163" t="s">
        <v>35</v>
      </c>
      <c r="K1163">
        <v>3</v>
      </c>
      <c r="L1163">
        <v>54019.83</v>
      </c>
      <c r="M1163">
        <v>10</v>
      </c>
      <c r="N1163">
        <v>145853.53</v>
      </c>
      <c r="O1163" t="s">
        <v>47</v>
      </c>
    </row>
    <row r="1164" spans="1:15" x14ac:dyDescent="0.3">
      <c r="A1164" t="s">
        <v>1232</v>
      </c>
      <c r="B1164" s="2">
        <v>46454</v>
      </c>
      <c r="C1164" t="s">
        <v>58</v>
      </c>
      <c r="D1164" t="str">
        <f t="shared" si="18"/>
        <v>March</v>
      </c>
      <c r="E1164" t="s">
        <v>32</v>
      </c>
      <c r="F1164" t="s">
        <v>25</v>
      </c>
      <c r="G1164" t="s">
        <v>92</v>
      </c>
      <c r="H1164" t="s">
        <v>27</v>
      </c>
      <c r="I1164" t="s">
        <v>34</v>
      </c>
      <c r="J1164" t="s">
        <v>35</v>
      </c>
      <c r="K1164">
        <v>4</v>
      </c>
      <c r="L1164">
        <v>2460.36</v>
      </c>
      <c r="M1164">
        <v>5</v>
      </c>
      <c r="N1164">
        <v>9349.3799999999992</v>
      </c>
      <c r="O1164" t="s">
        <v>47</v>
      </c>
    </row>
    <row r="1165" spans="1:15" x14ac:dyDescent="0.3">
      <c r="A1165" t="s">
        <v>1233</v>
      </c>
      <c r="B1165" s="2">
        <v>46455</v>
      </c>
      <c r="C1165" t="s">
        <v>58</v>
      </c>
      <c r="D1165" t="str">
        <f t="shared" si="18"/>
        <v>March</v>
      </c>
      <c r="E1165" t="s">
        <v>69</v>
      </c>
      <c r="F1165" t="s">
        <v>60</v>
      </c>
      <c r="G1165" t="s">
        <v>70</v>
      </c>
      <c r="H1165" t="s">
        <v>27</v>
      </c>
      <c r="I1165" t="s">
        <v>20</v>
      </c>
      <c r="J1165" t="s">
        <v>28</v>
      </c>
      <c r="K1165">
        <v>1</v>
      </c>
      <c r="L1165">
        <v>32909.019999999997</v>
      </c>
      <c r="M1165">
        <v>20</v>
      </c>
      <c r="N1165">
        <v>26327.22</v>
      </c>
      <c r="O1165" t="s">
        <v>36</v>
      </c>
    </row>
    <row r="1166" spans="1:15" x14ac:dyDescent="0.3">
      <c r="A1166" t="s">
        <v>1234</v>
      </c>
      <c r="B1166" s="2">
        <v>46456</v>
      </c>
      <c r="C1166" t="s">
        <v>38</v>
      </c>
      <c r="D1166" t="str">
        <f t="shared" si="18"/>
        <v>March</v>
      </c>
      <c r="E1166" t="s">
        <v>39</v>
      </c>
      <c r="F1166" t="s">
        <v>17</v>
      </c>
      <c r="G1166" t="s">
        <v>18</v>
      </c>
      <c r="H1166" t="s">
        <v>19</v>
      </c>
      <c r="I1166" t="s">
        <v>20</v>
      </c>
      <c r="J1166" t="s">
        <v>21</v>
      </c>
      <c r="K1166">
        <v>2</v>
      </c>
      <c r="L1166">
        <v>58297.47</v>
      </c>
      <c r="M1166">
        <v>10</v>
      </c>
      <c r="N1166">
        <v>104935.44</v>
      </c>
      <c r="O1166" t="s">
        <v>36</v>
      </c>
    </row>
    <row r="1167" spans="1:15" x14ac:dyDescent="0.3">
      <c r="A1167" t="s">
        <v>1235</v>
      </c>
      <c r="B1167" s="2">
        <v>46457</v>
      </c>
      <c r="C1167" t="s">
        <v>15</v>
      </c>
      <c r="D1167" t="str">
        <f t="shared" si="18"/>
        <v>March</v>
      </c>
      <c r="E1167" t="s">
        <v>50</v>
      </c>
      <c r="F1167" t="s">
        <v>40</v>
      </c>
      <c r="G1167" t="s">
        <v>118</v>
      </c>
      <c r="H1167" t="s">
        <v>45</v>
      </c>
      <c r="I1167" t="s">
        <v>20</v>
      </c>
      <c r="J1167" t="s">
        <v>28</v>
      </c>
      <c r="K1167">
        <v>5</v>
      </c>
      <c r="L1167">
        <v>7317.86</v>
      </c>
      <c r="M1167">
        <v>20</v>
      </c>
      <c r="N1167">
        <v>29271.42</v>
      </c>
      <c r="O1167" t="s">
        <v>47</v>
      </c>
    </row>
    <row r="1168" spans="1:15" x14ac:dyDescent="0.3">
      <c r="A1168" t="s">
        <v>1236</v>
      </c>
      <c r="B1168" s="2">
        <v>46458</v>
      </c>
      <c r="C1168" t="s">
        <v>31</v>
      </c>
      <c r="D1168" t="str">
        <f t="shared" si="18"/>
        <v>March</v>
      </c>
      <c r="E1168" t="s">
        <v>72</v>
      </c>
      <c r="F1168" t="s">
        <v>25</v>
      </c>
      <c r="G1168" t="s">
        <v>26</v>
      </c>
      <c r="H1168" t="s">
        <v>33</v>
      </c>
      <c r="I1168" t="s">
        <v>34</v>
      </c>
      <c r="J1168" t="s">
        <v>28</v>
      </c>
      <c r="K1168">
        <v>5</v>
      </c>
      <c r="L1168">
        <v>2940.34</v>
      </c>
      <c r="M1168">
        <v>10</v>
      </c>
      <c r="N1168">
        <v>13231.52</v>
      </c>
      <c r="O1168" t="s">
        <v>47</v>
      </c>
    </row>
    <row r="1169" spans="1:15" x14ac:dyDescent="0.3">
      <c r="A1169" t="s">
        <v>1237</v>
      </c>
      <c r="B1169" s="2">
        <v>46459</v>
      </c>
      <c r="C1169" t="s">
        <v>58</v>
      </c>
      <c r="D1169" t="str">
        <f t="shared" si="18"/>
        <v>March</v>
      </c>
      <c r="E1169" t="s">
        <v>77</v>
      </c>
      <c r="F1169" t="s">
        <v>25</v>
      </c>
      <c r="G1169" t="s">
        <v>92</v>
      </c>
      <c r="H1169" t="s">
        <v>45</v>
      </c>
      <c r="I1169" t="s">
        <v>20</v>
      </c>
      <c r="J1169" t="s">
        <v>35</v>
      </c>
      <c r="K1169">
        <v>2</v>
      </c>
      <c r="L1169">
        <v>2854.92</v>
      </c>
      <c r="M1169">
        <v>5</v>
      </c>
      <c r="N1169">
        <v>5424.34</v>
      </c>
      <c r="O1169" t="s">
        <v>29</v>
      </c>
    </row>
    <row r="1170" spans="1:15" x14ac:dyDescent="0.3">
      <c r="A1170" t="s">
        <v>1238</v>
      </c>
      <c r="B1170" s="2">
        <v>46460</v>
      </c>
      <c r="C1170" t="s">
        <v>38</v>
      </c>
      <c r="D1170" t="str">
        <f t="shared" si="18"/>
        <v>March</v>
      </c>
      <c r="E1170" t="s">
        <v>39</v>
      </c>
      <c r="F1170" t="s">
        <v>40</v>
      </c>
      <c r="G1170" t="s">
        <v>118</v>
      </c>
      <c r="H1170" t="s">
        <v>45</v>
      </c>
      <c r="I1170" t="s">
        <v>34</v>
      </c>
      <c r="J1170" t="s">
        <v>43</v>
      </c>
      <c r="K1170">
        <v>5</v>
      </c>
      <c r="L1170">
        <v>5204.24</v>
      </c>
      <c r="M1170">
        <v>0</v>
      </c>
      <c r="N1170">
        <v>26021.19</v>
      </c>
      <c r="O1170" t="s">
        <v>47</v>
      </c>
    </row>
    <row r="1171" spans="1:15" x14ac:dyDescent="0.3">
      <c r="A1171" t="s">
        <v>1239</v>
      </c>
      <c r="B1171" s="2">
        <v>46461</v>
      </c>
      <c r="C1171" t="s">
        <v>15</v>
      </c>
      <c r="D1171" t="str">
        <f t="shared" si="18"/>
        <v>March</v>
      </c>
      <c r="E1171" t="s">
        <v>69</v>
      </c>
      <c r="F1171" t="s">
        <v>60</v>
      </c>
      <c r="G1171" t="s">
        <v>61</v>
      </c>
      <c r="H1171" t="s">
        <v>27</v>
      </c>
      <c r="I1171" t="s">
        <v>42</v>
      </c>
      <c r="J1171" t="s">
        <v>46</v>
      </c>
      <c r="K1171">
        <v>3</v>
      </c>
      <c r="L1171">
        <v>44240.94</v>
      </c>
      <c r="M1171">
        <v>10</v>
      </c>
      <c r="N1171">
        <v>119450.53</v>
      </c>
      <c r="O1171" t="s">
        <v>47</v>
      </c>
    </row>
    <row r="1172" spans="1:15" x14ac:dyDescent="0.3">
      <c r="A1172" t="s">
        <v>1240</v>
      </c>
      <c r="B1172" s="2">
        <v>46462</v>
      </c>
      <c r="C1172" t="s">
        <v>38</v>
      </c>
      <c r="D1172" t="str">
        <f t="shared" si="18"/>
        <v>March</v>
      </c>
      <c r="E1172" t="s">
        <v>69</v>
      </c>
      <c r="F1172" t="s">
        <v>17</v>
      </c>
      <c r="G1172" t="s">
        <v>18</v>
      </c>
      <c r="H1172" t="s">
        <v>19</v>
      </c>
      <c r="I1172" t="s">
        <v>42</v>
      </c>
      <c r="J1172" t="s">
        <v>21</v>
      </c>
      <c r="K1172">
        <v>2</v>
      </c>
      <c r="L1172">
        <v>66368.89</v>
      </c>
      <c r="M1172">
        <v>5</v>
      </c>
      <c r="N1172">
        <v>126100.89</v>
      </c>
      <c r="O1172" t="s">
        <v>47</v>
      </c>
    </row>
    <row r="1173" spans="1:15" x14ac:dyDescent="0.3">
      <c r="A1173" t="s">
        <v>1241</v>
      </c>
      <c r="B1173" s="2">
        <v>46463</v>
      </c>
      <c r="C1173" t="s">
        <v>49</v>
      </c>
      <c r="D1173" t="str">
        <f t="shared" si="18"/>
        <v>March</v>
      </c>
      <c r="E1173" t="s">
        <v>100</v>
      </c>
      <c r="F1173" t="s">
        <v>25</v>
      </c>
      <c r="G1173" t="s">
        <v>92</v>
      </c>
      <c r="H1173" t="s">
        <v>27</v>
      </c>
      <c r="I1173" t="s">
        <v>20</v>
      </c>
      <c r="J1173" t="s">
        <v>28</v>
      </c>
      <c r="K1173">
        <v>3</v>
      </c>
      <c r="L1173">
        <v>2665.86</v>
      </c>
      <c r="M1173">
        <v>10</v>
      </c>
      <c r="N1173">
        <v>7197.82</v>
      </c>
      <c r="O1173" t="s">
        <v>47</v>
      </c>
    </row>
    <row r="1174" spans="1:15" x14ac:dyDescent="0.3">
      <c r="A1174" t="s">
        <v>1242</v>
      </c>
      <c r="B1174" s="2">
        <v>46464</v>
      </c>
      <c r="C1174" t="s">
        <v>15</v>
      </c>
      <c r="D1174" t="str">
        <f t="shared" si="18"/>
        <v>March</v>
      </c>
      <c r="E1174" t="s">
        <v>100</v>
      </c>
      <c r="F1174" t="s">
        <v>53</v>
      </c>
      <c r="G1174" t="s">
        <v>65</v>
      </c>
      <c r="H1174" t="s">
        <v>19</v>
      </c>
      <c r="I1174" t="s">
        <v>20</v>
      </c>
      <c r="J1174" t="s">
        <v>28</v>
      </c>
      <c r="K1174">
        <v>5</v>
      </c>
      <c r="L1174">
        <v>35859.33</v>
      </c>
      <c r="M1174">
        <v>0</v>
      </c>
      <c r="N1174">
        <v>179296.66</v>
      </c>
      <c r="O1174" t="s">
        <v>36</v>
      </c>
    </row>
    <row r="1175" spans="1:15" x14ac:dyDescent="0.3">
      <c r="A1175" t="s">
        <v>1243</v>
      </c>
      <c r="B1175" s="2">
        <v>46465</v>
      </c>
      <c r="C1175" t="s">
        <v>58</v>
      </c>
      <c r="D1175" t="str">
        <f t="shared" si="18"/>
        <v>March</v>
      </c>
      <c r="E1175" t="s">
        <v>69</v>
      </c>
      <c r="F1175" t="s">
        <v>53</v>
      </c>
      <c r="G1175" t="s">
        <v>129</v>
      </c>
      <c r="H1175" t="s">
        <v>19</v>
      </c>
      <c r="I1175" t="s">
        <v>42</v>
      </c>
      <c r="J1175" t="s">
        <v>35</v>
      </c>
      <c r="K1175">
        <v>1</v>
      </c>
      <c r="L1175">
        <v>38087.51</v>
      </c>
      <c r="M1175">
        <v>10</v>
      </c>
      <c r="N1175">
        <v>34278.76</v>
      </c>
      <c r="O1175" t="s">
        <v>22</v>
      </c>
    </row>
    <row r="1176" spans="1:15" x14ac:dyDescent="0.3">
      <c r="A1176" t="s">
        <v>1244</v>
      </c>
      <c r="B1176" s="2">
        <v>46466</v>
      </c>
      <c r="C1176" t="s">
        <v>49</v>
      </c>
      <c r="D1176" t="str">
        <f t="shared" si="18"/>
        <v>March</v>
      </c>
      <c r="E1176" t="s">
        <v>50</v>
      </c>
      <c r="F1176" t="s">
        <v>25</v>
      </c>
      <c r="G1176" t="s">
        <v>81</v>
      </c>
      <c r="H1176" t="s">
        <v>27</v>
      </c>
      <c r="I1176" t="s">
        <v>34</v>
      </c>
      <c r="J1176" t="s">
        <v>46</v>
      </c>
      <c r="K1176">
        <v>3</v>
      </c>
      <c r="L1176">
        <v>2924.47</v>
      </c>
      <c r="M1176">
        <v>0</v>
      </c>
      <c r="N1176">
        <v>8773.41</v>
      </c>
      <c r="O1176" t="s">
        <v>47</v>
      </c>
    </row>
    <row r="1177" spans="1:15" x14ac:dyDescent="0.3">
      <c r="A1177" t="s">
        <v>1245</v>
      </c>
      <c r="B1177" s="2">
        <v>46467</v>
      </c>
      <c r="C1177" t="s">
        <v>58</v>
      </c>
      <c r="D1177" t="str">
        <f t="shared" si="18"/>
        <v>March</v>
      </c>
      <c r="E1177" t="s">
        <v>32</v>
      </c>
      <c r="F1177" t="s">
        <v>40</v>
      </c>
      <c r="G1177" t="s">
        <v>118</v>
      </c>
      <c r="H1177" t="s">
        <v>19</v>
      </c>
      <c r="I1177" t="s">
        <v>34</v>
      </c>
      <c r="J1177" t="s">
        <v>21</v>
      </c>
      <c r="K1177">
        <v>2</v>
      </c>
      <c r="L1177">
        <v>6504.67</v>
      </c>
      <c r="M1177">
        <v>20</v>
      </c>
      <c r="N1177">
        <v>10407.469999999999</v>
      </c>
      <c r="O1177" t="s">
        <v>36</v>
      </c>
    </row>
    <row r="1178" spans="1:15" x14ac:dyDescent="0.3">
      <c r="A1178" t="s">
        <v>1246</v>
      </c>
      <c r="B1178" s="2">
        <v>46468</v>
      </c>
      <c r="C1178" t="s">
        <v>38</v>
      </c>
      <c r="D1178" t="str">
        <f t="shared" si="18"/>
        <v>March</v>
      </c>
      <c r="E1178" t="s">
        <v>16</v>
      </c>
      <c r="F1178" t="s">
        <v>17</v>
      </c>
      <c r="G1178" t="s">
        <v>123</v>
      </c>
      <c r="H1178" t="s">
        <v>27</v>
      </c>
      <c r="I1178" t="s">
        <v>20</v>
      </c>
      <c r="J1178" t="s">
        <v>21</v>
      </c>
      <c r="K1178">
        <v>1</v>
      </c>
      <c r="L1178">
        <v>60915.93</v>
      </c>
      <c r="M1178">
        <v>5</v>
      </c>
      <c r="N1178">
        <v>57870.13</v>
      </c>
      <c r="O1178" t="s">
        <v>29</v>
      </c>
    </row>
    <row r="1179" spans="1:15" x14ac:dyDescent="0.3">
      <c r="A1179" t="s">
        <v>1247</v>
      </c>
      <c r="B1179" s="2">
        <v>46469</v>
      </c>
      <c r="C1179" t="s">
        <v>38</v>
      </c>
      <c r="D1179" t="str">
        <f t="shared" si="18"/>
        <v>March</v>
      </c>
      <c r="E1179" t="s">
        <v>77</v>
      </c>
      <c r="F1179" t="s">
        <v>53</v>
      </c>
      <c r="G1179" t="s">
        <v>129</v>
      </c>
      <c r="H1179" t="s">
        <v>19</v>
      </c>
      <c r="I1179" t="s">
        <v>34</v>
      </c>
      <c r="J1179" t="s">
        <v>43</v>
      </c>
      <c r="K1179">
        <v>3</v>
      </c>
      <c r="L1179">
        <v>31856.13</v>
      </c>
      <c r="M1179">
        <v>0</v>
      </c>
      <c r="N1179">
        <v>95568.4</v>
      </c>
      <c r="O1179" t="s">
        <v>29</v>
      </c>
    </row>
    <row r="1180" spans="1:15" x14ac:dyDescent="0.3">
      <c r="A1180" t="s">
        <v>1248</v>
      </c>
      <c r="B1180" s="2">
        <v>46470</v>
      </c>
      <c r="C1180" t="s">
        <v>58</v>
      </c>
      <c r="D1180" t="str">
        <f t="shared" si="18"/>
        <v>March</v>
      </c>
      <c r="E1180" t="s">
        <v>16</v>
      </c>
      <c r="F1180" t="s">
        <v>53</v>
      </c>
      <c r="G1180" t="s">
        <v>129</v>
      </c>
      <c r="H1180" t="s">
        <v>33</v>
      </c>
      <c r="I1180" t="s">
        <v>42</v>
      </c>
      <c r="J1180" t="s">
        <v>46</v>
      </c>
      <c r="K1180">
        <v>3</v>
      </c>
      <c r="L1180">
        <v>31499</v>
      </c>
      <c r="M1180">
        <v>5</v>
      </c>
      <c r="N1180">
        <v>89772.14</v>
      </c>
      <c r="O1180" t="s">
        <v>47</v>
      </c>
    </row>
    <row r="1181" spans="1:15" x14ac:dyDescent="0.3">
      <c r="A1181" t="s">
        <v>1249</v>
      </c>
      <c r="B1181" s="2">
        <v>46471</v>
      </c>
      <c r="C1181" t="s">
        <v>38</v>
      </c>
      <c r="D1181" t="str">
        <f t="shared" si="18"/>
        <v>March</v>
      </c>
      <c r="E1181" t="s">
        <v>77</v>
      </c>
      <c r="F1181" t="s">
        <v>53</v>
      </c>
      <c r="G1181" t="s">
        <v>129</v>
      </c>
      <c r="H1181" t="s">
        <v>33</v>
      </c>
      <c r="I1181" t="s">
        <v>42</v>
      </c>
      <c r="J1181" t="s">
        <v>43</v>
      </c>
      <c r="K1181">
        <v>2</v>
      </c>
      <c r="L1181">
        <v>29897.83</v>
      </c>
      <c r="M1181">
        <v>5</v>
      </c>
      <c r="N1181">
        <v>56805.88</v>
      </c>
      <c r="O1181" t="s">
        <v>47</v>
      </c>
    </row>
    <row r="1182" spans="1:15" x14ac:dyDescent="0.3">
      <c r="A1182" t="s">
        <v>1250</v>
      </c>
      <c r="B1182" s="2">
        <v>46472</v>
      </c>
      <c r="C1182" t="s">
        <v>38</v>
      </c>
      <c r="D1182" t="str">
        <f t="shared" si="18"/>
        <v>March</v>
      </c>
      <c r="E1182" t="s">
        <v>32</v>
      </c>
      <c r="F1182" t="s">
        <v>17</v>
      </c>
      <c r="G1182" t="s">
        <v>63</v>
      </c>
      <c r="H1182" t="s">
        <v>27</v>
      </c>
      <c r="I1182" t="s">
        <v>34</v>
      </c>
      <c r="J1182" t="s">
        <v>28</v>
      </c>
      <c r="K1182">
        <v>5</v>
      </c>
      <c r="L1182">
        <v>63730.12</v>
      </c>
      <c r="M1182">
        <v>0</v>
      </c>
      <c r="N1182">
        <v>318650.59000000003</v>
      </c>
      <c r="O1182" t="s">
        <v>47</v>
      </c>
    </row>
    <row r="1183" spans="1:15" x14ac:dyDescent="0.3">
      <c r="A1183" t="s">
        <v>1251</v>
      </c>
      <c r="B1183" s="2">
        <v>46473</v>
      </c>
      <c r="C1183" t="s">
        <v>58</v>
      </c>
      <c r="D1183" t="str">
        <f t="shared" si="18"/>
        <v>March</v>
      </c>
      <c r="E1183" t="s">
        <v>16</v>
      </c>
      <c r="F1183" t="s">
        <v>53</v>
      </c>
      <c r="G1183" t="s">
        <v>54</v>
      </c>
      <c r="H1183" t="s">
        <v>27</v>
      </c>
      <c r="I1183" t="s">
        <v>34</v>
      </c>
      <c r="J1183" t="s">
        <v>28</v>
      </c>
      <c r="K1183">
        <v>1</v>
      </c>
      <c r="L1183">
        <v>25687.29</v>
      </c>
      <c r="M1183">
        <v>5</v>
      </c>
      <c r="N1183">
        <v>24402.93</v>
      </c>
      <c r="O1183" t="s">
        <v>47</v>
      </c>
    </row>
    <row r="1184" spans="1:15" x14ac:dyDescent="0.3">
      <c r="A1184" t="s">
        <v>1252</v>
      </c>
      <c r="B1184" s="2">
        <v>46474</v>
      </c>
      <c r="C1184" t="s">
        <v>49</v>
      </c>
      <c r="D1184" t="str">
        <f t="shared" si="18"/>
        <v>March</v>
      </c>
      <c r="E1184" t="s">
        <v>52</v>
      </c>
      <c r="F1184" t="s">
        <v>17</v>
      </c>
      <c r="G1184" t="s">
        <v>67</v>
      </c>
      <c r="H1184" t="s">
        <v>19</v>
      </c>
      <c r="I1184" t="s">
        <v>42</v>
      </c>
      <c r="J1184" t="s">
        <v>35</v>
      </c>
      <c r="K1184">
        <v>3</v>
      </c>
      <c r="L1184">
        <v>68603.06</v>
      </c>
      <c r="M1184">
        <v>0</v>
      </c>
      <c r="N1184">
        <v>205809.19</v>
      </c>
      <c r="O1184" t="s">
        <v>47</v>
      </c>
    </row>
    <row r="1185" spans="1:15" x14ac:dyDescent="0.3">
      <c r="A1185" t="s">
        <v>1253</v>
      </c>
      <c r="B1185" s="2">
        <v>46475</v>
      </c>
      <c r="C1185" t="s">
        <v>49</v>
      </c>
      <c r="D1185" t="str">
        <f t="shared" si="18"/>
        <v>March</v>
      </c>
      <c r="E1185" t="s">
        <v>32</v>
      </c>
      <c r="F1185" t="s">
        <v>60</v>
      </c>
      <c r="G1185" t="s">
        <v>61</v>
      </c>
      <c r="H1185" t="s">
        <v>45</v>
      </c>
      <c r="I1185" t="s">
        <v>20</v>
      </c>
      <c r="J1185" t="s">
        <v>35</v>
      </c>
      <c r="K1185">
        <v>5</v>
      </c>
      <c r="L1185">
        <v>44054.26</v>
      </c>
      <c r="M1185">
        <v>0</v>
      </c>
      <c r="N1185">
        <v>220271.3</v>
      </c>
      <c r="O1185" t="s">
        <v>47</v>
      </c>
    </row>
    <row r="1186" spans="1:15" x14ac:dyDescent="0.3">
      <c r="A1186" t="s">
        <v>1254</v>
      </c>
      <c r="B1186" s="2">
        <v>46476</v>
      </c>
      <c r="C1186" t="s">
        <v>15</v>
      </c>
      <c r="D1186" t="str">
        <f t="shared" si="18"/>
        <v>March</v>
      </c>
      <c r="E1186" t="s">
        <v>69</v>
      </c>
      <c r="F1186" t="s">
        <v>25</v>
      </c>
      <c r="G1186" t="s">
        <v>92</v>
      </c>
      <c r="H1186" t="s">
        <v>27</v>
      </c>
      <c r="I1186" t="s">
        <v>42</v>
      </c>
      <c r="J1186" t="s">
        <v>43</v>
      </c>
      <c r="K1186">
        <v>3</v>
      </c>
      <c r="L1186">
        <v>2300.88</v>
      </c>
      <c r="M1186">
        <v>15</v>
      </c>
      <c r="N1186">
        <v>5867.24</v>
      </c>
      <c r="O1186" t="s">
        <v>36</v>
      </c>
    </row>
    <row r="1187" spans="1:15" x14ac:dyDescent="0.3">
      <c r="A1187" t="s">
        <v>1255</v>
      </c>
      <c r="B1187" s="2">
        <v>46477</v>
      </c>
      <c r="C1187" t="s">
        <v>38</v>
      </c>
      <c r="D1187" t="str">
        <f t="shared" si="18"/>
        <v>March</v>
      </c>
      <c r="E1187" t="s">
        <v>24</v>
      </c>
      <c r="F1187" t="s">
        <v>40</v>
      </c>
      <c r="G1187" t="s">
        <v>41</v>
      </c>
      <c r="H1187" t="s">
        <v>19</v>
      </c>
      <c r="I1187" t="s">
        <v>42</v>
      </c>
      <c r="J1187" t="s">
        <v>21</v>
      </c>
      <c r="K1187">
        <v>5</v>
      </c>
      <c r="L1187">
        <v>5820.57</v>
      </c>
      <c r="M1187">
        <v>5</v>
      </c>
      <c r="N1187">
        <v>27647.73</v>
      </c>
      <c r="O1187" t="s">
        <v>29</v>
      </c>
    </row>
    <row r="1188" spans="1:15" x14ac:dyDescent="0.3">
      <c r="A1188" t="s">
        <v>1256</v>
      </c>
      <c r="B1188" s="2">
        <v>46478</v>
      </c>
      <c r="C1188" t="s">
        <v>31</v>
      </c>
      <c r="D1188" t="str">
        <f t="shared" si="18"/>
        <v>April</v>
      </c>
      <c r="E1188" t="s">
        <v>24</v>
      </c>
      <c r="F1188" t="s">
        <v>60</v>
      </c>
      <c r="G1188" t="s">
        <v>73</v>
      </c>
      <c r="H1188" t="s">
        <v>45</v>
      </c>
      <c r="I1188" t="s">
        <v>20</v>
      </c>
      <c r="J1188" t="s">
        <v>46</v>
      </c>
      <c r="K1188">
        <v>2</v>
      </c>
      <c r="L1188">
        <v>43176.08</v>
      </c>
      <c r="M1188">
        <v>10</v>
      </c>
      <c r="N1188">
        <v>77716.94</v>
      </c>
      <c r="O1188" t="s">
        <v>29</v>
      </c>
    </row>
    <row r="1189" spans="1:15" x14ac:dyDescent="0.3">
      <c r="A1189" t="s">
        <v>1257</v>
      </c>
      <c r="B1189" s="2">
        <v>46479</v>
      </c>
      <c r="C1189" t="s">
        <v>38</v>
      </c>
      <c r="D1189" t="str">
        <f t="shared" si="18"/>
        <v>April</v>
      </c>
      <c r="E1189" t="s">
        <v>52</v>
      </c>
      <c r="F1189" t="s">
        <v>25</v>
      </c>
      <c r="G1189" t="s">
        <v>81</v>
      </c>
      <c r="H1189" t="s">
        <v>45</v>
      </c>
      <c r="I1189" t="s">
        <v>34</v>
      </c>
      <c r="J1189" t="s">
        <v>43</v>
      </c>
      <c r="K1189">
        <v>5</v>
      </c>
      <c r="L1189">
        <v>2643.59</v>
      </c>
      <c r="M1189">
        <v>0</v>
      </c>
      <c r="N1189">
        <v>13217.96</v>
      </c>
      <c r="O1189" t="s">
        <v>36</v>
      </c>
    </row>
    <row r="1190" spans="1:15" x14ac:dyDescent="0.3">
      <c r="A1190" t="s">
        <v>1258</v>
      </c>
      <c r="B1190" s="2">
        <v>46480</v>
      </c>
      <c r="C1190" t="s">
        <v>49</v>
      </c>
      <c r="D1190" t="str">
        <f t="shared" si="18"/>
        <v>April</v>
      </c>
      <c r="E1190" t="s">
        <v>16</v>
      </c>
      <c r="F1190" t="s">
        <v>25</v>
      </c>
      <c r="G1190" t="s">
        <v>92</v>
      </c>
      <c r="H1190" t="s">
        <v>33</v>
      </c>
      <c r="I1190" t="s">
        <v>34</v>
      </c>
      <c r="J1190" t="s">
        <v>46</v>
      </c>
      <c r="K1190">
        <v>4</v>
      </c>
      <c r="L1190">
        <v>2133.73</v>
      </c>
      <c r="M1190">
        <v>15</v>
      </c>
      <c r="N1190">
        <v>7254.67</v>
      </c>
      <c r="O1190" t="s">
        <v>29</v>
      </c>
    </row>
    <row r="1191" spans="1:15" x14ac:dyDescent="0.3">
      <c r="A1191" t="s">
        <v>1259</v>
      </c>
      <c r="B1191" s="2">
        <v>46481</v>
      </c>
      <c r="C1191" t="s">
        <v>31</v>
      </c>
      <c r="D1191" t="str">
        <f t="shared" si="18"/>
        <v>April</v>
      </c>
      <c r="E1191" t="s">
        <v>32</v>
      </c>
      <c r="F1191" t="s">
        <v>17</v>
      </c>
      <c r="G1191" t="s">
        <v>67</v>
      </c>
      <c r="H1191" t="s">
        <v>33</v>
      </c>
      <c r="I1191" t="s">
        <v>20</v>
      </c>
      <c r="J1191" t="s">
        <v>28</v>
      </c>
      <c r="K1191">
        <v>2</v>
      </c>
      <c r="L1191">
        <v>60684.88</v>
      </c>
      <c r="M1191">
        <v>10</v>
      </c>
      <c r="N1191">
        <v>109232.78</v>
      </c>
      <c r="O1191" t="s">
        <v>22</v>
      </c>
    </row>
    <row r="1192" spans="1:15" x14ac:dyDescent="0.3">
      <c r="A1192" t="s">
        <v>1260</v>
      </c>
      <c r="B1192" s="2">
        <v>46482</v>
      </c>
      <c r="C1192" t="s">
        <v>49</v>
      </c>
      <c r="D1192" t="str">
        <f t="shared" si="18"/>
        <v>April</v>
      </c>
      <c r="E1192" t="s">
        <v>52</v>
      </c>
      <c r="F1192" t="s">
        <v>40</v>
      </c>
      <c r="G1192" t="s">
        <v>75</v>
      </c>
      <c r="H1192" t="s">
        <v>27</v>
      </c>
      <c r="I1192" t="s">
        <v>34</v>
      </c>
      <c r="J1192" t="s">
        <v>21</v>
      </c>
      <c r="K1192">
        <v>3</v>
      </c>
      <c r="L1192">
        <v>7134</v>
      </c>
      <c r="M1192">
        <v>0</v>
      </c>
      <c r="N1192">
        <v>21402</v>
      </c>
      <c r="O1192" t="s">
        <v>22</v>
      </c>
    </row>
    <row r="1193" spans="1:15" x14ac:dyDescent="0.3">
      <c r="A1193" t="s">
        <v>1261</v>
      </c>
      <c r="B1193" s="2">
        <v>46483</v>
      </c>
      <c r="C1193" t="s">
        <v>38</v>
      </c>
      <c r="D1193" t="str">
        <f t="shared" si="18"/>
        <v>April</v>
      </c>
      <c r="E1193" t="s">
        <v>69</v>
      </c>
      <c r="F1193" t="s">
        <v>53</v>
      </c>
      <c r="G1193" t="s">
        <v>129</v>
      </c>
      <c r="H1193" t="s">
        <v>45</v>
      </c>
      <c r="I1193" t="s">
        <v>42</v>
      </c>
      <c r="J1193" t="s">
        <v>35</v>
      </c>
      <c r="K1193">
        <v>5</v>
      </c>
      <c r="L1193">
        <v>26106.58</v>
      </c>
      <c r="M1193">
        <v>5</v>
      </c>
      <c r="N1193">
        <v>124006.26</v>
      </c>
      <c r="O1193" t="s">
        <v>29</v>
      </c>
    </row>
    <row r="1194" spans="1:15" x14ac:dyDescent="0.3">
      <c r="A1194" t="s">
        <v>1262</v>
      </c>
      <c r="B1194" s="2">
        <v>46484</v>
      </c>
      <c r="C1194" t="s">
        <v>15</v>
      </c>
      <c r="D1194" t="str">
        <f t="shared" si="18"/>
        <v>April</v>
      </c>
      <c r="E1194" t="s">
        <v>100</v>
      </c>
      <c r="F1194" t="s">
        <v>17</v>
      </c>
      <c r="G1194" t="s">
        <v>123</v>
      </c>
      <c r="H1194" t="s">
        <v>27</v>
      </c>
      <c r="I1194" t="s">
        <v>20</v>
      </c>
      <c r="J1194" t="s">
        <v>35</v>
      </c>
      <c r="K1194">
        <v>3</v>
      </c>
      <c r="L1194">
        <v>69240.03</v>
      </c>
      <c r="M1194">
        <v>0</v>
      </c>
      <c r="N1194">
        <v>207720.09</v>
      </c>
      <c r="O1194" t="s">
        <v>47</v>
      </c>
    </row>
    <row r="1195" spans="1:15" x14ac:dyDescent="0.3">
      <c r="A1195" t="s">
        <v>1263</v>
      </c>
      <c r="B1195" s="2">
        <v>46485</v>
      </c>
      <c r="C1195" t="s">
        <v>31</v>
      </c>
      <c r="D1195" t="str">
        <f t="shared" si="18"/>
        <v>April</v>
      </c>
      <c r="E1195" t="s">
        <v>24</v>
      </c>
      <c r="F1195" t="s">
        <v>17</v>
      </c>
      <c r="G1195" t="s">
        <v>63</v>
      </c>
      <c r="H1195" t="s">
        <v>27</v>
      </c>
      <c r="I1195" t="s">
        <v>20</v>
      </c>
      <c r="J1195" t="s">
        <v>28</v>
      </c>
      <c r="K1195">
        <v>2</v>
      </c>
      <c r="L1195">
        <v>53671.02</v>
      </c>
      <c r="M1195">
        <v>0</v>
      </c>
      <c r="N1195">
        <v>107342.04</v>
      </c>
      <c r="O1195" t="s">
        <v>29</v>
      </c>
    </row>
    <row r="1196" spans="1:15" x14ac:dyDescent="0.3">
      <c r="A1196" t="s">
        <v>1264</v>
      </c>
      <c r="B1196" s="2">
        <v>46486</v>
      </c>
      <c r="C1196" t="s">
        <v>49</v>
      </c>
      <c r="D1196" t="str">
        <f t="shared" si="18"/>
        <v>April</v>
      </c>
      <c r="E1196" t="s">
        <v>52</v>
      </c>
      <c r="F1196" t="s">
        <v>60</v>
      </c>
      <c r="G1196" t="s">
        <v>70</v>
      </c>
      <c r="H1196" t="s">
        <v>27</v>
      </c>
      <c r="I1196" t="s">
        <v>42</v>
      </c>
      <c r="J1196" t="s">
        <v>46</v>
      </c>
      <c r="K1196">
        <v>2</v>
      </c>
      <c r="L1196">
        <v>52072.38</v>
      </c>
      <c r="M1196">
        <v>0</v>
      </c>
      <c r="N1196">
        <v>104144.75</v>
      </c>
      <c r="O1196" t="s">
        <v>47</v>
      </c>
    </row>
    <row r="1197" spans="1:15" x14ac:dyDescent="0.3">
      <c r="A1197" t="s">
        <v>1265</v>
      </c>
      <c r="B1197" s="2">
        <v>46487</v>
      </c>
      <c r="C1197" t="s">
        <v>31</v>
      </c>
      <c r="D1197" t="str">
        <f t="shared" si="18"/>
        <v>April</v>
      </c>
      <c r="E1197" t="s">
        <v>100</v>
      </c>
      <c r="F1197" t="s">
        <v>40</v>
      </c>
      <c r="G1197" t="s">
        <v>75</v>
      </c>
      <c r="H1197" t="s">
        <v>27</v>
      </c>
      <c r="I1197" t="s">
        <v>34</v>
      </c>
      <c r="J1197" t="s">
        <v>43</v>
      </c>
      <c r="K1197">
        <v>2</v>
      </c>
      <c r="L1197">
        <v>5375.23</v>
      </c>
      <c r="M1197">
        <v>15</v>
      </c>
      <c r="N1197">
        <v>9137.89</v>
      </c>
      <c r="O1197" t="s">
        <v>29</v>
      </c>
    </row>
    <row r="1198" spans="1:15" x14ac:dyDescent="0.3">
      <c r="A1198" t="s">
        <v>1266</v>
      </c>
      <c r="B1198" s="2">
        <v>46488</v>
      </c>
      <c r="C1198" t="s">
        <v>31</v>
      </c>
      <c r="D1198" t="str">
        <f t="shared" si="18"/>
        <v>April</v>
      </c>
      <c r="E1198" t="s">
        <v>69</v>
      </c>
      <c r="F1198" t="s">
        <v>60</v>
      </c>
      <c r="G1198" t="s">
        <v>61</v>
      </c>
      <c r="H1198" t="s">
        <v>45</v>
      </c>
      <c r="I1198" t="s">
        <v>42</v>
      </c>
      <c r="J1198" t="s">
        <v>28</v>
      </c>
      <c r="K1198">
        <v>2</v>
      </c>
      <c r="L1198">
        <v>34873.980000000003</v>
      </c>
      <c r="M1198">
        <v>10</v>
      </c>
      <c r="N1198">
        <v>62773.16</v>
      </c>
      <c r="O1198" t="s">
        <v>22</v>
      </c>
    </row>
    <row r="1199" spans="1:15" x14ac:dyDescent="0.3">
      <c r="A1199" t="s">
        <v>1267</v>
      </c>
      <c r="B1199" s="2">
        <v>46489</v>
      </c>
      <c r="C1199" t="s">
        <v>38</v>
      </c>
      <c r="D1199" t="str">
        <f t="shared" si="18"/>
        <v>April</v>
      </c>
      <c r="E1199" t="s">
        <v>77</v>
      </c>
      <c r="F1199" t="s">
        <v>17</v>
      </c>
      <c r="G1199" t="s">
        <v>63</v>
      </c>
      <c r="H1199" t="s">
        <v>45</v>
      </c>
      <c r="I1199" t="s">
        <v>42</v>
      </c>
      <c r="J1199" t="s">
        <v>28</v>
      </c>
      <c r="K1199">
        <v>2</v>
      </c>
      <c r="L1199">
        <v>47457.59</v>
      </c>
      <c r="M1199">
        <v>10</v>
      </c>
      <c r="N1199">
        <v>85423.66</v>
      </c>
      <c r="O1199" t="s">
        <v>29</v>
      </c>
    </row>
    <row r="1200" spans="1:15" x14ac:dyDescent="0.3">
      <c r="A1200" t="s">
        <v>1268</v>
      </c>
      <c r="B1200" s="2">
        <v>46490</v>
      </c>
      <c r="C1200" t="s">
        <v>31</v>
      </c>
      <c r="D1200" t="str">
        <f t="shared" si="18"/>
        <v>April</v>
      </c>
      <c r="E1200" t="s">
        <v>77</v>
      </c>
      <c r="F1200" t="s">
        <v>40</v>
      </c>
      <c r="G1200" t="s">
        <v>41</v>
      </c>
      <c r="H1200" t="s">
        <v>45</v>
      </c>
      <c r="I1200" t="s">
        <v>42</v>
      </c>
      <c r="J1200" t="s">
        <v>46</v>
      </c>
      <c r="K1200">
        <v>5</v>
      </c>
      <c r="L1200">
        <v>7690.26</v>
      </c>
      <c r="M1200">
        <v>20</v>
      </c>
      <c r="N1200">
        <v>30761.02</v>
      </c>
      <c r="O1200" t="s">
        <v>47</v>
      </c>
    </row>
    <row r="1201" spans="1:15" x14ac:dyDescent="0.3">
      <c r="A1201" t="s">
        <v>1269</v>
      </c>
      <c r="B1201" s="2">
        <v>46491</v>
      </c>
      <c r="C1201" t="s">
        <v>38</v>
      </c>
      <c r="D1201" t="str">
        <f t="shared" si="18"/>
        <v>April</v>
      </c>
      <c r="E1201" t="s">
        <v>52</v>
      </c>
      <c r="F1201" t="s">
        <v>17</v>
      </c>
      <c r="G1201" t="s">
        <v>63</v>
      </c>
      <c r="H1201" t="s">
        <v>45</v>
      </c>
      <c r="I1201" t="s">
        <v>20</v>
      </c>
      <c r="J1201" t="s">
        <v>43</v>
      </c>
      <c r="K1201">
        <v>2</v>
      </c>
      <c r="L1201">
        <v>47106.48</v>
      </c>
      <c r="M1201">
        <v>5</v>
      </c>
      <c r="N1201">
        <v>89502.31</v>
      </c>
      <c r="O1201" t="s">
        <v>47</v>
      </c>
    </row>
    <row r="1202" spans="1:15" x14ac:dyDescent="0.3">
      <c r="A1202" t="s">
        <v>1270</v>
      </c>
      <c r="B1202" s="2">
        <v>46492</v>
      </c>
      <c r="C1202" t="s">
        <v>49</v>
      </c>
      <c r="D1202" t="str">
        <f t="shared" si="18"/>
        <v>April</v>
      </c>
      <c r="E1202" t="s">
        <v>77</v>
      </c>
      <c r="F1202" t="s">
        <v>40</v>
      </c>
      <c r="G1202" t="s">
        <v>115</v>
      </c>
      <c r="H1202" t="s">
        <v>19</v>
      </c>
      <c r="I1202" t="s">
        <v>42</v>
      </c>
      <c r="J1202" t="s">
        <v>35</v>
      </c>
      <c r="K1202">
        <v>2</v>
      </c>
      <c r="L1202">
        <v>5094.04</v>
      </c>
      <c r="M1202">
        <v>0</v>
      </c>
      <c r="N1202">
        <v>10188.08</v>
      </c>
      <c r="O1202" t="s">
        <v>22</v>
      </c>
    </row>
    <row r="1203" spans="1:15" x14ac:dyDescent="0.3">
      <c r="A1203" t="s">
        <v>1271</v>
      </c>
      <c r="B1203" s="2">
        <v>46493</v>
      </c>
      <c r="C1203" t="s">
        <v>15</v>
      </c>
      <c r="D1203" t="str">
        <f t="shared" si="18"/>
        <v>April</v>
      </c>
      <c r="E1203" t="s">
        <v>52</v>
      </c>
      <c r="F1203" t="s">
        <v>60</v>
      </c>
      <c r="G1203" t="s">
        <v>70</v>
      </c>
      <c r="H1203" t="s">
        <v>33</v>
      </c>
      <c r="I1203" t="s">
        <v>20</v>
      </c>
      <c r="J1203" t="s">
        <v>46</v>
      </c>
      <c r="K1203">
        <v>1</v>
      </c>
      <c r="L1203">
        <v>31786.36</v>
      </c>
      <c r="M1203">
        <v>5</v>
      </c>
      <c r="N1203">
        <v>30197.040000000001</v>
      </c>
      <c r="O1203" t="s">
        <v>47</v>
      </c>
    </row>
    <row r="1204" spans="1:15" x14ac:dyDescent="0.3">
      <c r="A1204" t="s">
        <v>1272</v>
      </c>
      <c r="B1204" s="2">
        <v>46494</v>
      </c>
      <c r="C1204" t="s">
        <v>31</v>
      </c>
      <c r="D1204" t="str">
        <f t="shared" si="18"/>
        <v>April</v>
      </c>
      <c r="E1204" t="s">
        <v>52</v>
      </c>
      <c r="F1204" t="s">
        <v>17</v>
      </c>
      <c r="G1204" t="s">
        <v>63</v>
      </c>
      <c r="H1204" t="s">
        <v>33</v>
      </c>
      <c r="I1204" t="s">
        <v>20</v>
      </c>
      <c r="J1204" t="s">
        <v>21</v>
      </c>
      <c r="K1204">
        <v>4</v>
      </c>
      <c r="L1204">
        <v>62121.64</v>
      </c>
      <c r="M1204">
        <v>20</v>
      </c>
      <c r="N1204">
        <v>198789.24</v>
      </c>
      <c r="O1204" t="s">
        <v>29</v>
      </c>
    </row>
    <row r="1205" spans="1:15" x14ac:dyDescent="0.3">
      <c r="A1205" t="s">
        <v>1273</v>
      </c>
      <c r="B1205" s="2">
        <v>46495</v>
      </c>
      <c r="C1205" t="s">
        <v>38</v>
      </c>
      <c r="D1205" t="str">
        <f t="shared" si="18"/>
        <v>April</v>
      </c>
      <c r="E1205" t="s">
        <v>50</v>
      </c>
      <c r="F1205" t="s">
        <v>25</v>
      </c>
      <c r="G1205" t="s">
        <v>26</v>
      </c>
      <c r="H1205" t="s">
        <v>19</v>
      </c>
      <c r="I1205" t="s">
        <v>34</v>
      </c>
      <c r="J1205" t="s">
        <v>28</v>
      </c>
      <c r="K1205">
        <v>4</v>
      </c>
      <c r="L1205">
        <v>2068.4299999999998</v>
      </c>
      <c r="M1205">
        <v>0</v>
      </c>
      <c r="N1205">
        <v>8273.74</v>
      </c>
      <c r="O1205" t="s">
        <v>47</v>
      </c>
    </row>
    <row r="1206" spans="1:15" x14ac:dyDescent="0.3">
      <c r="A1206" t="s">
        <v>1274</v>
      </c>
      <c r="B1206" s="2">
        <v>46496</v>
      </c>
      <c r="C1206" t="s">
        <v>31</v>
      </c>
      <c r="D1206" t="str">
        <f t="shared" si="18"/>
        <v>April</v>
      </c>
      <c r="E1206" t="s">
        <v>16</v>
      </c>
      <c r="F1206" t="s">
        <v>60</v>
      </c>
      <c r="G1206" t="s">
        <v>61</v>
      </c>
      <c r="H1206" t="s">
        <v>19</v>
      </c>
      <c r="I1206" t="s">
        <v>34</v>
      </c>
      <c r="J1206" t="s">
        <v>43</v>
      </c>
      <c r="K1206">
        <v>4</v>
      </c>
      <c r="L1206">
        <v>49202.77</v>
      </c>
      <c r="M1206">
        <v>20</v>
      </c>
      <c r="N1206">
        <v>157448.85999999999</v>
      </c>
      <c r="O1206" t="s">
        <v>47</v>
      </c>
    </row>
    <row r="1207" spans="1:15" x14ac:dyDescent="0.3">
      <c r="A1207" t="s">
        <v>1275</v>
      </c>
      <c r="B1207" s="2">
        <v>46497</v>
      </c>
      <c r="C1207" t="s">
        <v>58</v>
      </c>
      <c r="D1207" t="str">
        <f t="shared" si="18"/>
        <v>April</v>
      </c>
      <c r="E1207" t="s">
        <v>52</v>
      </c>
      <c r="F1207" t="s">
        <v>40</v>
      </c>
      <c r="G1207" t="s">
        <v>115</v>
      </c>
      <c r="H1207" t="s">
        <v>27</v>
      </c>
      <c r="I1207" t="s">
        <v>20</v>
      </c>
      <c r="J1207" t="s">
        <v>28</v>
      </c>
      <c r="K1207">
        <v>5</v>
      </c>
      <c r="L1207">
        <v>7357.02</v>
      </c>
      <c r="M1207">
        <v>5</v>
      </c>
      <c r="N1207">
        <v>34945.85</v>
      </c>
      <c r="O1207" t="s">
        <v>47</v>
      </c>
    </row>
    <row r="1208" spans="1:15" x14ac:dyDescent="0.3">
      <c r="A1208" t="s">
        <v>1276</v>
      </c>
      <c r="B1208" s="2">
        <v>46498</v>
      </c>
      <c r="C1208" t="s">
        <v>49</v>
      </c>
      <c r="D1208" t="str">
        <f t="shared" si="18"/>
        <v>April</v>
      </c>
      <c r="E1208" t="s">
        <v>100</v>
      </c>
      <c r="F1208" t="s">
        <v>25</v>
      </c>
      <c r="G1208" t="s">
        <v>81</v>
      </c>
      <c r="H1208" t="s">
        <v>27</v>
      </c>
      <c r="I1208" t="s">
        <v>42</v>
      </c>
      <c r="J1208" t="s">
        <v>43</v>
      </c>
      <c r="K1208">
        <v>5</v>
      </c>
      <c r="L1208">
        <v>2412.9699999999998</v>
      </c>
      <c r="M1208">
        <v>0</v>
      </c>
      <c r="N1208">
        <v>12064.83</v>
      </c>
      <c r="O1208" t="s">
        <v>29</v>
      </c>
    </row>
    <row r="1209" spans="1:15" x14ac:dyDescent="0.3">
      <c r="A1209" t="s">
        <v>1277</v>
      </c>
      <c r="B1209" s="2">
        <v>46499</v>
      </c>
      <c r="C1209" t="s">
        <v>31</v>
      </c>
      <c r="D1209" t="str">
        <f t="shared" si="18"/>
        <v>April</v>
      </c>
      <c r="E1209" t="s">
        <v>72</v>
      </c>
      <c r="F1209" t="s">
        <v>60</v>
      </c>
      <c r="G1209" t="s">
        <v>70</v>
      </c>
      <c r="H1209" t="s">
        <v>45</v>
      </c>
      <c r="I1209" t="s">
        <v>20</v>
      </c>
      <c r="J1209" t="s">
        <v>35</v>
      </c>
      <c r="K1209">
        <v>5</v>
      </c>
      <c r="L1209">
        <v>47788.55</v>
      </c>
      <c r="M1209">
        <v>5</v>
      </c>
      <c r="N1209">
        <v>226995.62</v>
      </c>
      <c r="O1209" t="s">
        <v>36</v>
      </c>
    </row>
    <row r="1210" spans="1:15" x14ac:dyDescent="0.3">
      <c r="A1210" t="s">
        <v>1278</v>
      </c>
      <c r="B1210" s="2">
        <v>46500</v>
      </c>
      <c r="C1210" t="s">
        <v>38</v>
      </c>
      <c r="D1210" t="str">
        <f t="shared" si="18"/>
        <v>April</v>
      </c>
      <c r="E1210" t="s">
        <v>69</v>
      </c>
      <c r="F1210" t="s">
        <v>17</v>
      </c>
      <c r="G1210" t="s">
        <v>63</v>
      </c>
      <c r="H1210" t="s">
        <v>33</v>
      </c>
      <c r="I1210" t="s">
        <v>34</v>
      </c>
      <c r="J1210" t="s">
        <v>43</v>
      </c>
      <c r="K1210">
        <v>3</v>
      </c>
      <c r="L1210">
        <v>61804.31</v>
      </c>
      <c r="M1210">
        <v>15</v>
      </c>
      <c r="N1210">
        <v>157600.98000000001</v>
      </c>
      <c r="O1210" t="s">
        <v>47</v>
      </c>
    </row>
    <row r="1211" spans="1:15" x14ac:dyDescent="0.3">
      <c r="A1211" t="s">
        <v>1279</v>
      </c>
      <c r="B1211" s="2">
        <v>46501</v>
      </c>
      <c r="C1211" t="s">
        <v>15</v>
      </c>
      <c r="D1211" t="str">
        <f t="shared" si="18"/>
        <v>April</v>
      </c>
      <c r="E1211" t="s">
        <v>100</v>
      </c>
      <c r="F1211" t="s">
        <v>53</v>
      </c>
      <c r="G1211" t="s">
        <v>129</v>
      </c>
      <c r="H1211" t="s">
        <v>19</v>
      </c>
      <c r="I1211" t="s">
        <v>42</v>
      </c>
      <c r="J1211" t="s">
        <v>43</v>
      </c>
      <c r="K1211">
        <v>2</v>
      </c>
      <c r="L1211">
        <v>25545.55</v>
      </c>
      <c r="M1211">
        <v>5</v>
      </c>
      <c r="N1211">
        <v>48536.54</v>
      </c>
      <c r="O1211" t="s">
        <v>47</v>
      </c>
    </row>
    <row r="1212" spans="1:15" x14ac:dyDescent="0.3">
      <c r="A1212" t="s">
        <v>1280</v>
      </c>
      <c r="B1212" s="2">
        <v>46502</v>
      </c>
      <c r="C1212" t="s">
        <v>38</v>
      </c>
      <c r="D1212" t="str">
        <f t="shared" si="18"/>
        <v>April</v>
      </c>
      <c r="E1212" t="s">
        <v>16</v>
      </c>
      <c r="F1212" t="s">
        <v>60</v>
      </c>
      <c r="G1212" t="s">
        <v>61</v>
      </c>
      <c r="H1212" t="s">
        <v>19</v>
      </c>
      <c r="I1212" t="s">
        <v>42</v>
      </c>
      <c r="J1212" t="s">
        <v>46</v>
      </c>
      <c r="K1212">
        <v>1</v>
      </c>
      <c r="L1212">
        <v>42743.69</v>
      </c>
      <c r="M1212">
        <v>20</v>
      </c>
      <c r="N1212">
        <v>34194.959999999999</v>
      </c>
      <c r="O1212" t="s">
        <v>36</v>
      </c>
    </row>
    <row r="1213" spans="1:15" x14ac:dyDescent="0.3">
      <c r="A1213" t="s">
        <v>1281</v>
      </c>
      <c r="B1213" s="2">
        <v>46503</v>
      </c>
      <c r="C1213" t="s">
        <v>15</v>
      </c>
      <c r="D1213" t="str">
        <f t="shared" si="18"/>
        <v>April</v>
      </c>
      <c r="E1213" t="s">
        <v>50</v>
      </c>
      <c r="F1213" t="s">
        <v>17</v>
      </c>
      <c r="G1213" t="s">
        <v>18</v>
      </c>
      <c r="H1213" t="s">
        <v>19</v>
      </c>
      <c r="I1213" t="s">
        <v>20</v>
      </c>
      <c r="J1213" t="s">
        <v>46</v>
      </c>
      <c r="K1213">
        <v>3</v>
      </c>
      <c r="L1213">
        <v>60646.76</v>
      </c>
      <c r="M1213">
        <v>10</v>
      </c>
      <c r="N1213">
        <v>163746.25</v>
      </c>
      <c r="O1213" t="s">
        <v>36</v>
      </c>
    </row>
    <row r="1214" spans="1:15" x14ac:dyDescent="0.3">
      <c r="A1214" t="s">
        <v>1282</v>
      </c>
      <c r="B1214" s="2">
        <v>46504</v>
      </c>
      <c r="C1214" t="s">
        <v>15</v>
      </c>
      <c r="D1214" t="str">
        <f t="shared" si="18"/>
        <v>April</v>
      </c>
      <c r="E1214" t="s">
        <v>69</v>
      </c>
      <c r="F1214" t="s">
        <v>40</v>
      </c>
      <c r="G1214" t="s">
        <v>115</v>
      </c>
      <c r="H1214" t="s">
        <v>27</v>
      </c>
      <c r="I1214" t="s">
        <v>34</v>
      </c>
      <c r="J1214" t="s">
        <v>43</v>
      </c>
      <c r="K1214">
        <v>1</v>
      </c>
      <c r="L1214">
        <v>7107.25</v>
      </c>
      <c r="M1214">
        <v>5</v>
      </c>
      <c r="N1214">
        <v>6751.89</v>
      </c>
      <c r="O1214" t="s">
        <v>47</v>
      </c>
    </row>
    <row r="1215" spans="1:15" x14ac:dyDescent="0.3">
      <c r="A1215" t="s">
        <v>1283</v>
      </c>
      <c r="B1215" s="2">
        <v>46505</v>
      </c>
      <c r="C1215" t="s">
        <v>49</v>
      </c>
      <c r="D1215" t="str">
        <f t="shared" si="18"/>
        <v>April</v>
      </c>
      <c r="E1215" t="s">
        <v>52</v>
      </c>
      <c r="F1215" t="s">
        <v>25</v>
      </c>
      <c r="G1215" t="s">
        <v>81</v>
      </c>
      <c r="H1215" t="s">
        <v>33</v>
      </c>
      <c r="I1215" t="s">
        <v>20</v>
      </c>
      <c r="J1215" t="s">
        <v>21</v>
      </c>
      <c r="K1215">
        <v>4</v>
      </c>
      <c r="L1215">
        <v>2037.46</v>
      </c>
      <c r="M1215">
        <v>20</v>
      </c>
      <c r="N1215">
        <v>6519.87</v>
      </c>
      <c r="O1215" t="s">
        <v>36</v>
      </c>
    </row>
    <row r="1216" spans="1:15" x14ac:dyDescent="0.3">
      <c r="A1216" t="s">
        <v>1284</v>
      </c>
      <c r="B1216" s="2">
        <v>46506</v>
      </c>
      <c r="C1216" t="s">
        <v>15</v>
      </c>
      <c r="D1216" t="str">
        <f t="shared" si="18"/>
        <v>April</v>
      </c>
      <c r="E1216" t="s">
        <v>69</v>
      </c>
      <c r="F1216" t="s">
        <v>53</v>
      </c>
      <c r="G1216" t="s">
        <v>129</v>
      </c>
      <c r="H1216" t="s">
        <v>33</v>
      </c>
      <c r="I1216" t="s">
        <v>34</v>
      </c>
      <c r="J1216" t="s">
        <v>21</v>
      </c>
      <c r="K1216">
        <v>2</v>
      </c>
      <c r="L1216">
        <v>32990.57</v>
      </c>
      <c r="M1216">
        <v>15</v>
      </c>
      <c r="N1216">
        <v>56083.97</v>
      </c>
      <c r="O1216" t="s">
        <v>22</v>
      </c>
    </row>
    <row r="1217" spans="1:15" x14ac:dyDescent="0.3">
      <c r="A1217" t="s">
        <v>1285</v>
      </c>
      <c r="B1217" s="2">
        <v>46507</v>
      </c>
      <c r="C1217" t="s">
        <v>15</v>
      </c>
      <c r="D1217" t="str">
        <f t="shared" si="18"/>
        <v>April</v>
      </c>
      <c r="E1217" t="s">
        <v>16</v>
      </c>
      <c r="F1217" t="s">
        <v>60</v>
      </c>
      <c r="G1217" t="s">
        <v>78</v>
      </c>
      <c r="H1217" t="s">
        <v>33</v>
      </c>
      <c r="I1217" t="s">
        <v>34</v>
      </c>
      <c r="J1217" t="s">
        <v>28</v>
      </c>
      <c r="K1217">
        <v>5</v>
      </c>
      <c r="L1217">
        <v>37002.959999999999</v>
      </c>
      <c r="M1217">
        <v>5</v>
      </c>
      <c r="N1217">
        <v>175764.05</v>
      </c>
      <c r="O1217" t="s">
        <v>47</v>
      </c>
    </row>
    <row r="1218" spans="1:15" x14ac:dyDescent="0.3">
      <c r="A1218" t="s">
        <v>1286</v>
      </c>
      <c r="B1218" s="2">
        <v>46508</v>
      </c>
      <c r="C1218" t="s">
        <v>58</v>
      </c>
      <c r="D1218" t="str">
        <f t="shared" si="18"/>
        <v>May</v>
      </c>
      <c r="E1218" t="s">
        <v>69</v>
      </c>
      <c r="F1218" t="s">
        <v>60</v>
      </c>
      <c r="G1218" t="s">
        <v>73</v>
      </c>
      <c r="H1218" t="s">
        <v>45</v>
      </c>
      <c r="I1218" t="s">
        <v>42</v>
      </c>
      <c r="J1218" t="s">
        <v>21</v>
      </c>
      <c r="K1218">
        <v>1</v>
      </c>
      <c r="L1218">
        <v>45413.51</v>
      </c>
      <c r="M1218">
        <v>10</v>
      </c>
      <c r="N1218">
        <v>40872.160000000003</v>
      </c>
      <c r="O1218" t="s">
        <v>29</v>
      </c>
    </row>
    <row r="1219" spans="1:15" x14ac:dyDescent="0.3">
      <c r="A1219" t="s">
        <v>1287</v>
      </c>
      <c r="B1219" s="2">
        <v>46509</v>
      </c>
      <c r="C1219" t="s">
        <v>49</v>
      </c>
      <c r="D1219" t="str">
        <f t="shared" ref="D1219:D1282" si="19">TEXT(B1219,"mmmm")</f>
        <v>May</v>
      </c>
      <c r="E1219" t="s">
        <v>16</v>
      </c>
      <c r="F1219" t="s">
        <v>53</v>
      </c>
      <c r="G1219" t="s">
        <v>105</v>
      </c>
      <c r="H1219" t="s">
        <v>45</v>
      </c>
      <c r="I1219" t="s">
        <v>42</v>
      </c>
      <c r="J1219" t="s">
        <v>46</v>
      </c>
      <c r="K1219">
        <v>1</v>
      </c>
      <c r="L1219">
        <v>27032.95</v>
      </c>
      <c r="M1219">
        <v>0</v>
      </c>
      <c r="N1219">
        <v>27032.95</v>
      </c>
      <c r="O1219" t="s">
        <v>36</v>
      </c>
    </row>
    <row r="1220" spans="1:15" x14ac:dyDescent="0.3">
      <c r="A1220" t="s">
        <v>1288</v>
      </c>
      <c r="B1220" s="2">
        <v>46510</v>
      </c>
      <c r="C1220" t="s">
        <v>58</v>
      </c>
      <c r="D1220" t="str">
        <f t="shared" si="19"/>
        <v>May</v>
      </c>
      <c r="E1220" t="s">
        <v>16</v>
      </c>
      <c r="F1220" t="s">
        <v>53</v>
      </c>
      <c r="G1220" t="s">
        <v>129</v>
      </c>
      <c r="H1220" t="s">
        <v>19</v>
      </c>
      <c r="I1220" t="s">
        <v>20</v>
      </c>
      <c r="J1220" t="s">
        <v>35</v>
      </c>
      <c r="K1220">
        <v>3</v>
      </c>
      <c r="L1220">
        <v>32426</v>
      </c>
      <c r="M1220">
        <v>20</v>
      </c>
      <c r="N1220">
        <v>77822.399999999994</v>
      </c>
      <c r="O1220" t="s">
        <v>47</v>
      </c>
    </row>
    <row r="1221" spans="1:15" x14ac:dyDescent="0.3">
      <c r="A1221" t="s">
        <v>1289</v>
      </c>
      <c r="B1221" s="2">
        <v>46511</v>
      </c>
      <c r="C1221" t="s">
        <v>38</v>
      </c>
      <c r="D1221" t="str">
        <f t="shared" si="19"/>
        <v>May</v>
      </c>
      <c r="E1221" t="s">
        <v>16</v>
      </c>
      <c r="F1221" t="s">
        <v>25</v>
      </c>
      <c r="G1221" t="s">
        <v>56</v>
      </c>
      <c r="H1221" t="s">
        <v>33</v>
      </c>
      <c r="I1221" t="s">
        <v>34</v>
      </c>
      <c r="J1221" t="s">
        <v>21</v>
      </c>
      <c r="K1221">
        <v>3</v>
      </c>
      <c r="L1221">
        <v>2832.95</v>
      </c>
      <c r="M1221">
        <v>0</v>
      </c>
      <c r="N1221">
        <v>8498.84</v>
      </c>
      <c r="O1221" t="s">
        <v>29</v>
      </c>
    </row>
    <row r="1222" spans="1:15" x14ac:dyDescent="0.3">
      <c r="A1222" t="s">
        <v>1290</v>
      </c>
      <c r="B1222" s="2">
        <v>46512</v>
      </c>
      <c r="C1222" t="s">
        <v>49</v>
      </c>
      <c r="D1222" t="str">
        <f t="shared" si="19"/>
        <v>May</v>
      </c>
      <c r="E1222" t="s">
        <v>16</v>
      </c>
      <c r="F1222" t="s">
        <v>60</v>
      </c>
      <c r="G1222" t="s">
        <v>78</v>
      </c>
      <c r="H1222" t="s">
        <v>45</v>
      </c>
      <c r="I1222" t="s">
        <v>20</v>
      </c>
      <c r="J1222" t="s">
        <v>28</v>
      </c>
      <c r="K1222">
        <v>3</v>
      </c>
      <c r="L1222">
        <v>33462.69</v>
      </c>
      <c r="M1222">
        <v>15</v>
      </c>
      <c r="N1222">
        <v>85329.85</v>
      </c>
      <c r="O1222" t="s">
        <v>22</v>
      </c>
    </row>
    <row r="1223" spans="1:15" x14ac:dyDescent="0.3">
      <c r="A1223" t="s">
        <v>1291</v>
      </c>
      <c r="B1223" s="2">
        <v>46513</v>
      </c>
      <c r="C1223" t="s">
        <v>49</v>
      </c>
      <c r="D1223" t="str">
        <f t="shared" si="19"/>
        <v>May</v>
      </c>
      <c r="E1223" t="s">
        <v>52</v>
      </c>
      <c r="F1223" t="s">
        <v>60</v>
      </c>
      <c r="G1223" t="s">
        <v>78</v>
      </c>
      <c r="H1223" t="s">
        <v>19</v>
      </c>
      <c r="I1223" t="s">
        <v>42</v>
      </c>
      <c r="J1223" t="s">
        <v>43</v>
      </c>
      <c r="K1223">
        <v>3</v>
      </c>
      <c r="L1223">
        <v>50899.85</v>
      </c>
      <c r="M1223">
        <v>0</v>
      </c>
      <c r="N1223">
        <v>152699.54</v>
      </c>
      <c r="O1223" t="s">
        <v>47</v>
      </c>
    </row>
    <row r="1224" spans="1:15" x14ac:dyDescent="0.3">
      <c r="A1224" t="s">
        <v>1292</v>
      </c>
      <c r="B1224" s="2">
        <v>46514</v>
      </c>
      <c r="C1224" t="s">
        <v>15</v>
      </c>
      <c r="D1224" t="str">
        <f t="shared" si="19"/>
        <v>May</v>
      </c>
      <c r="E1224" t="s">
        <v>32</v>
      </c>
      <c r="F1224" t="s">
        <v>17</v>
      </c>
      <c r="G1224" t="s">
        <v>18</v>
      </c>
      <c r="H1224" t="s">
        <v>19</v>
      </c>
      <c r="I1224" t="s">
        <v>42</v>
      </c>
      <c r="J1224" t="s">
        <v>21</v>
      </c>
      <c r="K1224">
        <v>2</v>
      </c>
      <c r="L1224">
        <v>59203.27</v>
      </c>
      <c r="M1224">
        <v>15</v>
      </c>
      <c r="N1224">
        <v>100645.57</v>
      </c>
      <c r="O1224" t="s">
        <v>47</v>
      </c>
    </row>
    <row r="1225" spans="1:15" x14ac:dyDescent="0.3">
      <c r="A1225" t="s">
        <v>1293</v>
      </c>
      <c r="B1225" s="2">
        <v>46515</v>
      </c>
      <c r="C1225" t="s">
        <v>58</v>
      </c>
      <c r="D1225" t="str">
        <f t="shared" si="19"/>
        <v>May</v>
      </c>
      <c r="E1225" t="s">
        <v>39</v>
      </c>
      <c r="F1225" t="s">
        <v>40</v>
      </c>
      <c r="G1225" t="s">
        <v>118</v>
      </c>
      <c r="H1225" t="s">
        <v>33</v>
      </c>
      <c r="I1225" t="s">
        <v>42</v>
      </c>
      <c r="J1225" t="s">
        <v>28</v>
      </c>
      <c r="K1225">
        <v>5</v>
      </c>
      <c r="L1225">
        <v>7106.71</v>
      </c>
      <c r="M1225">
        <v>0</v>
      </c>
      <c r="N1225">
        <v>35533.53</v>
      </c>
      <c r="O1225" t="s">
        <v>47</v>
      </c>
    </row>
    <row r="1226" spans="1:15" x14ac:dyDescent="0.3">
      <c r="A1226" t="s">
        <v>1294</v>
      </c>
      <c r="B1226" s="2">
        <v>46516</v>
      </c>
      <c r="C1226" t="s">
        <v>58</v>
      </c>
      <c r="D1226" t="str">
        <f t="shared" si="19"/>
        <v>May</v>
      </c>
      <c r="E1226" t="s">
        <v>52</v>
      </c>
      <c r="F1226" t="s">
        <v>40</v>
      </c>
      <c r="G1226" t="s">
        <v>118</v>
      </c>
      <c r="H1226" t="s">
        <v>45</v>
      </c>
      <c r="I1226" t="s">
        <v>34</v>
      </c>
      <c r="J1226" t="s">
        <v>46</v>
      </c>
      <c r="K1226">
        <v>1</v>
      </c>
      <c r="L1226">
        <v>5351.28</v>
      </c>
      <c r="M1226">
        <v>0</v>
      </c>
      <c r="N1226">
        <v>5351.28</v>
      </c>
      <c r="O1226" t="s">
        <v>47</v>
      </c>
    </row>
    <row r="1227" spans="1:15" x14ac:dyDescent="0.3">
      <c r="A1227" t="s">
        <v>1295</v>
      </c>
      <c r="B1227" s="2">
        <v>46517</v>
      </c>
      <c r="C1227" t="s">
        <v>38</v>
      </c>
      <c r="D1227" t="str">
        <f t="shared" si="19"/>
        <v>May</v>
      </c>
      <c r="E1227" t="s">
        <v>39</v>
      </c>
      <c r="F1227" t="s">
        <v>40</v>
      </c>
      <c r="G1227" t="s">
        <v>115</v>
      </c>
      <c r="H1227" t="s">
        <v>45</v>
      </c>
      <c r="I1227" t="s">
        <v>34</v>
      </c>
      <c r="J1227" t="s">
        <v>35</v>
      </c>
      <c r="K1227">
        <v>3</v>
      </c>
      <c r="L1227">
        <v>6683.35</v>
      </c>
      <c r="M1227">
        <v>15</v>
      </c>
      <c r="N1227">
        <v>17042.53</v>
      </c>
      <c r="O1227" t="s">
        <v>22</v>
      </c>
    </row>
    <row r="1228" spans="1:15" x14ac:dyDescent="0.3">
      <c r="A1228" t="s">
        <v>1296</v>
      </c>
      <c r="B1228" s="2">
        <v>46518</v>
      </c>
      <c r="C1228" t="s">
        <v>15</v>
      </c>
      <c r="D1228" t="str">
        <f t="shared" si="19"/>
        <v>May</v>
      </c>
      <c r="E1228" t="s">
        <v>100</v>
      </c>
      <c r="F1228" t="s">
        <v>25</v>
      </c>
      <c r="G1228" t="s">
        <v>81</v>
      </c>
      <c r="H1228" t="s">
        <v>19</v>
      </c>
      <c r="I1228" t="s">
        <v>34</v>
      </c>
      <c r="J1228" t="s">
        <v>28</v>
      </c>
      <c r="K1228">
        <v>4</v>
      </c>
      <c r="L1228">
        <v>2927.58</v>
      </c>
      <c r="M1228">
        <v>20</v>
      </c>
      <c r="N1228">
        <v>9368.25</v>
      </c>
      <c r="O1228" t="s">
        <v>36</v>
      </c>
    </row>
    <row r="1229" spans="1:15" x14ac:dyDescent="0.3">
      <c r="A1229" t="s">
        <v>1297</v>
      </c>
      <c r="B1229" s="2">
        <v>46519</v>
      </c>
      <c r="C1229" t="s">
        <v>38</v>
      </c>
      <c r="D1229" t="str">
        <f t="shared" si="19"/>
        <v>May</v>
      </c>
      <c r="E1229" t="s">
        <v>77</v>
      </c>
      <c r="F1229" t="s">
        <v>60</v>
      </c>
      <c r="G1229" t="s">
        <v>73</v>
      </c>
      <c r="H1229" t="s">
        <v>33</v>
      </c>
      <c r="I1229" t="s">
        <v>42</v>
      </c>
      <c r="J1229" t="s">
        <v>28</v>
      </c>
      <c r="K1229">
        <v>4</v>
      </c>
      <c r="L1229">
        <v>31766.51</v>
      </c>
      <c r="M1229">
        <v>0</v>
      </c>
      <c r="N1229">
        <v>127066.06</v>
      </c>
      <c r="O1229" t="s">
        <v>22</v>
      </c>
    </row>
    <row r="1230" spans="1:15" x14ac:dyDescent="0.3">
      <c r="A1230" t="s">
        <v>1298</v>
      </c>
      <c r="B1230" s="2">
        <v>46520</v>
      </c>
      <c r="C1230" t="s">
        <v>31</v>
      </c>
      <c r="D1230" t="str">
        <f t="shared" si="19"/>
        <v>May</v>
      </c>
      <c r="E1230" t="s">
        <v>77</v>
      </c>
      <c r="F1230" t="s">
        <v>25</v>
      </c>
      <c r="G1230" t="s">
        <v>26</v>
      </c>
      <c r="H1230" t="s">
        <v>33</v>
      </c>
      <c r="I1230" t="s">
        <v>42</v>
      </c>
      <c r="J1230" t="s">
        <v>46</v>
      </c>
      <c r="K1230">
        <v>3</v>
      </c>
      <c r="L1230">
        <v>1877.86</v>
      </c>
      <c r="M1230">
        <v>10</v>
      </c>
      <c r="N1230">
        <v>5070.2299999999996</v>
      </c>
      <c r="O1230" t="s">
        <v>22</v>
      </c>
    </row>
    <row r="1231" spans="1:15" x14ac:dyDescent="0.3">
      <c r="A1231" t="s">
        <v>1299</v>
      </c>
      <c r="B1231" s="2">
        <v>46521</v>
      </c>
      <c r="C1231" t="s">
        <v>31</v>
      </c>
      <c r="D1231" t="str">
        <f t="shared" si="19"/>
        <v>May</v>
      </c>
      <c r="E1231" t="s">
        <v>100</v>
      </c>
      <c r="F1231" t="s">
        <v>17</v>
      </c>
      <c r="G1231" t="s">
        <v>123</v>
      </c>
      <c r="H1231" t="s">
        <v>19</v>
      </c>
      <c r="I1231" t="s">
        <v>42</v>
      </c>
      <c r="J1231" t="s">
        <v>43</v>
      </c>
      <c r="K1231">
        <v>3</v>
      </c>
      <c r="L1231">
        <v>66095</v>
      </c>
      <c r="M1231">
        <v>10</v>
      </c>
      <c r="N1231">
        <v>178456.5</v>
      </c>
      <c r="O1231" t="s">
        <v>47</v>
      </c>
    </row>
    <row r="1232" spans="1:15" x14ac:dyDescent="0.3">
      <c r="A1232" t="s">
        <v>1300</v>
      </c>
      <c r="B1232" s="2">
        <v>46522</v>
      </c>
      <c r="C1232" t="s">
        <v>58</v>
      </c>
      <c r="D1232" t="str">
        <f t="shared" si="19"/>
        <v>May</v>
      </c>
      <c r="E1232" t="s">
        <v>52</v>
      </c>
      <c r="F1232" t="s">
        <v>40</v>
      </c>
      <c r="G1232" t="s">
        <v>75</v>
      </c>
      <c r="H1232" t="s">
        <v>27</v>
      </c>
      <c r="I1232" t="s">
        <v>42</v>
      </c>
      <c r="J1232" t="s">
        <v>21</v>
      </c>
      <c r="K1232">
        <v>2</v>
      </c>
      <c r="L1232">
        <v>5143.26</v>
      </c>
      <c r="M1232">
        <v>0</v>
      </c>
      <c r="N1232">
        <v>10286.52</v>
      </c>
      <c r="O1232" t="s">
        <v>47</v>
      </c>
    </row>
    <row r="1233" spans="1:15" x14ac:dyDescent="0.3">
      <c r="A1233" t="s">
        <v>1301</v>
      </c>
      <c r="B1233" s="2">
        <v>46523</v>
      </c>
      <c r="C1233" t="s">
        <v>58</v>
      </c>
      <c r="D1233" t="str">
        <f t="shared" si="19"/>
        <v>May</v>
      </c>
      <c r="E1233" t="s">
        <v>39</v>
      </c>
      <c r="F1233" t="s">
        <v>60</v>
      </c>
      <c r="G1233" t="s">
        <v>61</v>
      </c>
      <c r="H1233" t="s">
        <v>33</v>
      </c>
      <c r="I1233" t="s">
        <v>42</v>
      </c>
      <c r="J1233" t="s">
        <v>28</v>
      </c>
      <c r="K1233">
        <v>1</v>
      </c>
      <c r="L1233">
        <v>47574.76</v>
      </c>
      <c r="M1233">
        <v>0</v>
      </c>
      <c r="N1233">
        <v>47574.76</v>
      </c>
      <c r="O1233" t="s">
        <v>47</v>
      </c>
    </row>
    <row r="1234" spans="1:15" x14ac:dyDescent="0.3">
      <c r="A1234" t="s">
        <v>1302</v>
      </c>
      <c r="B1234" s="2">
        <v>46524</v>
      </c>
      <c r="C1234" t="s">
        <v>58</v>
      </c>
      <c r="D1234" t="str">
        <f t="shared" si="19"/>
        <v>May</v>
      </c>
      <c r="E1234" t="s">
        <v>50</v>
      </c>
      <c r="F1234" t="s">
        <v>53</v>
      </c>
      <c r="G1234" t="s">
        <v>54</v>
      </c>
      <c r="H1234" t="s">
        <v>19</v>
      </c>
      <c r="I1234" t="s">
        <v>20</v>
      </c>
      <c r="J1234" t="s">
        <v>35</v>
      </c>
      <c r="K1234">
        <v>1</v>
      </c>
      <c r="L1234">
        <v>38803.94</v>
      </c>
      <c r="M1234">
        <v>10</v>
      </c>
      <c r="N1234">
        <v>34923.54</v>
      </c>
      <c r="O1234" t="s">
        <v>47</v>
      </c>
    </row>
    <row r="1235" spans="1:15" x14ac:dyDescent="0.3">
      <c r="A1235" t="s">
        <v>1303</v>
      </c>
      <c r="B1235" s="2">
        <v>46525</v>
      </c>
      <c r="C1235" t="s">
        <v>38</v>
      </c>
      <c r="D1235" t="str">
        <f t="shared" si="19"/>
        <v>May</v>
      </c>
      <c r="E1235" t="s">
        <v>77</v>
      </c>
      <c r="F1235" t="s">
        <v>60</v>
      </c>
      <c r="G1235" t="s">
        <v>61</v>
      </c>
      <c r="H1235" t="s">
        <v>45</v>
      </c>
      <c r="I1235" t="s">
        <v>42</v>
      </c>
      <c r="J1235" t="s">
        <v>35</v>
      </c>
      <c r="K1235">
        <v>1</v>
      </c>
      <c r="L1235">
        <v>50382.27</v>
      </c>
      <c r="M1235">
        <v>5</v>
      </c>
      <c r="N1235">
        <v>47863.16</v>
      </c>
      <c r="O1235" t="s">
        <v>36</v>
      </c>
    </row>
    <row r="1236" spans="1:15" x14ac:dyDescent="0.3">
      <c r="A1236" t="s">
        <v>1304</v>
      </c>
      <c r="B1236" s="2">
        <v>46526</v>
      </c>
      <c r="C1236" t="s">
        <v>38</v>
      </c>
      <c r="D1236" t="str">
        <f t="shared" si="19"/>
        <v>May</v>
      </c>
      <c r="E1236" t="s">
        <v>69</v>
      </c>
      <c r="F1236" t="s">
        <v>40</v>
      </c>
      <c r="G1236" t="s">
        <v>41</v>
      </c>
      <c r="H1236" t="s">
        <v>33</v>
      </c>
      <c r="I1236" t="s">
        <v>42</v>
      </c>
      <c r="J1236" t="s">
        <v>21</v>
      </c>
      <c r="K1236">
        <v>1</v>
      </c>
      <c r="L1236">
        <v>7479.76</v>
      </c>
      <c r="M1236">
        <v>20</v>
      </c>
      <c r="N1236">
        <v>5983.81</v>
      </c>
      <c r="O1236" t="s">
        <v>47</v>
      </c>
    </row>
    <row r="1237" spans="1:15" x14ac:dyDescent="0.3">
      <c r="A1237" t="s">
        <v>1305</v>
      </c>
      <c r="B1237" s="2">
        <v>46527</v>
      </c>
      <c r="C1237" t="s">
        <v>38</v>
      </c>
      <c r="D1237" t="str">
        <f t="shared" si="19"/>
        <v>May</v>
      </c>
      <c r="E1237" t="s">
        <v>69</v>
      </c>
      <c r="F1237" t="s">
        <v>17</v>
      </c>
      <c r="G1237" t="s">
        <v>123</v>
      </c>
      <c r="H1237" t="s">
        <v>27</v>
      </c>
      <c r="I1237" t="s">
        <v>34</v>
      </c>
      <c r="J1237" t="s">
        <v>46</v>
      </c>
      <c r="K1237">
        <v>3</v>
      </c>
      <c r="L1237">
        <v>55189.57</v>
      </c>
      <c r="M1237">
        <v>0</v>
      </c>
      <c r="N1237">
        <v>165568.70000000001</v>
      </c>
      <c r="O1237" t="s">
        <v>47</v>
      </c>
    </row>
    <row r="1238" spans="1:15" x14ac:dyDescent="0.3">
      <c r="A1238" t="s">
        <v>1306</v>
      </c>
      <c r="B1238" s="2">
        <v>46528</v>
      </c>
      <c r="C1238" t="s">
        <v>31</v>
      </c>
      <c r="D1238" t="str">
        <f t="shared" si="19"/>
        <v>May</v>
      </c>
      <c r="E1238" t="s">
        <v>72</v>
      </c>
      <c r="F1238" t="s">
        <v>40</v>
      </c>
      <c r="G1238" t="s">
        <v>118</v>
      </c>
      <c r="H1238" t="s">
        <v>33</v>
      </c>
      <c r="I1238" t="s">
        <v>42</v>
      </c>
      <c r="J1238" t="s">
        <v>43</v>
      </c>
      <c r="K1238">
        <v>1</v>
      </c>
      <c r="L1238">
        <v>4943.99</v>
      </c>
      <c r="M1238">
        <v>5</v>
      </c>
      <c r="N1238">
        <v>4696.79</v>
      </c>
      <c r="O1238" t="s">
        <v>29</v>
      </c>
    </row>
    <row r="1239" spans="1:15" x14ac:dyDescent="0.3">
      <c r="A1239" t="s">
        <v>1307</v>
      </c>
      <c r="B1239" s="2">
        <v>46529</v>
      </c>
      <c r="C1239" t="s">
        <v>38</v>
      </c>
      <c r="D1239" t="str">
        <f t="shared" si="19"/>
        <v>May</v>
      </c>
      <c r="E1239" t="s">
        <v>100</v>
      </c>
      <c r="F1239" t="s">
        <v>60</v>
      </c>
      <c r="G1239" t="s">
        <v>78</v>
      </c>
      <c r="H1239" t="s">
        <v>45</v>
      </c>
      <c r="I1239" t="s">
        <v>34</v>
      </c>
      <c r="J1239" t="s">
        <v>21</v>
      </c>
      <c r="K1239">
        <v>4</v>
      </c>
      <c r="L1239">
        <v>49598.96</v>
      </c>
      <c r="M1239">
        <v>15</v>
      </c>
      <c r="N1239">
        <v>168636.47</v>
      </c>
      <c r="O1239" t="s">
        <v>47</v>
      </c>
    </row>
    <row r="1240" spans="1:15" x14ac:dyDescent="0.3">
      <c r="A1240" t="s">
        <v>1308</v>
      </c>
      <c r="B1240" s="2">
        <v>46530</v>
      </c>
      <c r="C1240" t="s">
        <v>58</v>
      </c>
      <c r="D1240" t="str">
        <f t="shared" si="19"/>
        <v>May</v>
      </c>
      <c r="E1240" t="s">
        <v>100</v>
      </c>
      <c r="F1240" t="s">
        <v>25</v>
      </c>
      <c r="G1240" t="s">
        <v>81</v>
      </c>
      <c r="H1240" t="s">
        <v>27</v>
      </c>
      <c r="I1240" t="s">
        <v>20</v>
      </c>
      <c r="J1240" t="s">
        <v>43</v>
      </c>
      <c r="K1240">
        <v>2</v>
      </c>
      <c r="L1240">
        <v>2556.04</v>
      </c>
      <c r="M1240">
        <v>15</v>
      </c>
      <c r="N1240">
        <v>4345.2700000000004</v>
      </c>
      <c r="O1240" t="s">
        <v>29</v>
      </c>
    </row>
    <row r="1241" spans="1:15" x14ac:dyDescent="0.3">
      <c r="A1241" t="s">
        <v>1309</v>
      </c>
      <c r="B1241" s="2">
        <v>46531</v>
      </c>
      <c r="C1241" t="s">
        <v>15</v>
      </c>
      <c r="D1241" t="str">
        <f t="shared" si="19"/>
        <v>May</v>
      </c>
      <c r="E1241" t="s">
        <v>100</v>
      </c>
      <c r="F1241" t="s">
        <v>40</v>
      </c>
      <c r="G1241" t="s">
        <v>75</v>
      </c>
      <c r="H1241" t="s">
        <v>27</v>
      </c>
      <c r="I1241" t="s">
        <v>34</v>
      </c>
      <c r="J1241" t="s">
        <v>43</v>
      </c>
      <c r="K1241">
        <v>3</v>
      </c>
      <c r="L1241">
        <v>7539.76</v>
      </c>
      <c r="M1241">
        <v>15</v>
      </c>
      <c r="N1241">
        <v>19226.38</v>
      </c>
      <c r="O1241" t="s">
        <v>36</v>
      </c>
    </row>
    <row r="1242" spans="1:15" x14ac:dyDescent="0.3">
      <c r="A1242" t="s">
        <v>1310</v>
      </c>
      <c r="B1242" s="2">
        <v>46532</v>
      </c>
      <c r="C1242" t="s">
        <v>49</v>
      </c>
      <c r="D1242" t="str">
        <f t="shared" si="19"/>
        <v>May</v>
      </c>
      <c r="E1242" t="s">
        <v>77</v>
      </c>
      <c r="F1242" t="s">
        <v>17</v>
      </c>
      <c r="G1242" t="s">
        <v>18</v>
      </c>
      <c r="H1242" t="s">
        <v>27</v>
      </c>
      <c r="I1242" t="s">
        <v>20</v>
      </c>
      <c r="J1242" t="s">
        <v>46</v>
      </c>
      <c r="K1242">
        <v>3</v>
      </c>
      <c r="L1242">
        <v>49412.13</v>
      </c>
      <c r="M1242">
        <v>10</v>
      </c>
      <c r="N1242">
        <v>133412.76</v>
      </c>
      <c r="O1242" t="s">
        <v>47</v>
      </c>
    </row>
    <row r="1243" spans="1:15" x14ac:dyDescent="0.3">
      <c r="A1243" t="s">
        <v>1311</v>
      </c>
      <c r="B1243" s="2">
        <v>46533</v>
      </c>
      <c r="C1243" t="s">
        <v>38</v>
      </c>
      <c r="D1243" t="str">
        <f t="shared" si="19"/>
        <v>May</v>
      </c>
      <c r="E1243" t="s">
        <v>100</v>
      </c>
      <c r="F1243" t="s">
        <v>40</v>
      </c>
      <c r="G1243" t="s">
        <v>75</v>
      </c>
      <c r="H1243" t="s">
        <v>45</v>
      </c>
      <c r="I1243" t="s">
        <v>20</v>
      </c>
      <c r="J1243" t="s">
        <v>21</v>
      </c>
      <c r="K1243">
        <v>2</v>
      </c>
      <c r="L1243">
        <v>6958.52</v>
      </c>
      <c r="M1243">
        <v>10</v>
      </c>
      <c r="N1243">
        <v>12525.33</v>
      </c>
      <c r="O1243" t="s">
        <v>22</v>
      </c>
    </row>
    <row r="1244" spans="1:15" x14ac:dyDescent="0.3">
      <c r="A1244" t="s">
        <v>1312</v>
      </c>
      <c r="B1244" s="2">
        <v>46534</v>
      </c>
      <c r="C1244" t="s">
        <v>15</v>
      </c>
      <c r="D1244" t="str">
        <f t="shared" si="19"/>
        <v>May</v>
      </c>
      <c r="E1244" t="s">
        <v>24</v>
      </c>
      <c r="F1244" t="s">
        <v>17</v>
      </c>
      <c r="G1244" t="s">
        <v>123</v>
      </c>
      <c r="H1244" t="s">
        <v>19</v>
      </c>
      <c r="I1244" t="s">
        <v>34</v>
      </c>
      <c r="J1244" t="s">
        <v>21</v>
      </c>
      <c r="K1244">
        <v>3</v>
      </c>
      <c r="L1244">
        <v>70532.23</v>
      </c>
      <c r="M1244">
        <v>10</v>
      </c>
      <c r="N1244">
        <v>190437.03</v>
      </c>
      <c r="O1244" t="s">
        <v>29</v>
      </c>
    </row>
    <row r="1245" spans="1:15" x14ac:dyDescent="0.3">
      <c r="A1245" t="s">
        <v>1313</v>
      </c>
      <c r="B1245" s="2">
        <v>46535</v>
      </c>
      <c r="C1245" t="s">
        <v>49</v>
      </c>
      <c r="D1245" t="str">
        <f t="shared" si="19"/>
        <v>May</v>
      </c>
      <c r="E1245" t="s">
        <v>32</v>
      </c>
      <c r="F1245" t="s">
        <v>25</v>
      </c>
      <c r="G1245" t="s">
        <v>81</v>
      </c>
      <c r="H1245" t="s">
        <v>33</v>
      </c>
      <c r="I1245" t="s">
        <v>42</v>
      </c>
      <c r="J1245" t="s">
        <v>46</v>
      </c>
      <c r="K1245">
        <v>5</v>
      </c>
      <c r="L1245">
        <v>2153.29</v>
      </c>
      <c r="M1245">
        <v>20</v>
      </c>
      <c r="N1245">
        <v>8613.17</v>
      </c>
      <c r="O1245" t="s">
        <v>47</v>
      </c>
    </row>
    <row r="1246" spans="1:15" x14ac:dyDescent="0.3">
      <c r="A1246" t="s">
        <v>1314</v>
      </c>
      <c r="B1246" s="2">
        <v>46536</v>
      </c>
      <c r="C1246" t="s">
        <v>38</v>
      </c>
      <c r="D1246" t="str">
        <f t="shared" si="19"/>
        <v>May</v>
      </c>
      <c r="E1246" t="s">
        <v>52</v>
      </c>
      <c r="F1246" t="s">
        <v>17</v>
      </c>
      <c r="G1246" t="s">
        <v>67</v>
      </c>
      <c r="H1246" t="s">
        <v>27</v>
      </c>
      <c r="I1246" t="s">
        <v>20</v>
      </c>
      <c r="J1246" t="s">
        <v>28</v>
      </c>
      <c r="K1246">
        <v>4</v>
      </c>
      <c r="L1246">
        <v>67146.58</v>
      </c>
      <c r="M1246">
        <v>20</v>
      </c>
      <c r="N1246">
        <v>214869.06</v>
      </c>
      <c r="O1246" t="s">
        <v>29</v>
      </c>
    </row>
    <row r="1247" spans="1:15" x14ac:dyDescent="0.3">
      <c r="A1247" t="s">
        <v>1315</v>
      </c>
      <c r="B1247" s="2">
        <v>46537</v>
      </c>
      <c r="C1247" t="s">
        <v>38</v>
      </c>
      <c r="D1247" t="str">
        <f t="shared" si="19"/>
        <v>May</v>
      </c>
      <c r="E1247" t="s">
        <v>100</v>
      </c>
      <c r="F1247" t="s">
        <v>17</v>
      </c>
      <c r="G1247" t="s">
        <v>18</v>
      </c>
      <c r="H1247" t="s">
        <v>19</v>
      </c>
      <c r="I1247" t="s">
        <v>34</v>
      </c>
      <c r="J1247" t="s">
        <v>28</v>
      </c>
      <c r="K1247">
        <v>3</v>
      </c>
      <c r="L1247">
        <v>51743.78</v>
      </c>
      <c r="M1247">
        <v>10</v>
      </c>
      <c r="N1247">
        <v>139708.22</v>
      </c>
      <c r="O1247" t="s">
        <v>47</v>
      </c>
    </row>
    <row r="1248" spans="1:15" x14ac:dyDescent="0.3">
      <c r="A1248" t="s">
        <v>1316</v>
      </c>
      <c r="B1248" s="2">
        <v>46538</v>
      </c>
      <c r="C1248" t="s">
        <v>38</v>
      </c>
      <c r="D1248" t="str">
        <f t="shared" si="19"/>
        <v>May</v>
      </c>
      <c r="E1248" t="s">
        <v>39</v>
      </c>
      <c r="F1248" t="s">
        <v>40</v>
      </c>
      <c r="G1248" t="s">
        <v>118</v>
      </c>
      <c r="H1248" t="s">
        <v>45</v>
      </c>
      <c r="I1248" t="s">
        <v>20</v>
      </c>
      <c r="J1248" t="s">
        <v>35</v>
      </c>
      <c r="K1248">
        <v>1</v>
      </c>
      <c r="L1248">
        <v>7232.18</v>
      </c>
      <c r="M1248">
        <v>10</v>
      </c>
      <c r="N1248">
        <v>6508.96</v>
      </c>
      <c r="O1248" t="s">
        <v>47</v>
      </c>
    </row>
    <row r="1249" spans="1:15" x14ac:dyDescent="0.3">
      <c r="A1249" t="s">
        <v>1317</v>
      </c>
      <c r="B1249" s="2">
        <v>46539</v>
      </c>
      <c r="C1249" t="s">
        <v>31</v>
      </c>
      <c r="D1249" t="str">
        <f t="shared" si="19"/>
        <v>June</v>
      </c>
      <c r="E1249" t="s">
        <v>24</v>
      </c>
      <c r="F1249" t="s">
        <v>53</v>
      </c>
      <c r="G1249" t="s">
        <v>129</v>
      </c>
      <c r="H1249" t="s">
        <v>45</v>
      </c>
      <c r="I1249" t="s">
        <v>42</v>
      </c>
      <c r="J1249" t="s">
        <v>28</v>
      </c>
      <c r="K1249">
        <v>3</v>
      </c>
      <c r="L1249">
        <v>29022.95</v>
      </c>
      <c r="M1249">
        <v>0</v>
      </c>
      <c r="N1249">
        <v>87068.85</v>
      </c>
      <c r="O1249" t="s">
        <v>47</v>
      </c>
    </row>
    <row r="1250" spans="1:15" x14ac:dyDescent="0.3">
      <c r="A1250" t="s">
        <v>1318</v>
      </c>
      <c r="B1250" s="2">
        <v>46540</v>
      </c>
      <c r="C1250" t="s">
        <v>31</v>
      </c>
      <c r="D1250" t="str">
        <f t="shared" si="19"/>
        <v>June</v>
      </c>
      <c r="E1250" t="s">
        <v>32</v>
      </c>
      <c r="F1250" t="s">
        <v>25</v>
      </c>
      <c r="G1250" t="s">
        <v>26</v>
      </c>
      <c r="H1250" t="s">
        <v>45</v>
      </c>
      <c r="I1250" t="s">
        <v>42</v>
      </c>
      <c r="J1250" t="s">
        <v>43</v>
      </c>
      <c r="K1250">
        <v>2</v>
      </c>
      <c r="L1250">
        <v>2965.54</v>
      </c>
      <c r="M1250">
        <v>20</v>
      </c>
      <c r="N1250">
        <v>4744.8599999999997</v>
      </c>
      <c r="O1250" t="s">
        <v>29</v>
      </c>
    </row>
    <row r="1251" spans="1:15" x14ac:dyDescent="0.3">
      <c r="A1251" t="s">
        <v>1319</v>
      </c>
      <c r="B1251" s="2">
        <v>46541</v>
      </c>
      <c r="C1251" t="s">
        <v>31</v>
      </c>
      <c r="D1251" t="str">
        <f t="shared" si="19"/>
        <v>June</v>
      </c>
      <c r="E1251" t="s">
        <v>50</v>
      </c>
      <c r="F1251" t="s">
        <v>17</v>
      </c>
      <c r="G1251" t="s">
        <v>123</v>
      </c>
      <c r="H1251" t="s">
        <v>19</v>
      </c>
      <c r="I1251" t="s">
        <v>42</v>
      </c>
      <c r="J1251" t="s">
        <v>43</v>
      </c>
      <c r="K1251">
        <v>3</v>
      </c>
      <c r="L1251">
        <v>47239.1</v>
      </c>
      <c r="M1251">
        <v>0</v>
      </c>
      <c r="N1251">
        <v>141717.29</v>
      </c>
      <c r="O1251" t="s">
        <v>22</v>
      </c>
    </row>
    <row r="1252" spans="1:15" x14ac:dyDescent="0.3">
      <c r="A1252" t="s">
        <v>1320</v>
      </c>
      <c r="B1252" s="2">
        <v>46542</v>
      </c>
      <c r="C1252" t="s">
        <v>15</v>
      </c>
      <c r="D1252" t="str">
        <f t="shared" si="19"/>
        <v>June</v>
      </c>
      <c r="E1252" t="s">
        <v>24</v>
      </c>
      <c r="F1252" t="s">
        <v>60</v>
      </c>
      <c r="G1252" t="s">
        <v>61</v>
      </c>
      <c r="H1252" t="s">
        <v>45</v>
      </c>
      <c r="I1252" t="s">
        <v>34</v>
      </c>
      <c r="J1252" t="s">
        <v>46</v>
      </c>
      <c r="K1252">
        <v>1</v>
      </c>
      <c r="L1252">
        <v>45527.8</v>
      </c>
      <c r="M1252">
        <v>5</v>
      </c>
      <c r="N1252">
        <v>43251.41</v>
      </c>
      <c r="O1252" t="s">
        <v>36</v>
      </c>
    </row>
    <row r="1253" spans="1:15" x14ac:dyDescent="0.3">
      <c r="A1253" t="s">
        <v>1321</v>
      </c>
      <c r="B1253" s="2">
        <v>46543</v>
      </c>
      <c r="C1253" t="s">
        <v>31</v>
      </c>
      <c r="D1253" t="str">
        <f t="shared" si="19"/>
        <v>June</v>
      </c>
      <c r="E1253" t="s">
        <v>77</v>
      </c>
      <c r="F1253" t="s">
        <v>53</v>
      </c>
      <c r="G1253" t="s">
        <v>105</v>
      </c>
      <c r="H1253" t="s">
        <v>27</v>
      </c>
      <c r="I1253" t="s">
        <v>20</v>
      </c>
      <c r="J1253" t="s">
        <v>35</v>
      </c>
      <c r="K1253">
        <v>4</v>
      </c>
      <c r="L1253">
        <v>33710.519999999997</v>
      </c>
      <c r="M1253">
        <v>10</v>
      </c>
      <c r="N1253">
        <v>121357.86</v>
      </c>
      <c r="O1253" t="s">
        <v>47</v>
      </c>
    </row>
    <row r="1254" spans="1:15" x14ac:dyDescent="0.3">
      <c r="A1254" t="s">
        <v>1322</v>
      </c>
      <c r="B1254" s="2">
        <v>46544</v>
      </c>
      <c r="C1254" t="s">
        <v>49</v>
      </c>
      <c r="D1254" t="str">
        <f t="shared" si="19"/>
        <v>June</v>
      </c>
      <c r="E1254" t="s">
        <v>77</v>
      </c>
      <c r="F1254" t="s">
        <v>60</v>
      </c>
      <c r="G1254" t="s">
        <v>70</v>
      </c>
      <c r="H1254" t="s">
        <v>33</v>
      </c>
      <c r="I1254" t="s">
        <v>34</v>
      </c>
      <c r="J1254" t="s">
        <v>35</v>
      </c>
      <c r="K1254">
        <v>3</v>
      </c>
      <c r="L1254">
        <v>40584.61</v>
      </c>
      <c r="M1254">
        <v>20</v>
      </c>
      <c r="N1254">
        <v>97403.06</v>
      </c>
      <c r="O1254" t="s">
        <v>47</v>
      </c>
    </row>
    <row r="1255" spans="1:15" x14ac:dyDescent="0.3">
      <c r="A1255" t="s">
        <v>1323</v>
      </c>
      <c r="B1255" s="2">
        <v>46545</v>
      </c>
      <c r="C1255" t="s">
        <v>49</v>
      </c>
      <c r="D1255" t="str">
        <f t="shared" si="19"/>
        <v>June</v>
      </c>
      <c r="E1255" t="s">
        <v>39</v>
      </c>
      <c r="F1255" t="s">
        <v>17</v>
      </c>
      <c r="G1255" t="s">
        <v>67</v>
      </c>
      <c r="H1255" t="s">
        <v>45</v>
      </c>
      <c r="I1255" t="s">
        <v>20</v>
      </c>
      <c r="J1255" t="s">
        <v>21</v>
      </c>
      <c r="K1255">
        <v>3</v>
      </c>
      <c r="L1255">
        <v>63621.18</v>
      </c>
      <c r="M1255">
        <v>5</v>
      </c>
      <c r="N1255">
        <v>181320.37</v>
      </c>
      <c r="O1255" t="s">
        <v>47</v>
      </c>
    </row>
    <row r="1256" spans="1:15" x14ac:dyDescent="0.3">
      <c r="A1256" t="s">
        <v>1324</v>
      </c>
      <c r="B1256" s="2">
        <v>46546</v>
      </c>
      <c r="C1256" t="s">
        <v>58</v>
      </c>
      <c r="D1256" t="str">
        <f t="shared" si="19"/>
        <v>June</v>
      </c>
      <c r="E1256" t="s">
        <v>32</v>
      </c>
      <c r="F1256" t="s">
        <v>53</v>
      </c>
      <c r="G1256" t="s">
        <v>129</v>
      </c>
      <c r="H1256" t="s">
        <v>27</v>
      </c>
      <c r="I1256" t="s">
        <v>20</v>
      </c>
      <c r="J1256" t="s">
        <v>28</v>
      </c>
      <c r="K1256">
        <v>4</v>
      </c>
      <c r="L1256">
        <v>39828.879999999997</v>
      </c>
      <c r="M1256">
        <v>5</v>
      </c>
      <c r="N1256">
        <v>151349.75</v>
      </c>
      <c r="O1256" t="s">
        <v>47</v>
      </c>
    </row>
    <row r="1257" spans="1:15" x14ac:dyDescent="0.3">
      <c r="A1257" t="s">
        <v>1325</v>
      </c>
      <c r="B1257" s="2">
        <v>46547</v>
      </c>
      <c r="C1257" t="s">
        <v>58</v>
      </c>
      <c r="D1257" t="str">
        <f t="shared" si="19"/>
        <v>June</v>
      </c>
      <c r="E1257" t="s">
        <v>52</v>
      </c>
      <c r="F1257" t="s">
        <v>40</v>
      </c>
      <c r="G1257" t="s">
        <v>75</v>
      </c>
      <c r="H1257" t="s">
        <v>45</v>
      </c>
      <c r="I1257" t="s">
        <v>20</v>
      </c>
      <c r="J1257" t="s">
        <v>43</v>
      </c>
      <c r="K1257">
        <v>3</v>
      </c>
      <c r="L1257">
        <v>7253.03</v>
      </c>
      <c r="M1257">
        <v>5</v>
      </c>
      <c r="N1257">
        <v>20671.14</v>
      </c>
      <c r="O1257" t="s">
        <v>47</v>
      </c>
    </row>
    <row r="1258" spans="1:15" x14ac:dyDescent="0.3">
      <c r="A1258" t="s">
        <v>1326</v>
      </c>
      <c r="B1258" s="2">
        <v>46548</v>
      </c>
      <c r="C1258" t="s">
        <v>15</v>
      </c>
      <c r="D1258" t="str">
        <f t="shared" si="19"/>
        <v>June</v>
      </c>
      <c r="E1258" t="s">
        <v>50</v>
      </c>
      <c r="F1258" t="s">
        <v>53</v>
      </c>
      <c r="G1258" t="s">
        <v>105</v>
      </c>
      <c r="H1258" t="s">
        <v>33</v>
      </c>
      <c r="I1258" t="s">
        <v>20</v>
      </c>
      <c r="J1258" t="s">
        <v>46</v>
      </c>
      <c r="K1258">
        <v>1</v>
      </c>
      <c r="L1258">
        <v>25917.71</v>
      </c>
      <c r="M1258">
        <v>20</v>
      </c>
      <c r="N1258">
        <v>20734.169999999998</v>
      </c>
      <c r="O1258" t="s">
        <v>36</v>
      </c>
    </row>
    <row r="1259" spans="1:15" x14ac:dyDescent="0.3">
      <c r="A1259" t="s">
        <v>1327</v>
      </c>
      <c r="B1259" s="2">
        <v>46549</v>
      </c>
      <c r="C1259" t="s">
        <v>49</v>
      </c>
      <c r="D1259" t="str">
        <f t="shared" si="19"/>
        <v>June</v>
      </c>
      <c r="E1259" t="s">
        <v>24</v>
      </c>
      <c r="F1259" t="s">
        <v>40</v>
      </c>
      <c r="G1259" t="s">
        <v>118</v>
      </c>
      <c r="H1259" t="s">
        <v>33</v>
      </c>
      <c r="I1259" t="s">
        <v>42</v>
      </c>
      <c r="J1259" t="s">
        <v>21</v>
      </c>
      <c r="K1259">
        <v>4</v>
      </c>
      <c r="L1259">
        <v>7687.09</v>
      </c>
      <c r="M1259">
        <v>15</v>
      </c>
      <c r="N1259">
        <v>26136.12</v>
      </c>
      <c r="O1259" t="s">
        <v>47</v>
      </c>
    </row>
    <row r="1260" spans="1:15" x14ac:dyDescent="0.3">
      <c r="A1260" t="s">
        <v>1328</v>
      </c>
      <c r="B1260" s="2">
        <v>46550</v>
      </c>
      <c r="C1260" t="s">
        <v>38</v>
      </c>
      <c r="D1260" t="str">
        <f t="shared" si="19"/>
        <v>June</v>
      </c>
      <c r="E1260" t="s">
        <v>72</v>
      </c>
      <c r="F1260" t="s">
        <v>60</v>
      </c>
      <c r="G1260" t="s">
        <v>61</v>
      </c>
      <c r="H1260" t="s">
        <v>19</v>
      </c>
      <c r="I1260" t="s">
        <v>20</v>
      </c>
      <c r="J1260" t="s">
        <v>43</v>
      </c>
      <c r="K1260">
        <v>3</v>
      </c>
      <c r="L1260">
        <v>39890.239999999998</v>
      </c>
      <c r="M1260">
        <v>10</v>
      </c>
      <c r="N1260">
        <v>107703.64</v>
      </c>
      <c r="O1260" t="s">
        <v>29</v>
      </c>
    </row>
    <row r="1261" spans="1:15" x14ac:dyDescent="0.3">
      <c r="A1261" t="s">
        <v>1329</v>
      </c>
      <c r="B1261" s="2">
        <v>46551</v>
      </c>
      <c r="C1261" t="s">
        <v>15</v>
      </c>
      <c r="D1261" t="str">
        <f t="shared" si="19"/>
        <v>June</v>
      </c>
      <c r="E1261" t="s">
        <v>52</v>
      </c>
      <c r="F1261" t="s">
        <v>60</v>
      </c>
      <c r="G1261" t="s">
        <v>61</v>
      </c>
      <c r="H1261" t="s">
        <v>33</v>
      </c>
      <c r="I1261" t="s">
        <v>20</v>
      </c>
      <c r="J1261" t="s">
        <v>46</v>
      </c>
      <c r="K1261">
        <v>2</v>
      </c>
      <c r="L1261">
        <v>44142.65</v>
      </c>
      <c r="M1261">
        <v>10</v>
      </c>
      <c r="N1261">
        <v>79456.77</v>
      </c>
      <c r="O1261" t="s">
        <v>47</v>
      </c>
    </row>
    <row r="1262" spans="1:15" x14ac:dyDescent="0.3">
      <c r="A1262" t="s">
        <v>1330</v>
      </c>
      <c r="B1262" s="2">
        <v>46552</v>
      </c>
      <c r="C1262" t="s">
        <v>58</v>
      </c>
      <c r="D1262" t="str">
        <f t="shared" si="19"/>
        <v>June</v>
      </c>
      <c r="E1262" t="s">
        <v>52</v>
      </c>
      <c r="F1262" t="s">
        <v>60</v>
      </c>
      <c r="G1262" t="s">
        <v>78</v>
      </c>
      <c r="H1262" t="s">
        <v>33</v>
      </c>
      <c r="I1262" t="s">
        <v>20</v>
      </c>
      <c r="J1262" t="s">
        <v>43</v>
      </c>
      <c r="K1262">
        <v>4</v>
      </c>
      <c r="L1262">
        <v>50941.75</v>
      </c>
      <c r="M1262">
        <v>0</v>
      </c>
      <c r="N1262">
        <v>203767.01</v>
      </c>
      <c r="O1262" t="s">
        <v>36</v>
      </c>
    </row>
    <row r="1263" spans="1:15" x14ac:dyDescent="0.3">
      <c r="A1263" t="s">
        <v>1331</v>
      </c>
      <c r="B1263" s="2">
        <v>46553</v>
      </c>
      <c r="C1263" t="s">
        <v>15</v>
      </c>
      <c r="D1263" t="str">
        <f t="shared" si="19"/>
        <v>June</v>
      </c>
      <c r="E1263" t="s">
        <v>77</v>
      </c>
      <c r="F1263" t="s">
        <v>40</v>
      </c>
      <c r="G1263" t="s">
        <v>41</v>
      </c>
      <c r="H1263" t="s">
        <v>19</v>
      </c>
      <c r="I1263" t="s">
        <v>20</v>
      </c>
      <c r="J1263" t="s">
        <v>46</v>
      </c>
      <c r="K1263">
        <v>3</v>
      </c>
      <c r="L1263">
        <v>8046.78</v>
      </c>
      <c r="M1263">
        <v>0</v>
      </c>
      <c r="N1263">
        <v>24140.34</v>
      </c>
      <c r="O1263" t="s">
        <v>47</v>
      </c>
    </row>
    <row r="1264" spans="1:15" x14ac:dyDescent="0.3">
      <c r="A1264" t="s">
        <v>1332</v>
      </c>
      <c r="B1264" s="2">
        <v>46554</v>
      </c>
      <c r="C1264" t="s">
        <v>31</v>
      </c>
      <c r="D1264" t="str">
        <f t="shared" si="19"/>
        <v>June</v>
      </c>
      <c r="E1264" t="s">
        <v>69</v>
      </c>
      <c r="F1264" t="s">
        <v>17</v>
      </c>
      <c r="G1264" t="s">
        <v>63</v>
      </c>
      <c r="H1264" t="s">
        <v>33</v>
      </c>
      <c r="I1264" t="s">
        <v>34</v>
      </c>
      <c r="J1264" t="s">
        <v>43</v>
      </c>
      <c r="K1264">
        <v>4</v>
      </c>
      <c r="L1264">
        <v>56403.93</v>
      </c>
      <c r="M1264">
        <v>10</v>
      </c>
      <c r="N1264">
        <v>203054.16</v>
      </c>
      <c r="O1264" t="s">
        <v>47</v>
      </c>
    </row>
    <row r="1265" spans="1:15" x14ac:dyDescent="0.3">
      <c r="A1265" t="s">
        <v>1333</v>
      </c>
      <c r="B1265" s="2">
        <v>46555</v>
      </c>
      <c r="C1265" t="s">
        <v>58</v>
      </c>
      <c r="D1265" t="str">
        <f t="shared" si="19"/>
        <v>June</v>
      </c>
      <c r="E1265" t="s">
        <v>72</v>
      </c>
      <c r="F1265" t="s">
        <v>60</v>
      </c>
      <c r="G1265" t="s">
        <v>61</v>
      </c>
      <c r="H1265" t="s">
        <v>45</v>
      </c>
      <c r="I1265" t="s">
        <v>42</v>
      </c>
      <c r="J1265" t="s">
        <v>43</v>
      </c>
      <c r="K1265">
        <v>3</v>
      </c>
      <c r="L1265">
        <v>50174.06</v>
      </c>
      <c r="M1265">
        <v>10</v>
      </c>
      <c r="N1265">
        <v>135469.97</v>
      </c>
      <c r="O1265" t="s">
        <v>29</v>
      </c>
    </row>
    <row r="1266" spans="1:15" x14ac:dyDescent="0.3">
      <c r="A1266" t="s">
        <v>1334</v>
      </c>
      <c r="B1266" s="2">
        <v>46556</v>
      </c>
      <c r="C1266" t="s">
        <v>31</v>
      </c>
      <c r="D1266" t="str">
        <f t="shared" si="19"/>
        <v>June</v>
      </c>
      <c r="E1266" t="s">
        <v>72</v>
      </c>
      <c r="F1266" t="s">
        <v>60</v>
      </c>
      <c r="G1266" t="s">
        <v>61</v>
      </c>
      <c r="H1266" t="s">
        <v>45</v>
      </c>
      <c r="I1266" t="s">
        <v>20</v>
      </c>
      <c r="J1266" t="s">
        <v>28</v>
      </c>
      <c r="K1266">
        <v>5</v>
      </c>
      <c r="L1266">
        <v>35748.21</v>
      </c>
      <c r="M1266">
        <v>5</v>
      </c>
      <c r="N1266">
        <v>169803.97</v>
      </c>
      <c r="O1266" t="s">
        <v>47</v>
      </c>
    </row>
    <row r="1267" spans="1:15" x14ac:dyDescent="0.3">
      <c r="A1267" t="s">
        <v>1335</v>
      </c>
      <c r="B1267" s="2">
        <v>46557</v>
      </c>
      <c r="C1267" t="s">
        <v>58</v>
      </c>
      <c r="D1267" t="str">
        <f t="shared" si="19"/>
        <v>June</v>
      </c>
      <c r="E1267" t="s">
        <v>16</v>
      </c>
      <c r="F1267" t="s">
        <v>53</v>
      </c>
      <c r="G1267" t="s">
        <v>65</v>
      </c>
      <c r="H1267" t="s">
        <v>27</v>
      </c>
      <c r="I1267" t="s">
        <v>34</v>
      </c>
      <c r="J1267" t="s">
        <v>28</v>
      </c>
      <c r="K1267">
        <v>1</v>
      </c>
      <c r="L1267">
        <v>33617.79</v>
      </c>
      <c r="M1267">
        <v>15</v>
      </c>
      <c r="N1267">
        <v>28575.119999999999</v>
      </c>
      <c r="O1267" t="s">
        <v>36</v>
      </c>
    </row>
    <row r="1268" spans="1:15" x14ac:dyDescent="0.3">
      <c r="A1268" t="s">
        <v>1336</v>
      </c>
      <c r="B1268" s="2">
        <v>46558</v>
      </c>
      <c r="C1268" t="s">
        <v>31</v>
      </c>
      <c r="D1268" t="str">
        <f t="shared" si="19"/>
        <v>June</v>
      </c>
      <c r="E1268" t="s">
        <v>16</v>
      </c>
      <c r="F1268" t="s">
        <v>40</v>
      </c>
      <c r="G1268" t="s">
        <v>75</v>
      </c>
      <c r="H1268" t="s">
        <v>27</v>
      </c>
      <c r="I1268" t="s">
        <v>20</v>
      </c>
      <c r="J1268" t="s">
        <v>21</v>
      </c>
      <c r="K1268">
        <v>3</v>
      </c>
      <c r="L1268">
        <v>7425.28</v>
      </c>
      <c r="M1268">
        <v>5</v>
      </c>
      <c r="N1268">
        <v>21162.06</v>
      </c>
      <c r="O1268" t="s">
        <v>47</v>
      </c>
    </row>
    <row r="1269" spans="1:15" x14ac:dyDescent="0.3">
      <c r="A1269" t="s">
        <v>1337</v>
      </c>
      <c r="B1269" s="2">
        <v>46559</v>
      </c>
      <c r="C1269" t="s">
        <v>31</v>
      </c>
      <c r="D1269" t="str">
        <f t="shared" si="19"/>
        <v>June</v>
      </c>
      <c r="E1269" t="s">
        <v>32</v>
      </c>
      <c r="F1269" t="s">
        <v>17</v>
      </c>
      <c r="G1269" t="s">
        <v>67</v>
      </c>
      <c r="H1269" t="s">
        <v>33</v>
      </c>
      <c r="I1269" t="s">
        <v>20</v>
      </c>
      <c r="J1269" t="s">
        <v>28</v>
      </c>
      <c r="K1269">
        <v>3</v>
      </c>
      <c r="L1269">
        <v>49041.93</v>
      </c>
      <c r="M1269">
        <v>5</v>
      </c>
      <c r="N1269">
        <v>139769.5</v>
      </c>
      <c r="O1269" t="s">
        <v>29</v>
      </c>
    </row>
    <row r="1270" spans="1:15" x14ac:dyDescent="0.3">
      <c r="A1270" t="s">
        <v>1338</v>
      </c>
      <c r="B1270" s="2">
        <v>46560</v>
      </c>
      <c r="C1270" t="s">
        <v>38</v>
      </c>
      <c r="D1270" t="str">
        <f t="shared" si="19"/>
        <v>June</v>
      </c>
      <c r="E1270" t="s">
        <v>39</v>
      </c>
      <c r="F1270" t="s">
        <v>60</v>
      </c>
      <c r="G1270" t="s">
        <v>70</v>
      </c>
      <c r="H1270" t="s">
        <v>27</v>
      </c>
      <c r="I1270" t="s">
        <v>34</v>
      </c>
      <c r="J1270" t="s">
        <v>21</v>
      </c>
      <c r="K1270">
        <v>2</v>
      </c>
      <c r="L1270">
        <v>44422.18</v>
      </c>
      <c r="M1270">
        <v>15</v>
      </c>
      <c r="N1270">
        <v>75517.710000000006</v>
      </c>
      <c r="O1270" t="s">
        <v>22</v>
      </c>
    </row>
    <row r="1271" spans="1:15" x14ac:dyDescent="0.3">
      <c r="A1271" t="s">
        <v>1339</v>
      </c>
      <c r="B1271" s="2">
        <v>46561</v>
      </c>
      <c r="C1271" t="s">
        <v>58</v>
      </c>
      <c r="D1271" t="str">
        <f t="shared" si="19"/>
        <v>June</v>
      </c>
      <c r="E1271" t="s">
        <v>50</v>
      </c>
      <c r="F1271" t="s">
        <v>53</v>
      </c>
      <c r="G1271" t="s">
        <v>129</v>
      </c>
      <c r="H1271" t="s">
        <v>33</v>
      </c>
      <c r="I1271" t="s">
        <v>20</v>
      </c>
      <c r="J1271" t="s">
        <v>43</v>
      </c>
      <c r="K1271">
        <v>5</v>
      </c>
      <c r="L1271">
        <v>38868.82</v>
      </c>
      <c r="M1271">
        <v>5</v>
      </c>
      <c r="N1271">
        <v>184626.88</v>
      </c>
      <c r="O1271" t="s">
        <v>47</v>
      </c>
    </row>
    <row r="1272" spans="1:15" x14ac:dyDescent="0.3">
      <c r="A1272" t="s">
        <v>1340</v>
      </c>
      <c r="B1272" s="2">
        <v>46562</v>
      </c>
      <c r="C1272" t="s">
        <v>15</v>
      </c>
      <c r="D1272" t="str">
        <f t="shared" si="19"/>
        <v>June</v>
      </c>
      <c r="E1272" t="s">
        <v>32</v>
      </c>
      <c r="F1272" t="s">
        <v>40</v>
      </c>
      <c r="G1272" t="s">
        <v>75</v>
      </c>
      <c r="H1272" t="s">
        <v>19</v>
      </c>
      <c r="I1272" t="s">
        <v>20</v>
      </c>
      <c r="J1272" t="s">
        <v>46</v>
      </c>
      <c r="K1272">
        <v>3</v>
      </c>
      <c r="L1272">
        <v>6430.58</v>
      </c>
      <c r="M1272">
        <v>10</v>
      </c>
      <c r="N1272">
        <v>17362.560000000001</v>
      </c>
      <c r="O1272" t="s">
        <v>22</v>
      </c>
    </row>
    <row r="1273" spans="1:15" x14ac:dyDescent="0.3">
      <c r="A1273" t="s">
        <v>1341</v>
      </c>
      <c r="B1273" s="2">
        <v>46563</v>
      </c>
      <c r="C1273" t="s">
        <v>49</v>
      </c>
      <c r="D1273" t="str">
        <f t="shared" si="19"/>
        <v>June</v>
      </c>
      <c r="E1273" t="s">
        <v>72</v>
      </c>
      <c r="F1273" t="s">
        <v>25</v>
      </c>
      <c r="G1273" t="s">
        <v>81</v>
      </c>
      <c r="H1273" t="s">
        <v>33</v>
      </c>
      <c r="I1273" t="s">
        <v>34</v>
      </c>
      <c r="J1273" t="s">
        <v>28</v>
      </c>
      <c r="K1273">
        <v>2</v>
      </c>
      <c r="L1273">
        <v>2325.7199999999998</v>
      </c>
      <c r="M1273">
        <v>20</v>
      </c>
      <c r="N1273">
        <v>3721.15</v>
      </c>
      <c r="O1273" t="s">
        <v>47</v>
      </c>
    </row>
    <row r="1274" spans="1:15" x14ac:dyDescent="0.3">
      <c r="A1274" t="s">
        <v>1342</v>
      </c>
      <c r="B1274" s="2">
        <v>46564</v>
      </c>
      <c r="C1274" t="s">
        <v>31</v>
      </c>
      <c r="D1274" t="str">
        <f t="shared" si="19"/>
        <v>June</v>
      </c>
      <c r="E1274" t="s">
        <v>100</v>
      </c>
      <c r="F1274" t="s">
        <v>25</v>
      </c>
      <c r="G1274" t="s">
        <v>81</v>
      </c>
      <c r="H1274" t="s">
        <v>45</v>
      </c>
      <c r="I1274" t="s">
        <v>42</v>
      </c>
      <c r="J1274" t="s">
        <v>35</v>
      </c>
      <c r="K1274">
        <v>3</v>
      </c>
      <c r="L1274">
        <v>2219.2399999999998</v>
      </c>
      <c r="M1274">
        <v>15</v>
      </c>
      <c r="N1274">
        <v>5659.06</v>
      </c>
      <c r="O1274" t="s">
        <v>29</v>
      </c>
    </row>
    <row r="1275" spans="1:15" x14ac:dyDescent="0.3">
      <c r="A1275" t="s">
        <v>1343</v>
      </c>
      <c r="B1275" s="2">
        <v>46565</v>
      </c>
      <c r="C1275" t="s">
        <v>38</v>
      </c>
      <c r="D1275" t="str">
        <f t="shared" si="19"/>
        <v>June</v>
      </c>
      <c r="E1275" t="s">
        <v>100</v>
      </c>
      <c r="F1275" t="s">
        <v>53</v>
      </c>
      <c r="G1275" t="s">
        <v>129</v>
      </c>
      <c r="H1275" t="s">
        <v>45</v>
      </c>
      <c r="I1275" t="s">
        <v>42</v>
      </c>
      <c r="J1275" t="s">
        <v>46</v>
      </c>
      <c r="K1275">
        <v>5</v>
      </c>
      <c r="L1275">
        <v>27390.97</v>
      </c>
      <c r="M1275">
        <v>20</v>
      </c>
      <c r="N1275">
        <v>109563.87</v>
      </c>
      <c r="O1275" t="s">
        <v>36</v>
      </c>
    </row>
    <row r="1276" spans="1:15" x14ac:dyDescent="0.3">
      <c r="A1276" t="s">
        <v>1344</v>
      </c>
      <c r="B1276" s="2">
        <v>46566</v>
      </c>
      <c r="C1276" t="s">
        <v>58</v>
      </c>
      <c r="D1276" t="str">
        <f t="shared" si="19"/>
        <v>June</v>
      </c>
      <c r="E1276" t="s">
        <v>100</v>
      </c>
      <c r="F1276" t="s">
        <v>53</v>
      </c>
      <c r="G1276" t="s">
        <v>54</v>
      </c>
      <c r="H1276" t="s">
        <v>19</v>
      </c>
      <c r="I1276" t="s">
        <v>20</v>
      </c>
      <c r="J1276" t="s">
        <v>28</v>
      </c>
      <c r="K1276">
        <v>1</v>
      </c>
      <c r="L1276">
        <v>26447.61</v>
      </c>
      <c r="M1276">
        <v>0</v>
      </c>
      <c r="N1276">
        <v>26447.61</v>
      </c>
      <c r="O1276" t="s">
        <v>47</v>
      </c>
    </row>
    <row r="1277" spans="1:15" x14ac:dyDescent="0.3">
      <c r="A1277" t="s">
        <v>1345</v>
      </c>
      <c r="B1277" s="2">
        <v>46567</v>
      </c>
      <c r="C1277" t="s">
        <v>31</v>
      </c>
      <c r="D1277" t="str">
        <f t="shared" si="19"/>
        <v>June</v>
      </c>
      <c r="E1277" t="s">
        <v>100</v>
      </c>
      <c r="F1277" t="s">
        <v>17</v>
      </c>
      <c r="G1277" t="s">
        <v>18</v>
      </c>
      <c r="H1277" t="s">
        <v>33</v>
      </c>
      <c r="I1277" t="s">
        <v>20</v>
      </c>
      <c r="J1277" t="s">
        <v>21</v>
      </c>
      <c r="K1277">
        <v>1</v>
      </c>
      <c r="L1277">
        <v>58235.82</v>
      </c>
      <c r="M1277">
        <v>15</v>
      </c>
      <c r="N1277">
        <v>49500.45</v>
      </c>
      <c r="O1277" t="s">
        <v>36</v>
      </c>
    </row>
    <row r="1278" spans="1:15" x14ac:dyDescent="0.3">
      <c r="A1278" t="s">
        <v>1346</v>
      </c>
      <c r="B1278" s="2">
        <v>46568</v>
      </c>
      <c r="C1278" t="s">
        <v>49</v>
      </c>
      <c r="D1278" t="str">
        <f t="shared" si="19"/>
        <v>June</v>
      </c>
      <c r="E1278" t="s">
        <v>52</v>
      </c>
      <c r="F1278" t="s">
        <v>53</v>
      </c>
      <c r="G1278" t="s">
        <v>54</v>
      </c>
      <c r="H1278" t="s">
        <v>45</v>
      </c>
      <c r="I1278" t="s">
        <v>42</v>
      </c>
      <c r="J1278" t="s">
        <v>35</v>
      </c>
      <c r="K1278">
        <v>4</v>
      </c>
      <c r="L1278">
        <v>33303.15</v>
      </c>
      <c r="M1278">
        <v>10</v>
      </c>
      <c r="N1278">
        <v>119891.33</v>
      </c>
      <c r="O1278" t="s">
        <v>29</v>
      </c>
    </row>
    <row r="1279" spans="1:15" x14ac:dyDescent="0.3">
      <c r="A1279" t="s">
        <v>1347</v>
      </c>
      <c r="B1279" s="2">
        <v>46569</v>
      </c>
      <c r="C1279" t="s">
        <v>15</v>
      </c>
      <c r="D1279" t="str">
        <f t="shared" si="19"/>
        <v>July</v>
      </c>
      <c r="E1279" t="s">
        <v>100</v>
      </c>
      <c r="F1279" t="s">
        <v>60</v>
      </c>
      <c r="G1279" t="s">
        <v>78</v>
      </c>
      <c r="H1279" t="s">
        <v>33</v>
      </c>
      <c r="I1279" t="s">
        <v>20</v>
      </c>
      <c r="J1279" t="s">
        <v>35</v>
      </c>
      <c r="K1279">
        <v>3</v>
      </c>
      <c r="L1279">
        <v>41999.24</v>
      </c>
      <c r="M1279">
        <v>5</v>
      </c>
      <c r="N1279">
        <v>119697.84</v>
      </c>
      <c r="O1279" t="s">
        <v>47</v>
      </c>
    </row>
    <row r="1280" spans="1:15" x14ac:dyDescent="0.3">
      <c r="A1280" t="s">
        <v>1348</v>
      </c>
      <c r="B1280" s="2">
        <v>46570</v>
      </c>
      <c r="C1280" t="s">
        <v>15</v>
      </c>
      <c r="D1280" t="str">
        <f t="shared" si="19"/>
        <v>July</v>
      </c>
      <c r="E1280" t="s">
        <v>50</v>
      </c>
      <c r="F1280" t="s">
        <v>25</v>
      </c>
      <c r="G1280" t="s">
        <v>56</v>
      </c>
      <c r="H1280" t="s">
        <v>19</v>
      </c>
      <c r="I1280" t="s">
        <v>34</v>
      </c>
      <c r="J1280" t="s">
        <v>28</v>
      </c>
      <c r="K1280">
        <v>5</v>
      </c>
      <c r="L1280">
        <v>3116.98</v>
      </c>
      <c r="M1280">
        <v>15</v>
      </c>
      <c r="N1280">
        <v>13247.16</v>
      </c>
      <c r="O1280" t="s">
        <v>36</v>
      </c>
    </row>
    <row r="1281" spans="1:15" x14ac:dyDescent="0.3">
      <c r="A1281" t="s">
        <v>1349</v>
      </c>
      <c r="B1281" s="2">
        <v>46571</v>
      </c>
      <c r="C1281" t="s">
        <v>58</v>
      </c>
      <c r="D1281" t="str">
        <f t="shared" si="19"/>
        <v>July</v>
      </c>
      <c r="E1281" t="s">
        <v>100</v>
      </c>
      <c r="F1281" t="s">
        <v>60</v>
      </c>
      <c r="G1281" t="s">
        <v>78</v>
      </c>
      <c r="H1281" t="s">
        <v>45</v>
      </c>
      <c r="I1281" t="s">
        <v>34</v>
      </c>
      <c r="J1281" t="s">
        <v>46</v>
      </c>
      <c r="K1281">
        <v>4</v>
      </c>
      <c r="L1281">
        <v>36949.81</v>
      </c>
      <c r="M1281">
        <v>10</v>
      </c>
      <c r="N1281">
        <v>133019.32999999999</v>
      </c>
      <c r="O1281" t="s">
        <v>29</v>
      </c>
    </row>
    <row r="1282" spans="1:15" x14ac:dyDescent="0.3">
      <c r="A1282" t="s">
        <v>1350</v>
      </c>
      <c r="B1282" s="2">
        <v>46572</v>
      </c>
      <c r="C1282" t="s">
        <v>31</v>
      </c>
      <c r="D1282" t="str">
        <f t="shared" si="19"/>
        <v>July</v>
      </c>
      <c r="E1282" t="s">
        <v>69</v>
      </c>
      <c r="F1282" t="s">
        <v>17</v>
      </c>
      <c r="G1282" t="s">
        <v>63</v>
      </c>
      <c r="H1282" t="s">
        <v>45</v>
      </c>
      <c r="I1282" t="s">
        <v>42</v>
      </c>
      <c r="J1282" t="s">
        <v>35</v>
      </c>
      <c r="K1282">
        <v>2</v>
      </c>
      <c r="L1282">
        <v>58669.24</v>
      </c>
      <c r="M1282">
        <v>15</v>
      </c>
      <c r="N1282">
        <v>99737.71</v>
      </c>
      <c r="O1282" t="s">
        <v>47</v>
      </c>
    </row>
    <row r="1283" spans="1:15" x14ac:dyDescent="0.3">
      <c r="A1283" t="s">
        <v>1351</v>
      </c>
      <c r="B1283" s="2">
        <v>46573</v>
      </c>
      <c r="C1283" t="s">
        <v>49</v>
      </c>
      <c r="D1283" t="str">
        <f t="shared" ref="D1283:D1346" si="20">TEXT(B1283,"mmmm")</f>
        <v>July</v>
      </c>
      <c r="E1283" t="s">
        <v>100</v>
      </c>
      <c r="F1283" t="s">
        <v>60</v>
      </c>
      <c r="G1283" t="s">
        <v>73</v>
      </c>
      <c r="H1283" t="s">
        <v>33</v>
      </c>
      <c r="I1283" t="s">
        <v>20</v>
      </c>
      <c r="J1283" t="s">
        <v>21</v>
      </c>
      <c r="K1283">
        <v>2</v>
      </c>
      <c r="L1283">
        <v>34332.57</v>
      </c>
      <c r="M1283">
        <v>15</v>
      </c>
      <c r="N1283">
        <v>58365.37</v>
      </c>
      <c r="O1283" t="s">
        <v>36</v>
      </c>
    </row>
    <row r="1284" spans="1:15" x14ac:dyDescent="0.3">
      <c r="A1284" t="s">
        <v>1352</v>
      </c>
      <c r="B1284" s="2">
        <v>46574</v>
      </c>
      <c r="C1284" t="s">
        <v>31</v>
      </c>
      <c r="D1284" t="str">
        <f t="shared" si="20"/>
        <v>July</v>
      </c>
      <c r="E1284" t="s">
        <v>100</v>
      </c>
      <c r="F1284" t="s">
        <v>60</v>
      </c>
      <c r="G1284" t="s">
        <v>73</v>
      </c>
      <c r="H1284" t="s">
        <v>45</v>
      </c>
      <c r="I1284" t="s">
        <v>20</v>
      </c>
      <c r="J1284" t="s">
        <v>43</v>
      </c>
      <c r="K1284">
        <v>1</v>
      </c>
      <c r="L1284">
        <v>52344.07</v>
      </c>
      <c r="M1284">
        <v>5</v>
      </c>
      <c r="N1284">
        <v>49726.87</v>
      </c>
      <c r="O1284" t="s">
        <v>29</v>
      </c>
    </row>
    <row r="1285" spans="1:15" x14ac:dyDescent="0.3">
      <c r="A1285" t="s">
        <v>1353</v>
      </c>
      <c r="B1285" s="2">
        <v>46575</v>
      </c>
      <c r="C1285" t="s">
        <v>38</v>
      </c>
      <c r="D1285" t="str">
        <f t="shared" si="20"/>
        <v>July</v>
      </c>
      <c r="E1285" t="s">
        <v>50</v>
      </c>
      <c r="F1285" t="s">
        <v>25</v>
      </c>
      <c r="G1285" t="s">
        <v>92</v>
      </c>
      <c r="H1285" t="s">
        <v>19</v>
      </c>
      <c r="I1285" t="s">
        <v>20</v>
      </c>
      <c r="J1285" t="s">
        <v>43</v>
      </c>
      <c r="K1285">
        <v>5</v>
      </c>
      <c r="L1285">
        <v>2046.69</v>
      </c>
      <c r="M1285">
        <v>0</v>
      </c>
      <c r="N1285">
        <v>10233.459999999999</v>
      </c>
      <c r="O1285" t="s">
        <v>47</v>
      </c>
    </row>
    <row r="1286" spans="1:15" x14ac:dyDescent="0.3">
      <c r="A1286" t="s">
        <v>1354</v>
      </c>
      <c r="B1286" s="2">
        <v>46576</v>
      </c>
      <c r="C1286" t="s">
        <v>58</v>
      </c>
      <c r="D1286" t="str">
        <f t="shared" si="20"/>
        <v>July</v>
      </c>
      <c r="E1286" t="s">
        <v>77</v>
      </c>
      <c r="F1286" t="s">
        <v>25</v>
      </c>
      <c r="G1286" t="s">
        <v>56</v>
      </c>
      <c r="H1286" t="s">
        <v>45</v>
      </c>
      <c r="I1286" t="s">
        <v>34</v>
      </c>
      <c r="J1286" t="s">
        <v>28</v>
      </c>
      <c r="K1286">
        <v>3</v>
      </c>
      <c r="L1286">
        <v>2122.77</v>
      </c>
      <c r="M1286">
        <v>20</v>
      </c>
      <c r="N1286">
        <v>5094.6400000000003</v>
      </c>
      <c r="O1286" t="s">
        <v>47</v>
      </c>
    </row>
    <row r="1287" spans="1:15" x14ac:dyDescent="0.3">
      <c r="A1287" t="s">
        <v>1355</v>
      </c>
      <c r="B1287" s="2">
        <v>46577</v>
      </c>
      <c r="C1287" t="s">
        <v>15</v>
      </c>
      <c r="D1287" t="str">
        <f t="shared" si="20"/>
        <v>July</v>
      </c>
      <c r="E1287" t="s">
        <v>39</v>
      </c>
      <c r="F1287" t="s">
        <v>53</v>
      </c>
      <c r="G1287" t="s">
        <v>129</v>
      </c>
      <c r="H1287" t="s">
        <v>45</v>
      </c>
      <c r="I1287" t="s">
        <v>34</v>
      </c>
      <c r="J1287" t="s">
        <v>35</v>
      </c>
      <c r="K1287">
        <v>5</v>
      </c>
      <c r="L1287">
        <v>24940.61</v>
      </c>
      <c r="M1287">
        <v>10</v>
      </c>
      <c r="N1287">
        <v>112232.75</v>
      </c>
      <c r="O1287" t="s">
        <v>22</v>
      </c>
    </row>
    <row r="1288" spans="1:15" x14ac:dyDescent="0.3">
      <c r="A1288" t="s">
        <v>1356</v>
      </c>
      <c r="B1288" s="2">
        <v>46578</v>
      </c>
      <c r="C1288" t="s">
        <v>38</v>
      </c>
      <c r="D1288" t="str">
        <f t="shared" si="20"/>
        <v>July</v>
      </c>
      <c r="E1288" t="s">
        <v>52</v>
      </c>
      <c r="F1288" t="s">
        <v>17</v>
      </c>
      <c r="G1288" t="s">
        <v>67</v>
      </c>
      <c r="H1288" t="s">
        <v>27</v>
      </c>
      <c r="I1288" t="s">
        <v>34</v>
      </c>
      <c r="J1288" t="s">
        <v>35</v>
      </c>
      <c r="K1288">
        <v>5</v>
      </c>
      <c r="L1288">
        <v>43678.55</v>
      </c>
      <c r="M1288">
        <v>0</v>
      </c>
      <c r="N1288">
        <v>218392.73</v>
      </c>
      <c r="O1288" t="s">
        <v>47</v>
      </c>
    </row>
    <row r="1289" spans="1:15" x14ac:dyDescent="0.3">
      <c r="A1289" t="s">
        <v>1357</v>
      </c>
      <c r="B1289" s="2">
        <v>46579</v>
      </c>
      <c r="C1289" t="s">
        <v>31</v>
      </c>
      <c r="D1289" t="str">
        <f t="shared" si="20"/>
        <v>July</v>
      </c>
      <c r="E1289" t="s">
        <v>24</v>
      </c>
      <c r="F1289" t="s">
        <v>25</v>
      </c>
      <c r="G1289" t="s">
        <v>56</v>
      </c>
      <c r="H1289" t="s">
        <v>33</v>
      </c>
      <c r="I1289" t="s">
        <v>42</v>
      </c>
      <c r="J1289" t="s">
        <v>35</v>
      </c>
      <c r="K1289">
        <v>3</v>
      </c>
      <c r="L1289">
        <v>1944.94</v>
      </c>
      <c r="M1289">
        <v>15</v>
      </c>
      <c r="N1289">
        <v>4959.59</v>
      </c>
      <c r="O1289" t="s">
        <v>47</v>
      </c>
    </row>
    <row r="1290" spans="1:15" x14ac:dyDescent="0.3">
      <c r="A1290" t="s">
        <v>1358</v>
      </c>
      <c r="B1290" s="2">
        <v>46580</v>
      </c>
      <c r="C1290" t="s">
        <v>31</v>
      </c>
      <c r="D1290" t="str">
        <f t="shared" si="20"/>
        <v>July</v>
      </c>
      <c r="E1290" t="s">
        <v>69</v>
      </c>
      <c r="F1290" t="s">
        <v>17</v>
      </c>
      <c r="G1290" t="s">
        <v>123</v>
      </c>
      <c r="H1290" t="s">
        <v>33</v>
      </c>
      <c r="I1290" t="s">
        <v>20</v>
      </c>
      <c r="J1290" t="s">
        <v>35</v>
      </c>
      <c r="K1290">
        <v>3</v>
      </c>
      <c r="L1290">
        <v>54000.13</v>
      </c>
      <c r="M1290">
        <v>10</v>
      </c>
      <c r="N1290">
        <v>145800.35</v>
      </c>
      <c r="O1290" t="s">
        <v>22</v>
      </c>
    </row>
    <row r="1291" spans="1:15" x14ac:dyDescent="0.3">
      <c r="A1291" t="s">
        <v>1359</v>
      </c>
      <c r="B1291" s="2">
        <v>46581</v>
      </c>
      <c r="C1291" t="s">
        <v>49</v>
      </c>
      <c r="D1291" t="str">
        <f t="shared" si="20"/>
        <v>July</v>
      </c>
      <c r="E1291" t="s">
        <v>16</v>
      </c>
      <c r="F1291" t="s">
        <v>17</v>
      </c>
      <c r="G1291" t="s">
        <v>123</v>
      </c>
      <c r="H1291" t="s">
        <v>33</v>
      </c>
      <c r="I1291" t="s">
        <v>42</v>
      </c>
      <c r="J1291" t="s">
        <v>28</v>
      </c>
      <c r="K1291">
        <v>5</v>
      </c>
      <c r="L1291">
        <v>69893.3</v>
      </c>
      <c r="M1291">
        <v>10</v>
      </c>
      <c r="N1291">
        <v>314519.87</v>
      </c>
      <c r="O1291" t="s">
        <v>22</v>
      </c>
    </row>
    <row r="1292" spans="1:15" x14ac:dyDescent="0.3">
      <c r="A1292" t="s">
        <v>1360</v>
      </c>
      <c r="B1292" s="2">
        <v>46582</v>
      </c>
      <c r="C1292" t="s">
        <v>49</v>
      </c>
      <c r="D1292" t="str">
        <f t="shared" si="20"/>
        <v>July</v>
      </c>
      <c r="E1292" t="s">
        <v>32</v>
      </c>
      <c r="F1292" t="s">
        <v>40</v>
      </c>
      <c r="G1292" t="s">
        <v>115</v>
      </c>
      <c r="H1292" t="s">
        <v>45</v>
      </c>
      <c r="I1292" t="s">
        <v>20</v>
      </c>
      <c r="J1292" t="s">
        <v>28</v>
      </c>
      <c r="K1292">
        <v>1</v>
      </c>
      <c r="L1292">
        <v>6408.35</v>
      </c>
      <c r="M1292">
        <v>20</v>
      </c>
      <c r="N1292">
        <v>5126.68</v>
      </c>
      <c r="O1292" t="s">
        <v>47</v>
      </c>
    </row>
    <row r="1293" spans="1:15" x14ac:dyDescent="0.3">
      <c r="A1293" t="s">
        <v>1361</v>
      </c>
      <c r="B1293" s="2">
        <v>46583</v>
      </c>
      <c r="C1293" t="s">
        <v>38</v>
      </c>
      <c r="D1293" t="str">
        <f t="shared" si="20"/>
        <v>July</v>
      </c>
      <c r="E1293" t="s">
        <v>100</v>
      </c>
      <c r="F1293" t="s">
        <v>53</v>
      </c>
      <c r="G1293" t="s">
        <v>129</v>
      </c>
      <c r="H1293" t="s">
        <v>45</v>
      </c>
      <c r="I1293" t="s">
        <v>34</v>
      </c>
      <c r="J1293" t="s">
        <v>35</v>
      </c>
      <c r="K1293">
        <v>4</v>
      </c>
      <c r="L1293">
        <v>31658.959999999999</v>
      </c>
      <c r="M1293">
        <v>10</v>
      </c>
      <c r="N1293">
        <v>113972.25</v>
      </c>
      <c r="O1293" t="s">
        <v>36</v>
      </c>
    </row>
    <row r="1294" spans="1:15" x14ac:dyDescent="0.3">
      <c r="A1294" t="s">
        <v>1362</v>
      </c>
      <c r="B1294" s="2">
        <v>46584</v>
      </c>
      <c r="C1294" t="s">
        <v>38</v>
      </c>
      <c r="D1294" t="str">
        <f t="shared" si="20"/>
        <v>July</v>
      </c>
      <c r="E1294" t="s">
        <v>50</v>
      </c>
      <c r="F1294" t="s">
        <v>60</v>
      </c>
      <c r="G1294" t="s">
        <v>61</v>
      </c>
      <c r="H1294" t="s">
        <v>19</v>
      </c>
      <c r="I1294" t="s">
        <v>20</v>
      </c>
      <c r="J1294" t="s">
        <v>35</v>
      </c>
      <c r="K1294">
        <v>5</v>
      </c>
      <c r="L1294">
        <v>36643.93</v>
      </c>
      <c r="M1294">
        <v>15</v>
      </c>
      <c r="N1294">
        <v>155736.71</v>
      </c>
      <c r="O1294" t="s">
        <v>22</v>
      </c>
    </row>
    <row r="1295" spans="1:15" x14ac:dyDescent="0.3">
      <c r="A1295" t="s">
        <v>1363</v>
      </c>
      <c r="B1295" s="2">
        <v>46585</v>
      </c>
      <c r="C1295" t="s">
        <v>49</v>
      </c>
      <c r="D1295" t="str">
        <f t="shared" si="20"/>
        <v>July</v>
      </c>
      <c r="E1295" t="s">
        <v>77</v>
      </c>
      <c r="F1295" t="s">
        <v>40</v>
      </c>
      <c r="G1295" t="s">
        <v>41</v>
      </c>
      <c r="H1295" t="s">
        <v>19</v>
      </c>
      <c r="I1295" t="s">
        <v>20</v>
      </c>
      <c r="J1295" t="s">
        <v>28</v>
      </c>
      <c r="K1295">
        <v>2</v>
      </c>
      <c r="L1295">
        <v>5357.79</v>
      </c>
      <c r="M1295">
        <v>5</v>
      </c>
      <c r="N1295">
        <v>10179.790000000001</v>
      </c>
      <c r="O1295" t="s">
        <v>29</v>
      </c>
    </row>
    <row r="1296" spans="1:15" x14ac:dyDescent="0.3">
      <c r="A1296" t="s">
        <v>1364</v>
      </c>
      <c r="B1296" s="2">
        <v>46586</v>
      </c>
      <c r="C1296" t="s">
        <v>49</v>
      </c>
      <c r="D1296" t="str">
        <f t="shared" si="20"/>
        <v>July</v>
      </c>
      <c r="E1296" t="s">
        <v>50</v>
      </c>
      <c r="F1296" t="s">
        <v>25</v>
      </c>
      <c r="G1296" t="s">
        <v>56</v>
      </c>
      <c r="H1296" t="s">
        <v>33</v>
      </c>
      <c r="I1296" t="s">
        <v>42</v>
      </c>
      <c r="J1296" t="s">
        <v>46</v>
      </c>
      <c r="K1296">
        <v>3</v>
      </c>
      <c r="L1296">
        <v>2550.56</v>
      </c>
      <c r="M1296">
        <v>0</v>
      </c>
      <c r="N1296">
        <v>7651.67</v>
      </c>
      <c r="O1296" t="s">
        <v>36</v>
      </c>
    </row>
    <row r="1297" spans="1:15" x14ac:dyDescent="0.3">
      <c r="A1297" t="s">
        <v>1365</v>
      </c>
      <c r="B1297" s="2">
        <v>46587</v>
      </c>
      <c r="C1297" t="s">
        <v>38</v>
      </c>
      <c r="D1297" t="str">
        <f t="shared" si="20"/>
        <v>July</v>
      </c>
      <c r="E1297" t="s">
        <v>24</v>
      </c>
      <c r="F1297" t="s">
        <v>60</v>
      </c>
      <c r="G1297" t="s">
        <v>61</v>
      </c>
      <c r="H1297" t="s">
        <v>27</v>
      </c>
      <c r="I1297" t="s">
        <v>20</v>
      </c>
      <c r="J1297" t="s">
        <v>21</v>
      </c>
      <c r="K1297">
        <v>5</v>
      </c>
      <c r="L1297">
        <v>50813.74</v>
      </c>
      <c r="M1297">
        <v>20</v>
      </c>
      <c r="N1297">
        <v>203254.96</v>
      </c>
      <c r="O1297" t="s">
        <v>29</v>
      </c>
    </row>
    <row r="1298" spans="1:15" x14ac:dyDescent="0.3">
      <c r="A1298" t="s">
        <v>1366</v>
      </c>
      <c r="B1298" s="2">
        <v>46588</v>
      </c>
      <c r="C1298" t="s">
        <v>49</v>
      </c>
      <c r="D1298" t="str">
        <f t="shared" si="20"/>
        <v>July</v>
      </c>
      <c r="E1298" t="s">
        <v>52</v>
      </c>
      <c r="F1298" t="s">
        <v>17</v>
      </c>
      <c r="G1298" t="s">
        <v>18</v>
      </c>
      <c r="H1298" t="s">
        <v>33</v>
      </c>
      <c r="I1298" t="s">
        <v>20</v>
      </c>
      <c r="J1298" t="s">
        <v>43</v>
      </c>
      <c r="K1298">
        <v>3</v>
      </c>
      <c r="L1298">
        <v>55407.57</v>
      </c>
      <c r="M1298">
        <v>0</v>
      </c>
      <c r="N1298">
        <v>166222.70000000001</v>
      </c>
      <c r="O1298" t="s">
        <v>47</v>
      </c>
    </row>
    <row r="1299" spans="1:15" x14ac:dyDescent="0.3">
      <c r="A1299" t="s">
        <v>1367</v>
      </c>
      <c r="B1299" s="2">
        <v>46589</v>
      </c>
      <c r="C1299" t="s">
        <v>49</v>
      </c>
      <c r="D1299" t="str">
        <f t="shared" si="20"/>
        <v>July</v>
      </c>
      <c r="E1299" t="s">
        <v>39</v>
      </c>
      <c r="F1299" t="s">
        <v>17</v>
      </c>
      <c r="G1299" t="s">
        <v>123</v>
      </c>
      <c r="H1299" t="s">
        <v>19</v>
      </c>
      <c r="I1299" t="s">
        <v>34</v>
      </c>
      <c r="J1299" t="s">
        <v>43</v>
      </c>
      <c r="K1299">
        <v>1</v>
      </c>
      <c r="L1299">
        <v>57387.61</v>
      </c>
      <c r="M1299">
        <v>0</v>
      </c>
      <c r="N1299">
        <v>57387.61</v>
      </c>
      <c r="O1299" t="s">
        <v>22</v>
      </c>
    </row>
    <row r="1300" spans="1:15" x14ac:dyDescent="0.3">
      <c r="A1300" t="s">
        <v>1368</v>
      </c>
      <c r="B1300" s="2">
        <v>46590</v>
      </c>
      <c r="C1300" t="s">
        <v>15</v>
      </c>
      <c r="D1300" t="str">
        <f t="shared" si="20"/>
        <v>July</v>
      </c>
      <c r="E1300" t="s">
        <v>77</v>
      </c>
      <c r="F1300" t="s">
        <v>60</v>
      </c>
      <c r="G1300" t="s">
        <v>73</v>
      </c>
      <c r="H1300" t="s">
        <v>27</v>
      </c>
      <c r="I1300" t="s">
        <v>42</v>
      </c>
      <c r="J1300" t="s">
        <v>35</v>
      </c>
      <c r="K1300">
        <v>3</v>
      </c>
      <c r="L1300">
        <v>31874.84</v>
      </c>
      <c r="M1300">
        <v>15</v>
      </c>
      <c r="N1300">
        <v>81280.83</v>
      </c>
      <c r="O1300" t="s">
        <v>36</v>
      </c>
    </row>
    <row r="1301" spans="1:15" x14ac:dyDescent="0.3">
      <c r="A1301" t="s">
        <v>1369</v>
      </c>
      <c r="B1301" s="2">
        <v>46591</v>
      </c>
      <c r="C1301" t="s">
        <v>38</v>
      </c>
      <c r="D1301" t="str">
        <f t="shared" si="20"/>
        <v>July</v>
      </c>
      <c r="E1301" t="s">
        <v>32</v>
      </c>
      <c r="F1301" t="s">
        <v>60</v>
      </c>
      <c r="G1301" t="s">
        <v>61</v>
      </c>
      <c r="H1301" t="s">
        <v>27</v>
      </c>
      <c r="I1301" t="s">
        <v>42</v>
      </c>
      <c r="J1301" t="s">
        <v>21</v>
      </c>
      <c r="K1301">
        <v>2</v>
      </c>
      <c r="L1301">
        <v>42930.13</v>
      </c>
      <c r="M1301">
        <v>10</v>
      </c>
      <c r="N1301">
        <v>77274.240000000005</v>
      </c>
      <c r="O1301" t="s">
        <v>29</v>
      </c>
    </row>
    <row r="1302" spans="1:15" x14ac:dyDescent="0.3">
      <c r="A1302" t="s">
        <v>1370</v>
      </c>
      <c r="B1302" s="2">
        <v>46592</v>
      </c>
      <c r="C1302" t="s">
        <v>31</v>
      </c>
      <c r="D1302" t="str">
        <f t="shared" si="20"/>
        <v>July</v>
      </c>
      <c r="E1302" t="s">
        <v>24</v>
      </c>
      <c r="F1302" t="s">
        <v>60</v>
      </c>
      <c r="G1302" t="s">
        <v>78</v>
      </c>
      <c r="H1302" t="s">
        <v>27</v>
      </c>
      <c r="I1302" t="s">
        <v>34</v>
      </c>
      <c r="J1302" t="s">
        <v>28</v>
      </c>
      <c r="K1302">
        <v>1</v>
      </c>
      <c r="L1302">
        <v>33707.33</v>
      </c>
      <c r="M1302">
        <v>0</v>
      </c>
      <c r="N1302">
        <v>33707.33</v>
      </c>
      <c r="O1302" t="s">
        <v>22</v>
      </c>
    </row>
    <row r="1303" spans="1:15" x14ac:dyDescent="0.3">
      <c r="A1303" t="s">
        <v>1371</v>
      </c>
      <c r="B1303" s="2">
        <v>46593</v>
      </c>
      <c r="C1303" t="s">
        <v>49</v>
      </c>
      <c r="D1303" t="str">
        <f t="shared" si="20"/>
        <v>July</v>
      </c>
      <c r="E1303" t="s">
        <v>50</v>
      </c>
      <c r="F1303" t="s">
        <v>53</v>
      </c>
      <c r="G1303" t="s">
        <v>54</v>
      </c>
      <c r="H1303" t="s">
        <v>33</v>
      </c>
      <c r="I1303" t="s">
        <v>34</v>
      </c>
      <c r="J1303" t="s">
        <v>43</v>
      </c>
      <c r="K1303">
        <v>4</v>
      </c>
      <c r="L1303">
        <v>35799.53</v>
      </c>
      <c r="M1303">
        <v>10</v>
      </c>
      <c r="N1303">
        <v>128878.31</v>
      </c>
      <c r="O1303" t="s">
        <v>47</v>
      </c>
    </row>
    <row r="1304" spans="1:15" x14ac:dyDescent="0.3">
      <c r="A1304" t="s">
        <v>1372</v>
      </c>
      <c r="B1304" s="2">
        <v>46594</v>
      </c>
      <c r="C1304" t="s">
        <v>15</v>
      </c>
      <c r="D1304" t="str">
        <f t="shared" si="20"/>
        <v>July</v>
      </c>
      <c r="E1304" t="s">
        <v>77</v>
      </c>
      <c r="F1304" t="s">
        <v>60</v>
      </c>
      <c r="G1304" t="s">
        <v>73</v>
      </c>
      <c r="H1304" t="s">
        <v>27</v>
      </c>
      <c r="I1304" t="s">
        <v>20</v>
      </c>
      <c r="J1304" t="s">
        <v>21</v>
      </c>
      <c r="K1304">
        <v>3</v>
      </c>
      <c r="L1304">
        <v>32097.47</v>
      </c>
      <c r="M1304">
        <v>5</v>
      </c>
      <c r="N1304">
        <v>91477.79</v>
      </c>
      <c r="O1304" t="s">
        <v>36</v>
      </c>
    </row>
    <row r="1305" spans="1:15" x14ac:dyDescent="0.3">
      <c r="A1305" t="s">
        <v>1373</v>
      </c>
      <c r="B1305" s="2">
        <v>46595</v>
      </c>
      <c r="C1305" t="s">
        <v>38</v>
      </c>
      <c r="D1305" t="str">
        <f t="shared" si="20"/>
        <v>July</v>
      </c>
      <c r="E1305" t="s">
        <v>50</v>
      </c>
      <c r="F1305" t="s">
        <v>40</v>
      </c>
      <c r="G1305" t="s">
        <v>41</v>
      </c>
      <c r="H1305" t="s">
        <v>33</v>
      </c>
      <c r="I1305" t="s">
        <v>34</v>
      </c>
      <c r="J1305" t="s">
        <v>35</v>
      </c>
      <c r="K1305">
        <v>4</v>
      </c>
      <c r="L1305">
        <v>7948.04</v>
      </c>
      <c r="M1305">
        <v>20</v>
      </c>
      <c r="N1305">
        <v>25433.72</v>
      </c>
      <c r="O1305" t="s">
        <v>36</v>
      </c>
    </row>
    <row r="1306" spans="1:15" x14ac:dyDescent="0.3">
      <c r="A1306" t="s">
        <v>1374</v>
      </c>
      <c r="B1306" s="2">
        <v>46596</v>
      </c>
      <c r="C1306" t="s">
        <v>49</v>
      </c>
      <c r="D1306" t="str">
        <f t="shared" si="20"/>
        <v>July</v>
      </c>
      <c r="E1306" t="s">
        <v>72</v>
      </c>
      <c r="F1306" t="s">
        <v>60</v>
      </c>
      <c r="G1306" t="s">
        <v>70</v>
      </c>
      <c r="H1306" t="s">
        <v>19</v>
      </c>
      <c r="I1306" t="s">
        <v>42</v>
      </c>
      <c r="J1306" t="s">
        <v>43</v>
      </c>
      <c r="K1306">
        <v>2</v>
      </c>
      <c r="L1306">
        <v>36630.69</v>
      </c>
      <c r="M1306">
        <v>15</v>
      </c>
      <c r="N1306">
        <v>62272.17</v>
      </c>
      <c r="O1306" t="s">
        <v>47</v>
      </c>
    </row>
    <row r="1307" spans="1:15" x14ac:dyDescent="0.3">
      <c r="A1307" t="s">
        <v>1375</v>
      </c>
      <c r="B1307" s="2">
        <v>46597</v>
      </c>
      <c r="C1307" t="s">
        <v>38</v>
      </c>
      <c r="D1307" t="str">
        <f t="shared" si="20"/>
        <v>July</v>
      </c>
      <c r="E1307" t="s">
        <v>100</v>
      </c>
      <c r="F1307" t="s">
        <v>40</v>
      </c>
      <c r="G1307" t="s">
        <v>75</v>
      </c>
      <c r="H1307" t="s">
        <v>33</v>
      </c>
      <c r="I1307" t="s">
        <v>20</v>
      </c>
      <c r="J1307" t="s">
        <v>35</v>
      </c>
      <c r="K1307">
        <v>1</v>
      </c>
      <c r="L1307">
        <v>5274.15</v>
      </c>
      <c r="M1307">
        <v>15</v>
      </c>
      <c r="N1307">
        <v>4483.03</v>
      </c>
      <c r="O1307" t="s">
        <v>47</v>
      </c>
    </row>
    <row r="1308" spans="1:15" x14ac:dyDescent="0.3">
      <c r="A1308" t="s">
        <v>1376</v>
      </c>
      <c r="B1308" s="2">
        <v>46598</v>
      </c>
      <c r="C1308" t="s">
        <v>15</v>
      </c>
      <c r="D1308" t="str">
        <f t="shared" si="20"/>
        <v>July</v>
      </c>
      <c r="E1308" t="s">
        <v>32</v>
      </c>
      <c r="F1308" t="s">
        <v>53</v>
      </c>
      <c r="G1308" t="s">
        <v>129</v>
      </c>
      <c r="H1308" t="s">
        <v>33</v>
      </c>
      <c r="I1308" t="s">
        <v>34</v>
      </c>
      <c r="J1308" t="s">
        <v>28</v>
      </c>
      <c r="K1308">
        <v>2</v>
      </c>
      <c r="L1308">
        <v>36146.300000000003</v>
      </c>
      <c r="M1308">
        <v>0</v>
      </c>
      <c r="N1308">
        <v>72292.600000000006</v>
      </c>
      <c r="O1308" t="s">
        <v>29</v>
      </c>
    </row>
    <row r="1309" spans="1:15" x14ac:dyDescent="0.3">
      <c r="A1309" t="s">
        <v>1377</v>
      </c>
      <c r="B1309" s="2">
        <v>46599</v>
      </c>
      <c r="C1309" t="s">
        <v>49</v>
      </c>
      <c r="D1309" t="str">
        <f t="shared" si="20"/>
        <v>July</v>
      </c>
      <c r="E1309" t="s">
        <v>39</v>
      </c>
      <c r="F1309" t="s">
        <v>40</v>
      </c>
      <c r="G1309" t="s">
        <v>115</v>
      </c>
      <c r="H1309" t="s">
        <v>45</v>
      </c>
      <c r="I1309" t="s">
        <v>42</v>
      </c>
      <c r="J1309" t="s">
        <v>43</v>
      </c>
      <c r="K1309">
        <v>1</v>
      </c>
      <c r="L1309">
        <v>7299.16</v>
      </c>
      <c r="M1309">
        <v>20</v>
      </c>
      <c r="N1309">
        <v>5839.33</v>
      </c>
      <c r="O1309" t="s">
        <v>47</v>
      </c>
    </row>
    <row r="1310" spans="1:15" x14ac:dyDescent="0.3">
      <c r="A1310" t="s">
        <v>1378</v>
      </c>
      <c r="B1310" s="2">
        <v>46600</v>
      </c>
      <c r="C1310" t="s">
        <v>38</v>
      </c>
      <c r="D1310" t="str">
        <f t="shared" si="20"/>
        <v>August</v>
      </c>
      <c r="E1310" t="s">
        <v>50</v>
      </c>
      <c r="F1310" t="s">
        <v>40</v>
      </c>
      <c r="G1310" t="s">
        <v>75</v>
      </c>
      <c r="H1310" t="s">
        <v>33</v>
      </c>
      <c r="I1310" t="s">
        <v>20</v>
      </c>
      <c r="J1310" t="s">
        <v>28</v>
      </c>
      <c r="K1310">
        <v>3</v>
      </c>
      <c r="L1310">
        <v>5814.7</v>
      </c>
      <c r="M1310">
        <v>10</v>
      </c>
      <c r="N1310">
        <v>15699.68</v>
      </c>
      <c r="O1310" t="s">
        <v>22</v>
      </c>
    </row>
    <row r="1311" spans="1:15" x14ac:dyDescent="0.3">
      <c r="A1311" t="s">
        <v>1379</v>
      </c>
      <c r="B1311" s="2">
        <v>46601</v>
      </c>
      <c r="C1311" t="s">
        <v>38</v>
      </c>
      <c r="D1311" t="str">
        <f t="shared" si="20"/>
        <v>August</v>
      </c>
      <c r="E1311" t="s">
        <v>100</v>
      </c>
      <c r="F1311" t="s">
        <v>60</v>
      </c>
      <c r="G1311" t="s">
        <v>70</v>
      </c>
      <c r="H1311" t="s">
        <v>27</v>
      </c>
      <c r="I1311" t="s">
        <v>42</v>
      </c>
      <c r="J1311" t="s">
        <v>35</v>
      </c>
      <c r="K1311">
        <v>5</v>
      </c>
      <c r="L1311">
        <v>48478.59</v>
      </c>
      <c r="M1311">
        <v>15</v>
      </c>
      <c r="N1311">
        <v>206034.01</v>
      </c>
      <c r="O1311" t="s">
        <v>47</v>
      </c>
    </row>
    <row r="1312" spans="1:15" x14ac:dyDescent="0.3">
      <c r="A1312" t="s">
        <v>1380</v>
      </c>
      <c r="B1312" s="2">
        <v>46602</v>
      </c>
      <c r="C1312" t="s">
        <v>38</v>
      </c>
      <c r="D1312" t="str">
        <f t="shared" si="20"/>
        <v>August</v>
      </c>
      <c r="E1312" t="s">
        <v>32</v>
      </c>
      <c r="F1312" t="s">
        <v>25</v>
      </c>
      <c r="G1312" t="s">
        <v>81</v>
      </c>
      <c r="H1312" t="s">
        <v>33</v>
      </c>
      <c r="I1312" t="s">
        <v>42</v>
      </c>
      <c r="J1312" t="s">
        <v>35</v>
      </c>
      <c r="K1312">
        <v>4</v>
      </c>
      <c r="L1312">
        <v>2032.22</v>
      </c>
      <c r="M1312">
        <v>0</v>
      </c>
      <c r="N1312">
        <v>8128.9</v>
      </c>
      <c r="O1312" t="s">
        <v>22</v>
      </c>
    </row>
    <row r="1313" spans="1:15" x14ac:dyDescent="0.3">
      <c r="A1313" t="s">
        <v>1381</v>
      </c>
      <c r="B1313" s="2">
        <v>46603</v>
      </c>
      <c r="C1313" t="s">
        <v>38</v>
      </c>
      <c r="D1313" t="str">
        <f t="shared" si="20"/>
        <v>August</v>
      </c>
      <c r="E1313" t="s">
        <v>52</v>
      </c>
      <c r="F1313" t="s">
        <v>40</v>
      </c>
      <c r="G1313" t="s">
        <v>118</v>
      </c>
      <c r="H1313" t="s">
        <v>45</v>
      </c>
      <c r="I1313" t="s">
        <v>20</v>
      </c>
      <c r="J1313" t="s">
        <v>28</v>
      </c>
      <c r="K1313">
        <v>4</v>
      </c>
      <c r="L1313">
        <v>6086.99</v>
      </c>
      <c r="M1313">
        <v>20</v>
      </c>
      <c r="N1313">
        <v>19478.38</v>
      </c>
      <c r="O1313" t="s">
        <v>47</v>
      </c>
    </row>
    <row r="1314" spans="1:15" x14ac:dyDescent="0.3">
      <c r="A1314" t="s">
        <v>1382</v>
      </c>
      <c r="B1314" s="2">
        <v>46604</v>
      </c>
      <c r="C1314" t="s">
        <v>38</v>
      </c>
      <c r="D1314" t="str">
        <f t="shared" si="20"/>
        <v>August</v>
      </c>
      <c r="E1314" t="s">
        <v>16</v>
      </c>
      <c r="F1314" t="s">
        <v>40</v>
      </c>
      <c r="G1314" t="s">
        <v>115</v>
      </c>
      <c r="H1314" t="s">
        <v>27</v>
      </c>
      <c r="I1314" t="s">
        <v>42</v>
      </c>
      <c r="J1314" t="s">
        <v>28</v>
      </c>
      <c r="K1314">
        <v>2</v>
      </c>
      <c r="L1314">
        <v>6119.13</v>
      </c>
      <c r="M1314">
        <v>5</v>
      </c>
      <c r="N1314">
        <v>11626.34</v>
      </c>
      <c r="O1314" t="s">
        <v>47</v>
      </c>
    </row>
    <row r="1315" spans="1:15" x14ac:dyDescent="0.3">
      <c r="A1315" t="s">
        <v>1383</v>
      </c>
      <c r="B1315" s="2">
        <v>46605</v>
      </c>
      <c r="C1315" t="s">
        <v>15</v>
      </c>
      <c r="D1315" t="str">
        <f t="shared" si="20"/>
        <v>August</v>
      </c>
      <c r="E1315" t="s">
        <v>24</v>
      </c>
      <c r="F1315" t="s">
        <v>25</v>
      </c>
      <c r="G1315" t="s">
        <v>81</v>
      </c>
      <c r="H1315" t="s">
        <v>33</v>
      </c>
      <c r="I1315" t="s">
        <v>42</v>
      </c>
      <c r="J1315" t="s">
        <v>35</v>
      </c>
      <c r="K1315">
        <v>2</v>
      </c>
      <c r="L1315">
        <v>2186.4299999999998</v>
      </c>
      <c r="M1315">
        <v>10</v>
      </c>
      <c r="N1315">
        <v>3935.58</v>
      </c>
      <c r="O1315" t="s">
        <v>47</v>
      </c>
    </row>
    <row r="1316" spans="1:15" x14ac:dyDescent="0.3">
      <c r="A1316" t="s">
        <v>1384</v>
      </c>
      <c r="B1316" s="2">
        <v>46606</v>
      </c>
      <c r="C1316" t="s">
        <v>31</v>
      </c>
      <c r="D1316" t="str">
        <f t="shared" si="20"/>
        <v>August</v>
      </c>
      <c r="E1316" t="s">
        <v>77</v>
      </c>
      <c r="F1316" t="s">
        <v>25</v>
      </c>
      <c r="G1316" t="s">
        <v>92</v>
      </c>
      <c r="H1316" t="s">
        <v>33</v>
      </c>
      <c r="I1316" t="s">
        <v>42</v>
      </c>
      <c r="J1316" t="s">
        <v>43</v>
      </c>
      <c r="K1316">
        <v>3</v>
      </c>
      <c r="L1316">
        <v>2048.29</v>
      </c>
      <c r="M1316">
        <v>5</v>
      </c>
      <c r="N1316">
        <v>5837.63</v>
      </c>
      <c r="O1316" t="s">
        <v>36</v>
      </c>
    </row>
    <row r="1317" spans="1:15" x14ac:dyDescent="0.3">
      <c r="A1317" t="s">
        <v>1385</v>
      </c>
      <c r="B1317" s="2">
        <v>46607</v>
      </c>
      <c r="C1317" t="s">
        <v>31</v>
      </c>
      <c r="D1317" t="str">
        <f t="shared" si="20"/>
        <v>August</v>
      </c>
      <c r="E1317" t="s">
        <v>16</v>
      </c>
      <c r="F1317" t="s">
        <v>17</v>
      </c>
      <c r="G1317" t="s">
        <v>123</v>
      </c>
      <c r="H1317" t="s">
        <v>33</v>
      </c>
      <c r="I1317" t="s">
        <v>34</v>
      </c>
      <c r="J1317" t="s">
        <v>21</v>
      </c>
      <c r="K1317">
        <v>3</v>
      </c>
      <c r="L1317">
        <v>60955.72</v>
      </c>
      <c r="M1317">
        <v>5</v>
      </c>
      <c r="N1317">
        <v>173723.79</v>
      </c>
      <c r="O1317" t="s">
        <v>47</v>
      </c>
    </row>
    <row r="1318" spans="1:15" x14ac:dyDescent="0.3">
      <c r="A1318" t="s">
        <v>1386</v>
      </c>
      <c r="B1318" s="2">
        <v>46608</v>
      </c>
      <c r="C1318" t="s">
        <v>15</v>
      </c>
      <c r="D1318" t="str">
        <f t="shared" si="20"/>
        <v>August</v>
      </c>
      <c r="E1318" t="s">
        <v>39</v>
      </c>
      <c r="F1318" t="s">
        <v>60</v>
      </c>
      <c r="G1318" t="s">
        <v>70</v>
      </c>
      <c r="H1318" t="s">
        <v>27</v>
      </c>
      <c r="I1318" t="s">
        <v>34</v>
      </c>
      <c r="J1318" t="s">
        <v>35</v>
      </c>
      <c r="K1318">
        <v>2</v>
      </c>
      <c r="L1318">
        <v>34337.769999999997</v>
      </c>
      <c r="M1318">
        <v>20</v>
      </c>
      <c r="N1318">
        <v>54940.43</v>
      </c>
      <c r="O1318" t="s">
        <v>22</v>
      </c>
    </row>
    <row r="1319" spans="1:15" x14ac:dyDescent="0.3">
      <c r="A1319" t="s">
        <v>1387</v>
      </c>
      <c r="B1319" s="2">
        <v>46609</v>
      </c>
      <c r="C1319" t="s">
        <v>49</v>
      </c>
      <c r="D1319" t="str">
        <f t="shared" si="20"/>
        <v>August</v>
      </c>
      <c r="E1319" t="s">
        <v>32</v>
      </c>
      <c r="F1319" t="s">
        <v>17</v>
      </c>
      <c r="G1319" t="s">
        <v>18</v>
      </c>
      <c r="H1319" t="s">
        <v>19</v>
      </c>
      <c r="I1319" t="s">
        <v>42</v>
      </c>
      <c r="J1319" t="s">
        <v>28</v>
      </c>
      <c r="K1319">
        <v>3</v>
      </c>
      <c r="L1319">
        <v>70763.360000000001</v>
      </c>
      <c r="M1319">
        <v>0</v>
      </c>
      <c r="N1319">
        <v>212290.08</v>
      </c>
      <c r="O1319" t="s">
        <v>36</v>
      </c>
    </row>
    <row r="1320" spans="1:15" x14ac:dyDescent="0.3">
      <c r="A1320" t="s">
        <v>1388</v>
      </c>
      <c r="B1320" s="2">
        <v>46610</v>
      </c>
      <c r="C1320" t="s">
        <v>31</v>
      </c>
      <c r="D1320" t="str">
        <f t="shared" si="20"/>
        <v>August</v>
      </c>
      <c r="E1320" t="s">
        <v>39</v>
      </c>
      <c r="F1320" t="s">
        <v>25</v>
      </c>
      <c r="G1320" t="s">
        <v>56</v>
      </c>
      <c r="H1320" t="s">
        <v>33</v>
      </c>
      <c r="I1320" t="s">
        <v>34</v>
      </c>
      <c r="J1320" t="s">
        <v>46</v>
      </c>
      <c r="K1320">
        <v>2</v>
      </c>
      <c r="L1320">
        <v>1924.63</v>
      </c>
      <c r="M1320">
        <v>5</v>
      </c>
      <c r="N1320">
        <v>3656.8</v>
      </c>
      <c r="O1320" t="s">
        <v>36</v>
      </c>
    </row>
    <row r="1321" spans="1:15" x14ac:dyDescent="0.3">
      <c r="A1321" t="s">
        <v>1389</v>
      </c>
      <c r="B1321" s="2">
        <v>46611</v>
      </c>
      <c r="C1321" t="s">
        <v>31</v>
      </c>
      <c r="D1321" t="str">
        <f t="shared" si="20"/>
        <v>August</v>
      </c>
      <c r="E1321" t="s">
        <v>39</v>
      </c>
      <c r="F1321" t="s">
        <v>53</v>
      </c>
      <c r="G1321" t="s">
        <v>65</v>
      </c>
      <c r="H1321" t="s">
        <v>45</v>
      </c>
      <c r="I1321" t="s">
        <v>42</v>
      </c>
      <c r="J1321" t="s">
        <v>35</v>
      </c>
      <c r="K1321">
        <v>1</v>
      </c>
      <c r="L1321">
        <v>28811.11</v>
      </c>
      <c r="M1321">
        <v>5</v>
      </c>
      <c r="N1321">
        <v>27370.55</v>
      </c>
      <c r="O1321" t="s">
        <v>47</v>
      </c>
    </row>
    <row r="1322" spans="1:15" x14ac:dyDescent="0.3">
      <c r="A1322" t="s">
        <v>1390</v>
      </c>
      <c r="B1322" s="2">
        <v>46612</v>
      </c>
      <c r="C1322" t="s">
        <v>38</v>
      </c>
      <c r="D1322" t="str">
        <f t="shared" si="20"/>
        <v>August</v>
      </c>
      <c r="E1322" t="s">
        <v>32</v>
      </c>
      <c r="F1322" t="s">
        <v>17</v>
      </c>
      <c r="G1322" t="s">
        <v>18</v>
      </c>
      <c r="H1322" t="s">
        <v>19</v>
      </c>
      <c r="I1322" t="s">
        <v>20</v>
      </c>
      <c r="J1322" t="s">
        <v>21</v>
      </c>
      <c r="K1322">
        <v>4</v>
      </c>
      <c r="L1322">
        <v>49548.75</v>
      </c>
      <c r="M1322">
        <v>10</v>
      </c>
      <c r="N1322">
        <v>178375.51</v>
      </c>
      <c r="O1322" t="s">
        <v>47</v>
      </c>
    </row>
    <row r="1323" spans="1:15" x14ac:dyDescent="0.3">
      <c r="A1323" t="s">
        <v>1391</v>
      </c>
      <c r="B1323" s="2">
        <v>46613</v>
      </c>
      <c r="C1323" t="s">
        <v>15</v>
      </c>
      <c r="D1323" t="str">
        <f t="shared" si="20"/>
        <v>August</v>
      </c>
      <c r="E1323" t="s">
        <v>77</v>
      </c>
      <c r="F1323" t="s">
        <v>60</v>
      </c>
      <c r="G1323" t="s">
        <v>70</v>
      </c>
      <c r="H1323" t="s">
        <v>33</v>
      </c>
      <c r="I1323" t="s">
        <v>34</v>
      </c>
      <c r="J1323" t="s">
        <v>43</v>
      </c>
      <c r="K1323">
        <v>2</v>
      </c>
      <c r="L1323">
        <v>32605.51</v>
      </c>
      <c r="M1323">
        <v>10</v>
      </c>
      <c r="N1323">
        <v>58689.93</v>
      </c>
      <c r="O1323" t="s">
        <v>47</v>
      </c>
    </row>
    <row r="1324" spans="1:15" x14ac:dyDescent="0.3">
      <c r="A1324" t="s">
        <v>1392</v>
      </c>
      <c r="B1324" s="2">
        <v>46614</v>
      </c>
      <c r="C1324" t="s">
        <v>38</v>
      </c>
      <c r="D1324" t="str">
        <f t="shared" si="20"/>
        <v>August</v>
      </c>
      <c r="E1324" t="s">
        <v>50</v>
      </c>
      <c r="F1324" t="s">
        <v>25</v>
      </c>
      <c r="G1324" t="s">
        <v>56</v>
      </c>
      <c r="H1324" t="s">
        <v>45</v>
      </c>
      <c r="I1324" t="s">
        <v>20</v>
      </c>
      <c r="J1324" t="s">
        <v>43</v>
      </c>
      <c r="K1324">
        <v>5</v>
      </c>
      <c r="L1324">
        <v>2993.41</v>
      </c>
      <c r="M1324">
        <v>10</v>
      </c>
      <c r="N1324">
        <v>13470.37</v>
      </c>
      <c r="O1324" t="s">
        <v>36</v>
      </c>
    </row>
    <row r="1325" spans="1:15" x14ac:dyDescent="0.3">
      <c r="A1325" t="s">
        <v>1393</v>
      </c>
      <c r="B1325" s="2">
        <v>46615</v>
      </c>
      <c r="C1325" t="s">
        <v>31</v>
      </c>
      <c r="D1325" t="str">
        <f t="shared" si="20"/>
        <v>August</v>
      </c>
      <c r="E1325" t="s">
        <v>16</v>
      </c>
      <c r="F1325" t="s">
        <v>40</v>
      </c>
      <c r="G1325" t="s">
        <v>75</v>
      </c>
      <c r="H1325" t="s">
        <v>33</v>
      </c>
      <c r="I1325" t="s">
        <v>20</v>
      </c>
      <c r="J1325" t="s">
        <v>46</v>
      </c>
      <c r="K1325">
        <v>2</v>
      </c>
      <c r="L1325">
        <v>7761.08</v>
      </c>
      <c r="M1325">
        <v>10</v>
      </c>
      <c r="N1325">
        <v>13969.94</v>
      </c>
      <c r="O1325" t="s">
        <v>47</v>
      </c>
    </row>
    <row r="1326" spans="1:15" x14ac:dyDescent="0.3">
      <c r="A1326" t="s">
        <v>1394</v>
      </c>
      <c r="B1326" s="2">
        <v>46616</v>
      </c>
      <c r="C1326" t="s">
        <v>49</v>
      </c>
      <c r="D1326" t="str">
        <f t="shared" si="20"/>
        <v>August</v>
      </c>
      <c r="E1326" t="s">
        <v>100</v>
      </c>
      <c r="F1326" t="s">
        <v>17</v>
      </c>
      <c r="G1326" t="s">
        <v>67</v>
      </c>
      <c r="H1326" t="s">
        <v>19</v>
      </c>
      <c r="I1326" t="s">
        <v>34</v>
      </c>
      <c r="J1326" t="s">
        <v>35</v>
      </c>
      <c r="K1326">
        <v>4</v>
      </c>
      <c r="L1326">
        <v>59511.26</v>
      </c>
      <c r="M1326">
        <v>5</v>
      </c>
      <c r="N1326">
        <v>226142.78</v>
      </c>
      <c r="O1326" t="s">
        <v>47</v>
      </c>
    </row>
    <row r="1327" spans="1:15" x14ac:dyDescent="0.3">
      <c r="A1327" t="s">
        <v>1395</v>
      </c>
      <c r="B1327" s="2">
        <v>46617</v>
      </c>
      <c r="C1327" t="s">
        <v>38</v>
      </c>
      <c r="D1327" t="str">
        <f t="shared" si="20"/>
        <v>August</v>
      </c>
      <c r="E1327" t="s">
        <v>24</v>
      </c>
      <c r="F1327" t="s">
        <v>53</v>
      </c>
      <c r="G1327" t="s">
        <v>65</v>
      </c>
      <c r="H1327" t="s">
        <v>45</v>
      </c>
      <c r="I1327" t="s">
        <v>42</v>
      </c>
      <c r="J1327" t="s">
        <v>35</v>
      </c>
      <c r="K1327">
        <v>1</v>
      </c>
      <c r="L1327">
        <v>29279.78</v>
      </c>
      <c r="M1327">
        <v>20</v>
      </c>
      <c r="N1327">
        <v>23423.82</v>
      </c>
      <c r="O1327" t="s">
        <v>22</v>
      </c>
    </row>
    <row r="1328" spans="1:15" x14ac:dyDescent="0.3">
      <c r="A1328" t="s">
        <v>1396</v>
      </c>
      <c r="B1328" s="2">
        <v>46618</v>
      </c>
      <c r="C1328" t="s">
        <v>15</v>
      </c>
      <c r="D1328" t="str">
        <f t="shared" si="20"/>
        <v>August</v>
      </c>
      <c r="E1328" t="s">
        <v>24</v>
      </c>
      <c r="F1328" t="s">
        <v>60</v>
      </c>
      <c r="G1328" t="s">
        <v>70</v>
      </c>
      <c r="H1328" t="s">
        <v>19</v>
      </c>
      <c r="I1328" t="s">
        <v>20</v>
      </c>
      <c r="J1328" t="s">
        <v>46</v>
      </c>
      <c r="K1328">
        <v>3</v>
      </c>
      <c r="L1328">
        <v>31661.39</v>
      </c>
      <c r="M1328">
        <v>10</v>
      </c>
      <c r="N1328">
        <v>85485.77</v>
      </c>
      <c r="O1328" t="s">
        <v>22</v>
      </c>
    </row>
    <row r="1329" spans="1:15" x14ac:dyDescent="0.3">
      <c r="A1329" t="s">
        <v>1397</v>
      </c>
      <c r="B1329" s="2">
        <v>46619</v>
      </c>
      <c r="C1329" t="s">
        <v>31</v>
      </c>
      <c r="D1329" t="str">
        <f t="shared" si="20"/>
        <v>August</v>
      </c>
      <c r="E1329" t="s">
        <v>32</v>
      </c>
      <c r="F1329" t="s">
        <v>40</v>
      </c>
      <c r="G1329" t="s">
        <v>41</v>
      </c>
      <c r="H1329" t="s">
        <v>33</v>
      </c>
      <c r="I1329" t="s">
        <v>42</v>
      </c>
      <c r="J1329" t="s">
        <v>21</v>
      </c>
      <c r="K1329">
        <v>4</v>
      </c>
      <c r="L1329">
        <v>7575.31</v>
      </c>
      <c r="M1329">
        <v>10</v>
      </c>
      <c r="N1329">
        <v>27271.11</v>
      </c>
      <c r="O1329" t="s">
        <v>29</v>
      </c>
    </row>
    <row r="1330" spans="1:15" x14ac:dyDescent="0.3">
      <c r="A1330" t="s">
        <v>1398</v>
      </c>
      <c r="B1330" s="2">
        <v>46620</v>
      </c>
      <c r="C1330" t="s">
        <v>15</v>
      </c>
      <c r="D1330" t="str">
        <f t="shared" si="20"/>
        <v>August</v>
      </c>
      <c r="E1330" t="s">
        <v>52</v>
      </c>
      <c r="F1330" t="s">
        <v>17</v>
      </c>
      <c r="G1330" t="s">
        <v>67</v>
      </c>
      <c r="H1330" t="s">
        <v>27</v>
      </c>
      <c r="I1330" t="s">
        <v>20</v>
      </c>
      <c r="J1330" t="s">
        <v>21</v>
      </c>
      <c r="K1330">
        <v>1</v>
      </c>
      <c r="L1330">
        <v>48249.33</v>
      </c>
      <c r="M1330">
        <v>10</v>
      </c>
      <c r="N1330">
        <v>43424.4</v>
      </c>
      <c r="O1330" t="s">
        <v>47</v>
      </c>
    </row>
    <row r="1331" spans="1:15" x14ac:dyDescent="0.3">
      <c r="A1331" t="s">
        <v>1399</v>
      </c>
      <c r="B1331" s="2">
        <v>46621</v>
      </c>
      <c r="C1331" t="s">
        <v>58</v>
      </c>
      <c r="D1331" t="str">
        <f t="shared" si="20"/>
        <v>August</v>
      </c>
      <c r="E1331" t="s">
        <v>100</v>
      </c>
      <c r="F1331" t="s">
        <v>40</v>
      </c>
      <c r="G1331" t="s">
        <v>75</v>
      </c>
      <c r="H1331" t="s">
        <v>27</v>
      </c>
      <c r="I1331" t="s">
        <v>42</v>
      </c>
      <c r="J1331" t="s">
        <v>28</v>
      </c>
      <c r="K1331">
        <v>1</v>
      </c>
      <c r="L1331">
        <v>6884.99</v>
      </c>
      <c r="M1331">
        <v>10</v>
      </c>
      <c r="N1331">
        <v>6196.49</v>
      </c>
      <c r="O1331" t="s">
        <v>47</v>
      </c>
    </row>
    <row r="1332" spans="1:15" x14ac:dyDescent="0.3">
      <c r="A1332" t="s">
        <v>1400</v>
      </c>
      <c r="B1332" s="2">
        <v>46622</v>
      </c>
      <c r="C1332" t="s">
        <v>15</v>
      </c>
      <c r="D1332" t="str">
        <f t="shared" si="20"/>
        <v>August</v>
      </c>
      <c r="E1332" t="s">
        <v>32</v>
      </c>
      <c r="F1332" t="s">
        <v>17</v>
      </c>
      <c r="G1332" t="s">
        <v>63</v>
      </c>
      <c r="H1332" t="s">
        <v>33</v>
      </c>
      <c r="I1332" t="s">
        <v>34</v>
      </c>
      <c r="J1332" t="s">
        <v>35</v>
      </c>
      <c r="K1332">
        <v>1</v>
      </c>
      <c r="L1332">
        <v>65316.49</v>
      </c>
      <c r="M1332">
        <v>15</v>
      </c>
      <c r="N1332">
        <v>55519.01</v>
      </c>
      <c r="O1332" t="s">
        <v>47</v>
      </c>
    </row>
    <row r="1333" spans="1:15" x14ac:dyDescent="0.3">
      <c r="A1333" t="s">
        <v>1401</v>
      </c>
      <c r="B1333" s="2">
        <v>46623</v>
      </c>
      <c r="C1333" t="s">
        <v>31</v>
      </c>
      <c r="D1333" t="str">
        <f t="shared" si="20"/>
        <v>August</v>
      </c>
      <c r="E1333" t="s">
        <v>16</v>
      </c>
      <c r="F1333" t="s">
        <v>60</v>
      </c>
      <c r="G1333" t="s">
        <v>61</v>
      </c>
      <c r="H1333" t="s">
        <v>45</v>
      </c>
      <c r="I1333" t="s">
        <v>42</v>
      </c>
      <c r="J1333" t="s">
        <v>21</v>
      </c>
      <c r="K1333">
        <v>2</v>
      </c>
      <c r="L1333">
        <v>33097.370000000003</v>
      </c>
      <c r="M1333">
        <v>0</v>
      </c>
      <c r="N1333">
        <v>66194.75</v>
      </c>
      <c r="O1333" t="s">
        <v>22</v>
      </c>
    </row>
    <row r="1334" spans="1:15" x14ac:dyDescent="0.3">
      <c r="A1334" t="s">
        <v>1402</v>
      </c>
      <c r="B1334" s="2">
        <v>46624</v>
      </c>
      <c r="C1334" t="s">
        <v>49</v>
      </c>
      <c r="D1334" t="str">
        <f t="shared" si="20"/>
        <v>August</v>
      </c>
      <c r="E1334" t="s">
        <v>77</v>
      </c>
      <c r="F1334" t="s">
        <v>60</v>
      </c>
      <c r="G1334" t="s">
        <v>73</v>
      </c>
      <c r="H1334" t="s">
        <v>27</v>
      </c>
      <c r="I1334" t="s">
        <v>34</v>
      </c>
      <c r="J1334" t="s">
        <v>28</v>
      </c>
      <c r="K1334">
        <v>4</v>
      </c>
      <c r="L1334">
        <v>48004.13</v>
      </c>
      <c r="M1334">
        <v>0</v>
      </c>
      <c r="N1334">
        <v>192016.53</v>
      </c>
      <c r="O1334" t="s">
        <v>47</v>
      </c>
    </row>
    <row r="1335" spans="1:15" x14ac:dyDescent="0.3">
      <c r="A1335" t="s">
        <v>1403</v>
      </c>
      <c r="B1335" s="2">
        <v>46625</v>
      </c>
      <c r="C1335" t="s">
        <v>15</v>
      </c>
      <c r="D1335" t="str">
        <f t="shared" si="20"/>
        <v>August</v>
      </c>
      <c r="E1335" t="s">
        <v>32</v>
      </c>
      <c r="F1335" t="s">
        <v>53</v>
      </c>
      <c r="G1335" t="s">
        <v>105</v>
      </c>
      <c r="H1335" t="s">
        <v>19</v>
      </c>
      <c r="I1335" t="s">
        <v>34</v>
      </c>
      <c r="J1335" t="s">
        <v>21</v>
      </c>
      <c r="K1335">
        <v>3</v>
      </c>
      <c r="L1335">
        <v>37026.75</v>
      </c>
      <c r="M1335">
        <v>10</v>
      </c>
      <c r="N1335">
        <v>99972.22</v>
      </c>
      <c r="O1335" t="s">
        <v>36</v>
      </c>
    </row>
    <row r="1336" spans="1:15" x14ac:dyDescent="0.3">
      <c r="A1336" t="s">
        <v>1404</v>
      </c>
      <c r="B1336" s="2">
        <v>46626</v>
      </c>
      <c r="C1336" t="s">
        <v>38</v>
      </c>
      <c r="D1336" t="str">
        <f t="shared" si="20"/>
        <v>August</v>
      </c>
      <c r="E1336" t="s">
        <v>32</v>
      </c>
      <c r="F1336" t="s">
        <v>17</v>
      </c>
      <c r="G1336" t="s">
        <v>123</v>
      </c>
      <c r="H1336" t="s">
        <v>33</v>
      </c>
      <c r="I1336" t="s">
        <v>34</v>
      </c>
      <c r="J1336" t="s">
        <v>43</v>
      </c>
      <c r="K1336">
        <v>5</v>
      </c>
      <c r="L1336">
        <v>68735.27</v>
      </c>
      <c r="M1336">
        <v>5</v>
      </c>
      <c r="N1336">
        <v>326492.55</v>
      </c>
      <c r="O1336" t="s">
        <v>22</v>
      </c>
    </row>
    <row r="1337" spans="1:15" x14ac:dyDescent="0.3">
      <c r="A1337" t="s">
        <v>1405</v>
      </c>
      <c r="B1337" s="2">
        <v>46627</v>
      </c>
      <c r="C1337" t="s">
        <v>15</v>
      </c>
      <c r="D1337" t="str">
        <f t="shared" si="20"/>
        <v>August</v>
      </c>
      <c r="E1337" t="s">
        <v>16</v>
      </c>
      <c r="F1337" t="s">
        <v>40</v>
      </c>
      <c r="G1337" t="s">
        <v>118</v>
      </c>
      <c r="H1337" t="s">
        <v>19</v>
      </c>
      <c r="I1337" t="s">
        <v>34</v>
      </c>
      <c r="J1337" t="s">
        <v>43</v>
      </c>
      <c r="K1337">
        <v>1</v>
      </c>
      <c r="L1337">
        <v>5669.07</v>
      </c>
      <c r="M1337">
        <v>0</v>
      </c>
      <c r="N1337">
        <v>5669.07</v>
      </c>
      <c r="O1337" t="s">
        <v>47</v>
      </c>
    </row>
    <row r="1338" spans="1:15" x14ac:dyDescent="0.3">
      <c r="A1338" t="s">
        <v>1406</v>
      </c>
      <c r="B1338" s="2">
        <v>46628</v>
      </c>
      <c r="C1338" t="s">
        <v>58</v>
      </c>
      <c r="D1338" t="str">
        <f t="shared" si="20"/>
        <v>August</v>
      </c>
      <c r="E1338" t="s">
        <v>69</v>
      </c>
      <c r="F1338" t="s">
        <v>40</v>
      </c>
      <c r="G1338" t="s">
        <v>41</v>
      </c>
      <c r="H1338" t="s">
        <v>27</v>
      </c>
      <c r="I1338" t="s">
        <v>20</v>
      </c>
      <c r="J1338" t="s">
        <v>46</v>
      </c>
      <c r="K1338">
        <v>1</v>
      </c>
      <c r="L1338">
        <v>7820.94</v>
      </c>
      <c r="M1338">
        <v>15</v>
      </c>
      <c r="N1338">
        <v>6647.8</v>
      </c>
      <c r="O1338" t="s">
        <v>47</v>
      </c>
    </row>
    <row r="1339" spans="1:15" x14ac:dyDescent="0.3">
      <c r="A1339" t="s">
        <v>1407</v>
      </c>
      <c r="B1339" s="2">
        <v>46629</v>
      </c>
      <c r="C1339" t="s">
        <v>31</v>
      </c>
      <c r="D1339" t="str">
        <f t="shared" si="20"/>
        <v>August</v>
      </c>
      <c r="E1339" t="s">
        <v>16</v>
      </c>
      <c r="F1339" t="s">
        <v>53</v>
      </c>
      <c r="G1339" t="s">
        <v>65</v>
      </c>
      <c r="H1339" t="s">
        <v>19</v>
      </c>
      <c r="I1339" t="s">
        <v>34</v>
      </c>
      <c r="J1339" t="s">
        <v>43</v>
      </c>
      <c r="K1339">
        <v>3</v>
      </c>
      <c r="L1339">
        <v>39661.78</v>
      </c>
      <c r="M1339">
        <v>15</v>
      </c>
      <c r="N1339">
        <v>101137.54</v>
      </c>
      <c r="O1339" t="s">
        <v>29</v>
      </c>
    </row>
    <row r="1340" spans="1:15" x14ac:dyDescent="0.3">
      <c r="A1340" t="s">
        <v>1408</v>
      </c>
      <c r="B1340" s="2">
        <v>46630</v>
      </c>
      <c r="C1340" t="s">
        <v>49</v>
      </c>
      <c r="D1340" t="str">
        <f t="shared" si="20"/>
        <v>August</v>
      </c>
      <c r="E1340" t="s">
        <v>16</v>
      </c>
      <c r="F1340" t="s">
        <v>17</v>
      </c>
      <c r="G1340" t="s">
        <v>63</v>
      </c>
      <c r="H1340" t="s">
        <v>27</v>
      </c>
      <c r="I1340" t="s">
        <v>34</v>
      </c>
      <c r="J1340" t="s">
        <v>35</v>
      </c>
      <c r="K1340">
        <v>2</v>
      </c>
      <c r="L1340">
        <v>55183.39</v>
      </c>
      <c r="M1340">
        <v>0</v>
      </c>
      <c r="N1340">
        <v>110366.77</v>
      </c>
      <c r="O1340" t="s">
        <v>22</v>
      </c>
    </row>
    <row r="1341" spans="1:15" x14ac:dyDescent="0.3">
      <c r="A1341" t="s">
        <v>1409</v>
      </c>
      <c r="B1341" s="2">
        <v>46631</v>
      </c>
      <c r="C1341" t="s">
        <v>31</v>
      </c>
      <c r="D1341" t="str">
        <f t="shared" si="20"/>
        <v>September</v>
      </c>
      <c r="E1341" t="s">
        <v>32</v>
      </c>
      <c r="F1341" t="s">
        <v>53</v>
      </c>
      <c r="G1341" t="s">
        <v>65</v>
      </c>
      <c r="H1341" t="s">
        <v>45</v>
      </c>
      <c r="I1341" t="s">
        <v>42</v>
      </c>
      <c r="J1341" t="s">
        <v>35</v>
      </c>
      <c r="K1341">
        <v>4</v>
      </c>
      <c r="L1341">
        <v>29559.96</v>
      </c>
      <c r="M1341">
        <v>15</v>
      </c>
      <c r="N1341">
        <v>100503.85</v>
      </c>
      <c r="O1341" t="s">
        <v>22</v>
      </c>
    </row>
    <row r="1342" spans="1:15" x14ac:dyDescent="0.3">
      <c r="A1342" t="s">
        <v>1410</v>
      </c>
      <c r="B1342" s="2">
        <v>46632</v>
      </c>
      <c r="C1342" t="s">
        <v>49</v>
      </c>
      <c r="D1342" t="str">
        <f t="shared" si="20"/>
        <v>September</v>
      </c>
      <c r="E1342" t="s">
        <v>69</v>
      </c>
      <c r="F1342" t="s">
        <v>25</v>
      </c>
      <c r="G1342" t="s">
        <v>26</v>
      </c>
      <c r="H1342" t="s">
        <v>33</v>
      </c>
      <c r="I1342" t="s">
        <v>34</v>
      </c>
      <c r="J1342" t="s">
        <v>43</v>
      </c>
      <c r="K1342">
        <v>1</v>
      </c>
      <c r="L1342">
        <v>1999.69</v>
      </c>
      <c r="M1342">
        <v>15</v>
      </c>
      <c r="N1342">
        <v>1699.74</v>
      </c>
      <c r="O1342" t="s">
        <v>47</v>
      </c>
    </row>
    <row r="1343" spans="1:15" x14ac:dyDescent="0.3">
      <c r="A1343" t="s">
        <v>1411</v>
      </c>
      <c r="B1343" s="2">
        <v>46633</v>
      </c>
      <c r="C1343" t="s">
        <v>15</v>
      </c>
      <c r="D1343" t="str">
        <f t="shared" si="20"/>
        <v>September</v>
      </c>
      <c r="E1343" t="s">
        <v>50</v>
      </c>
      <c r="F1343" t="s">
        <v>60</v>
      </c>
      <c r="G1343" t="s">
        <v>73</v>
      </c>
      <c r="H1343" t="s">
        <v>45</v>
      </c>
      <c r="I1343" t="s">
        <v>42</v>
      </c>
      <c r="J1343" t="s">
        <v>21</v>
      </c>
      <c r="K1343">
        <v>3</v>
      </c>
      <c r="L1343">
        <v>38465.57</v>
      </c>
      <c r="M1343">
        <v>10</v>
      </c>
      <c r="N1343">
        <v>103857.05</v>
      </c>
      <c r="O1343" t="s">
        <v>47</v>
      </c>
    </row>
    <row r="1344" spans="1:15" x14ac:dyDescent="0.3">
      <c r="A1344" t="s">
        <v>1412</v>
      </c>
      <c r="B1344" s="2">
        <v>46634</v>
      </c>
      <c r="C1344" t="s">
        <v>15</v>
      </c>
      <c r="D1344" t="str">
        <f t="shared" si="20"/>
        <v>September</v>
      </c>
      <c r="E1344" t="s">
        <v>77</v>
      </c>
      <c r="F1344" t="s">
        <v>40</v>
      </c>
      <c r="G1344" t="s">
        <v>115</v>
      </c>
      <c r="H1344" t="s">
        <v>45</v>
      </c>
      <c r="I1344" t="s">
        <v>34</v>
      </c>
      <c r="J1344" t="s">
        <v>46</v>
      </c>
      <c r="K1344">
        <v>2</v>
      </c>
      <c r="L1344">
        <v>8045.04</v>
      </c>
      <c r="M1344">
        <v>0</v>
      </c>
      <c r="N1344">
        <v>16090.08</v>
      </c>
      <c r="O1344" t="s">
        <v>47</v>
      </c>
    </row>
    <row r="1345" spans="1:15" x14ac:dyDescent="0.3">
      <c r="A1345" t="s">
        <v>1413</v>
      </c>
      <c r="B1345" s="2">
        <v>46635</v>
      </c>
      <c r="C1345" t="s">
        <v>15</v>
      </c>
      <c r="D1345" t="str">
        <f t="shared" si="20"/>
        <v>September</v>
      </c>
      <c r="E1345" t="s">
        <v>72</v>
      </c>
      <c r="F1345" t="s">
        <v>60</v>
      </c>
      <c r="G1345" t="s">
        <v>70</v>
      </c>
      <c r="H1345" t="s">
        <v>45</v>
      </c>
      <c r="I1345" t="s">
        <v>34</v>
      </c>
      <c r="J1345" t="s">
        <v>35</v>
      </c>
      <c r="K1345">
        <v>1</v>
      </c>
      <c r="L1345">
        <v>32314.77</v>
      </c>
      <c r="M1345">
        <v>0</v>
      </c>
      <c r="N1345">
        <v>32314.77</v>
      </c>
      <c r="O1345" t="s">
        <v>36</v>
      </c>
    </row>
    <row r="1346" spans="1:15" x14ac:dyDescent="0.3">
      <c r="A1346" t="s">
        <v>1414</v>
      </c>
      <c r="B1346" s="2">
        <v>46636</v>
      </c>
      <c r="C1346" t="s">
        <v>15</v>
      </c>
      <c r="D1346" t="str">
        <f t="shared" si="20"/>
        <v>September</v>
      </c>
      <c r="E1346" t="s">
        <v>100</v>
      </c>
      <c r="F1346" t="s">
        <v>25</v>
      </c>
      <c r="G1346" t="s">
        <v>56</v>
      </c>
      <c r="H1346" t="s">
        <v>27</v>
      </c>
      <c r="I1346" t="s">
        <v>20</v>
      </c>
      <c r="J1346" t="s">
        <v>43</v>
      </c>
      <c r="K1346">
        <v>3</v>
      </c>
      <c r="L1346">
        <v>2713.18</v>
      </c>
      <c r="M1346">
        <v>15</v>
      </c>
      <c r="N1346">
        <v>6918.62</v>
      </c>
      <c r="O1346" t="s">
        <v>36</v>
      </c>
    </row>
    <row r="1347" spans="1:15" x14ac:dyDescent="0.3">
      <c r="A1347" t="s">
        <v>1415</v>
      </c>
      <c r="B1347" s="2">
        <v>46637</v>
      </c>
      <c r="C1347" t="s">
        <v>31</v>
      </c>
      <c r="D1347" t="str">
        <f t="shared" ref="D1347:D1410" si="21">TEXT(B1347,"mmmm")</f>
        <v>September</v>
      </c>
      <c r="E1347" t="s">
        <v>50</v>
      </c>
      <c r="F1347" t="s">
        <v>53</v>
      </c>
      <c r="G1347" t="s">
        <v>105</v>
      </c>
      <c r="H1347" t="s">
        <v>33</v>
      </c>
      <c r="I1347" t="s">
        <v>20</v>
      </c>
      <c r="J1347" t="s">
        <v>28</v>
      </c>
      <c r="K1347">
        <v>5</v>
      </c>
      <c r="L1347">
        <v>37127.85</v>
      </c>
      <c r="M1347">
        <v>15</v>
      </c>
      <c r="N1347">
        <v>157793.37</v>
      </c>
      <c r="O1347" t="s">
        <v>36</v>
      </c>
    </row>
    <row r="1348" spans="1:15" x14ac:dyDescent="0.3">
      <c r="A1348" t="s">
        <v>1416</v>
      </c>
      <c r="B1348" s="2">
        <v>46638</v>
      </c>
      <c r="C1348" t="s">
        <v>38</v>
      </c>
      <c r="D1348" t="str">
        <f t="shared" si="21"/>
        <v>September</v>
      </c>
      <c r="E1348" t="s">
        <v>16</v>
      </c>
      <c r="F1348" t="s">
        <v>40</v>
      </c>
      <c r="G1348" t="s">
        <v>118</v>
      </c>
      <c r="H1348" t="s">
        <v>33</v>
      </c>
      <c r="I1348" t="s">
        <v>20</v>
      </c>
      <c r="J1348" t="s">
        <v>46</v>
      </c>
      <c r="K1348">
        <v>4</v>
      </c>
      <c r="L1348">
        <v>5571.35</v>
      </c>
      <c r="M1348">
        <v>0</v>
      </c>
      <c r="N1348">
        <v>22285.41</v>
      </c>
      <c r="O1348" t="s">
        <v>36</v>
      </c>
    </row>
    <row r="1349" spans="1:15" x14ac:dyDescent="0.3">
      <c r="A1349" t="s">
        <v>1417</v>
      </c>
      <c r="B1349" s="2">
        <v>46639</v>
      </c>
      <c r="C1349" t="s">
        <v>58</v>
      </c>
      <c r="D1349" t="str">
        <f t="shared" si="21"/>
        <v>September</v>
      </c>
      <c r="E1349" t="s">
        <v>16</v>
      </c>
      <c r="F1349" t="s">
        <v>53</v>
      </c>
      <c r="G1349" t="s">
        <v>129</v>
      </c>
      <c r="H1349" t="s">
        <v>45</v>
      </c>
      <c r="I1349" t="s">
        <v>20</v>
      </c>
      <c r="J1349" t="s">
        <v>28</v>
      </c>
      <c r="K1349">
        <v>4</v>
      </c>
      <c r="L1349">
        <v>30341.88</v>
      </c>
      <c r="M1349">
        <v>15</v>
      </c>
      <c r="N1349">
        <v>103162.39</v>
      </c>
      <c r="O1349" t="s">
        <v>36</v>
      </c>
    </row>
    <row r="1350" spans="1:15" x14ac:dyDescent="0.3">
      <c r="A1350" t="s">
        <v>1418</v>
      </c>
      <c r="B1350" s="2">
        <v>46640</v>
      </c>
      <c r="C1350" t="s">
        <v>58</v>
      </c>
      <c r="D1350" t="str">
        <f t="shared" si="21"/>
        <v>September</v>
      </c>
      <c r="E1350" t="s">
        <v>16</v>
      </c>
      <c r="F1350" t="s">
        <v>17</v>
      </c>
      <c r="G1350" t="s">
        <v>123</v>
      </c>
      <c r="H1350" t="s">
        <v>33</v>
      </c>
      <c r="I1350" t="s">
        <v>20</v>
      </c>
      <c r="J1350" t="s">
        <v>43</v>
      </c>
      <c r="K1350">
        <v>2</v>
      </c>
      <c r="L1350">
        <v>53035.87</v>
      </c>
      <c r="M1350">
        <v>0</v>
      </c>
      <c r="N1350">
        <v>106071.74</v>
      </c>
      <c r="O1350" t="s">
        <v>36</v>
      </c>
    </row>
    <row r="1351" spans="1:15" x14ac:dyDescent="0.3">
      <c r="A1351" t="s">
        <v>1419</v>
      </c>
      <c r="B1351" s="2">
        <v>46641</v>
      </c>
      <c r="C1351" t="s">
        <v>49</v>
      </c>
      <c r="D1351" t="str">
        <f t="shared" si="21"/>
        <v>September</v>
      </c>
      <c r="E1351" t="s">
        <v>16</v>
      </c>
      <c r="F1351" t="s">
        <v>60</v>
      </c>
      <c r="G1351" t="s">
        <v>73</v>
      </c>
      <c r="H1351" t="s">
        <v>33</v>
      </c>
      <c r="I1351" t="s">
        <v>42</v>
      </c>
      <c r="J1351" t="s">
        <v>46</v>
      </c>
      <c r="K1351">
        <v>4</v>
      </c>
      <c r="L1351">
        <v>50015.97</v>
      </c>
      <c r="M1351">
        <v>10</v>
      </c>
      <c r="N1351">
        <v>180057.5</v>
      </c>
      <c r="O1351" t="s">
        <v>22</v>
      </c>
    </row>
    <row r="1352" spans="1:15" x14ac:dyDescent="0.3">
      <c r="A1352" t="s">
        <v>1420</v>
      </c>
      <c r="B1352" s="2">
        <v>46642</v>
      </c>
      <c r="C1352" t="s">
        <v>15</v>
      </c>
      <c r="D1352" t="str">
        <f t="shared" si="21"/>
        <v>September</v>
      </c>
      <c r="E1352" t="s">
        <v>50</v>
      </c>
      <c r="F1352" t="s">
        <v>40</v>
      </c>
      <c r="G1352" t="s">
        <v>75</v>
      </c>
      <c r="H1352" t="s">
        <v>45</v>
      </c>
      <c r="I1352" t="s">
        <v>20</v>
      </c>
      <c r="J1352" t="s">
        <v>21</v>
      </c>
      <c r="K1352">
        <v>1</v>
      </c>
      <c r="L1352">
        <v>6529.61</v>
      </c>
      <c r="M1352">
        <v>0</v>
      </c>
      <c r="N1352">
        <v>6529.61</v>
      </c>
      <c r="O1352" t="s">
        <v>36</v>
      </c>
    </row>
    <row r="1353" spans="1:15" x14ac:dyDescent="0.3">
      <c r="A1353" t="s">
        <v>1421</v>
      </c>
      <c r="B1353" s="2">
        <v>46643</v>
      </c>
      <c r="C1353" t="s">
        <v>31</v>
      </c>
      <c r="D1353" t="str">
        <f t="shared" si="21"/>
        <v>September</v>
      </c>
      <c r="E1353" t="s">
        <v>32</v>
      </c>
      <c r="F1353" t="s">
        <v>17</v>
      </c>
      <c r="G1353" t="s">
        <v>18</v>
      </c>
      <c r="H1353" t="s">
        <v>33</v>
      </c>
      <c r="I1353" t="s">
        <v>20</v>
      </c>
      <c r="J1353" t="s">
        <v>28</v>
      </c>
      <c r="K1353">
        <v>1</v>
      </c>
      <c r="L1353">
        <v>59592.12</v>
      </c>
      <c r="M1353">
        <v>5</v>
      </c>
      <c r="N1353">
        <v>56612.52</v>
      </c>
      <c r="O1353" t="s">
        <v>36</v>
      </c>
    </row>
    <row r="1354" spans="1:15" x14ac:dyDescent="0.3">
      <c r="A1354" t="s">
        <v>1422</v>
      </c>
      <c r="B1354" s="2">
        <v>46644</v>
      </c>
      <c r="C1354" t="s">
        <v>15</v>
      </c>
      <c r="D1354" t="str">
        <f t="shared" si="21"/>
        <v>September</v>
      </c>
      <c r="E1354" t="s">
        <v>77</v>
      </c>
      <c r="F1354" t="s">
        <v>17</v>
      </c>
      <c r="G1354" t="s">
        <v>123</v>
      </c>
      <c r="H1354" t="s">
        <v>45</v>
      </c>
      <c r="I1354" t="s">
        <v>20</v>
      </c>
      <c r="J1354" t="s">
        <v>21</v>
      </c>
      <c r="K1354">
        <v>1</v>
      </c>
      <c r="L1354">
        <v>53136.33</v>
      </c>
      <c r="M1354">
        <v>5</v>
      </c>
      <c r="N1354">
        <v>50479.51</v>
      </c>
      <c r="O1354" t="s">
        <v>47</v>
      </c>
    </row>
    <row r="1355" spans="1:15" x14ac:dyDescent="0.3">
      <c r="A1355" t="s">
        <v>1423</v>
      </c>
      <c r="B1355" s="2">
        <v>46645</v>
      </c>
      <c r="C1355" t="s">
        <v>31</v>
      </c>
      <c r="D1355" t="str">
        <f t="shared" si="21"/>
        <v>September</v>
      </c>
      <c r="E1355" t="s">
        <v>24</v>
      </c>
      <c r="F1355" t="s">
        <v>17</v>
      </c>
      <c r="G1355" t="s">
        <v>123</v>
      </c>
      <c r="H1355" t="s">
        <v>19</v>
      </c>
      <c r="I1355" t="s">
        <v>20</v>
      </c>
      <c r="J1355" t="s">
        <v>28</v>
      </c>
      <c r="K1355">
        <v>3</v>
      </c>
      <c r="L1355">
        <v>72283.25</v>
      </c>
      <c r="M1355">
        <v>10</v>
      </c>
      <c r="N1355">
        <v>195164.78</v>
      </c>
      <c r="O1355" t="s">
        <v>47</v>
      </c>
    </row>
    <row r="1356" spans="1:15" x14ac:dyDescent="0.3">
      <c r="A1356" t="s">
        <v>1424</v>
      </c>
      <c r="B1356" s="2">
        <v>46646</v>
      </c>
      <c r="C1356" t="s">
        <v>31</v>
      </c>
      <c r="D1356" t="str">
        <f t="shared" si="21"/>
        <v>September</v>
      </c>
      <c r="E1356" t="s">
        <v>39</v>
      </c>
      <c r="F1356" t="s">
        <v>17</v>
      </c>
      <c r="G1356" t="s">
        <v>63</v>
      </c>
      <c r="H1356" t="s">
        <v>19</v>
      </c>
      <c r="I1356" t="s">
        <v>42</v>
      </c>
      <c r="J1356" t="s">
        <v>46</v>
      </c>
      <c r="K1356">
        <v>4</v>
      </c>
      <c r="L1356">
        <v>61842.18</v>
      </c>
      <c r="M1356">
        <v>0</v>
      </c>
      <c r="N1356">
        <v>247368.71</v>
      </c>
      <c r="O1356" t="s">
        <v>47</v>
      </c>
    </row>
    <row r="1357" spans="1:15" x14ac:dyDescent="0.3">
      <c r="A1357" t="s">
        <v>1425</v>
      </c>
      <c r="B1357" s="2">
        <v>46647</v>
      </c>
      <c r="C1357" t="s">
        <v>58</v>
      </c>
      <c r="D1357" t="str">
        <f t="shared" si="21"/>
        <v>September</v>
      </c>
      <c r="E1357" t="s">
        <v>16</v>
      </c>
      <c r="F1357" t="s">
        <v>17</v>
      </c>
      <c r="G1357" t="s">
        <v>67</v>
      </c>
      <c r="H1357" t="s">
        <v>19</v>
      </c>
      <c r="I1357" t="s">
        <v>20</v>
      </c>
      <c r="J1357" t="s">
        <v>43</v>
      </c>
      <c r="K1357">
        <v>5</v>
      </c>
      <c r="L1357">
        <v>45946.15</v>
      </c>
      <c r="M1357">
        <v>0</v>
      </c>
      <c r="N1357">
        <v>229730.76</v>
      </c>
      <c r="O1357" t="s">
        <v>47</v>
      </c>
    </row>
    <row r="1358" spans="1:15" x14ac:dyDescent="0.3">
      <c r="A1358" t="s">
        <v>1426</v>
      </c>
      <c r="B1358" s="2">
        <v>46648</v>
      </c>
      <c r="C1358" t="s">
        <v>58</v>
      </c>
      <c r="D1358" t="str">
        <f t="shared" si="21"/>
        <v>September</v>
      </c>
      <c r="E1358" t="s">
        <v>32</v>
      </c>
      <c r="F1358" t="s">
        <v>60</v>
      </c>
      <c r="G1358" t="s">
        <v>73</v>
      </c>
      <c r="H1358" t="s">
        <v>27</v>
      </c>
      <c r="I1358" t="s">
        <v>42</v>
      </c>
      <c r="J1358" t="s">
        <v>35</v>
      </c>
      <c r="K1358">
        <v>5</v>
      </c>
      <c r="L1358">
        <v>45585.760000000002</v>
      </c>
      <c r="M1358">
        <v>0</v>
      </c>
      <c r="N1358">
        <v>227928.78</v>
      </c>
      <c r="O1358" t="s">
        <v>29</v>
      </c>
    </row>
    <row r="1359" spans="1:15" x14ac:dyDescent="0.3">
      <c r="A1359" t="s">
        <v>1427</v>
      </c>
      <c r="B1359" s="2">
        <v>46649</v>
      </c>
      <c r="C1359" t="s">
        <v>15</v>
      </c>
      <c r="D1359" t="str">
        <f t="shared" si="21"/>
        <v>September</v>
      </c>
      <c r="E1359" t="s">
        <v>69</v>
      </c>
      <c r="F1359" t="s">
        <v>17</v>
      </c>
      <c r="G1359" t="s">
        <v>63</v>
      </c>
      <c r="H1359" t="s">
        <v>19</v>
      </c>
      <c r="I1359" t="s">
        <v>34</v>
      </c>
      <c r="J1359" t="s">
        <v>21</v>
      </c>
      <c r="K1359">
        <v>4</v>
      </c>
      <c r="L1359">
        <v>52406.49</v>
      </c>
      <c r="M1359">
        <v>0</v>
      </c>
      <c r="N1359">
        <v>209625.96</v>
      </c>
      <c r="O1359" t="s">
        <v>47</v>
      </c>
    </row>
    <row r="1360" spans="1:15" x14ac:dyDescent="0.3">
      <c r="A1360" t="s">
        <v>1428</v>
      </c>
      <c r="B1360" s="2">
        <v>46650</v>
      </c>
      <c r="C1360" t="s">
        <v>31</v>
      </c>
      <c r="D1360" t="str">
        <f t="shared" si="21"/>
        <v>September</v>
      </c>
      <c r="E1360" t="s">
        <v>16</v>
      </c>
      <c r="F1360" t="s">
        <v>53</v>
      </c>
      <c r="G1360" t="s">
        <v>129</v>
      </c>
      <c r="H1360" t="s">
        <v>19</v>
      </c>
      <c r="I1360" t="s">
        <v>42</v>
      </c>
      <c r="J1360" t="s">
        <v>43</v>
      </c>
      <c r="K1360">
        <v>1</v>
      </c>
      <c r="L1360">
        <v>39022.620000000003</v>
      </c>
      <c r="M1360">
        <v>0</v>
      </c>
      <c r="N1360">
        <v>39022.620000000003</v>
      </c>
      <c r="O1360" t="s">
        <v>47</v>
      </c>
    </row>
    <row r="1361" spans="1:15" x14ac:dyDescent="0.3">
      <c r="A1361" t="s">
        <v>1429</v>
      </c>
      <c r="B1361" s="2">
        <v>46651</v>
      </c>
      <c r="C1361" t="s">
        <v>15</v>
      </c>
      <c r="D1361" t="str">
        <f t="shared" si="21"/>
        <v>September</v>
      </c>
      <c r="E1361" t="s">
        <v>16</v>
      </c>
      <c r="F1361" t="s">
        <v>53</v>
      </c>
      <c r="G1361" t="s">
        <v>129</v>
      </c>
      <c r="H1361" t="s">
        <v>27</v>
      </c>
      <c r="I1361" t="s">
        <v>34</v>
      </c>
      <c r="J1361" t="s">
        <v>35</v>
      </c>
      <c r="K1361">
        <v>5</v>
      </c>
      <c r="L1361">
        <v>36560.15</v>
      </c>
      <c r="M1361">
        <v>5</v>
      </c>
      <c r="N1361">
        <v>173660.69</v>
      </c>
      <c r="O1361" t="s">
        <v>47</v>
      </c>
    </row>
    <row r="1362" spans="1:15" x14ac:dyDescent="0.3">
      <c r="A1362" t="s">
        <v>1430</v>
      </c>
      <c r="B1362" s="2">
        <v>46652</v>
      </c>
      <c r="C1362" t="s">
        <v>49</v>
      </c>
      <c r="D1362" t="str">
        <f t="shared" si="21"/>
        <v>September</v>
      </c>
      <c r="E1362" t="s">
        <v>24</v>
      </c>
      <c r="F1362" t="s">
        <v>40</v>
      </c>
      <c r="G1362" t="s">
        <v>115</v>
      </c>
      <c r="H1362" t="s">
        <v>19</v>
      </c>
      <c r="I1362" t="s">
        <v>42</v>
      </c>
      <c r="J1362" t="s">
        <v>43</v>
      </c>
      <c r="K1362">
        <v>3</v>
      </c>
      <c r="L1362">
        <v>6890.22</v>
      </c>
      <c r="M1362">
        <v>15</v>
      </c>
      <c r="N1362">
        <v>17570.060000000001</v>
      </c>
      <c r="O1362" t="s">
        <v>47</v>
      </c>
    </row>
    <row r="1363" spans="1:15" x14ac:dyDescent="0.3">
      <c r="A1363" t="s">
        <v>1431</v>
      </c>
      <c r="B1363" s="2">
        <v>46653</v>
      </c>
      <c r="C1363" t="s">
        <v>58</v>
      </c>
      <c r="D1363" t="str">
        <f t="shared" si="21"/>
        <v>September</v>
      </c>
      <c r="E1363" t="s">
        <v>100</v>
      </c>
      <c r="F1363" t="s">
        <v>25</v>
      </c>
      <c r="G1363" t="s">
        <v>92</v>
      </c>
      <c r="H1363" t="s">
        <v>27</v>
      </c>
      <c r="I1363" t="s">
        <v>42</v>
      </c>
      <c r="J1363" t="s">
        <v>21</v>
      </c>
      <c r="K1363">
        <v>3</v>
      </c>
      <c r="L1363">
        <v>2240.11</v>
      </c>
      <c r="M1363">
        <v>0</v>
      </c>
      <c r="N1363">
        <v>6720.33</v>
      </c>
      <c r="O1363" t="s">
        <v>47</v>
      </c>
    </row>
    <row r="1364" spans="1:15" x14ac:dyDescent="0.3">
      <c r="A1364" t="s">
        <v>1432</v>
      </c>
      <c r="B1364" s="2">
        <v>46654</v>
      </c>
      <c r="C1364" t="s">
        <v>49</v>
      </c>
      <c r="D1364" t="str">
        <f t="shared" si="21"/>
        <v>September</v>
      </c>
      <c r="E1364" t="s">
        <v>69</v>
      </c>
      <c r="F1364" t="s">
        <v>25</v>
      </c>
      <c r="G1364" t="s">
        <v>56</v>
      </c>
      <c r="H1364" t="s">
        <v>33</v>
      </c>
      <c r="I1364" t="s">
        <v>20</v>
      </c>
      <c r="J1364" t="s">
        <v>35</v>
      </c>
      <c r="K1364">
        <v>1</v>
      </c>
      <c r="L1364">
        <v>2028.12</v>
      </c>
      <c r="M1364">
        <v>10</v>
      </c>
      <c r="N1364">
        <v>1825.31</v>
      </c>
      <c r="O1364" t="s">
        <v>47</v>
      </c>
    </row>
    <row r="1365" spans="1:15" x14ac:dyDescent="0.3">
      <c r="A1365" t="s">
        <v>1433</v>
      </c>
      <c r="B1365" s="2">
        <v>46655</v>
      </c>
      <c r="C1365" t="s">
        <v>38</v>
      </c>
      <c r="D1365" t="str">
        <f t="shared" si="21"/>
        <v>September</v>
      </c>
      <c r="E1365" t="s">
        <v>52</v>
      </c>
      <c r="F1365" t="s">
        <v>40</v>
      </c>
      <c r="G1365" t="s">
        <v>75</v>
      </c>
      <c r="H1365" t="s">
        <v>27</v>
      </c>
      <c r="I1365" t="s">
        <v>34</v>
      </c>
      <c r="J1365" t="s">
        <v>21</v>
      </c>
      <c r="K1365">
        <v>1</v>
      </c>
      <c r="L1365">
        <v>6355.2</v>
      </c>
      <c r="M1365">
        <v>15</v>
      </c>
      <c r="N1365">
        <v>5401.92</v>
      </c>
      <c r="O1365" t="s">
        <v>29</v>
      </c>
    </row>
    <row r="1366" spans="1:15" x14ac:dyDescent="0.3">
      <c r="A1366" t="s">
        <v>1434</v>
      </c>
      <c r="B1366" s="2">
        <v>46656</v>
      </c>
      <c r="C1366" t="s">
        <v>58</v>
      </c>
      <c r="D1366" t="str">
        <f t="shared" si="21"/>
        <v>September</v>
      </c>
      <c r="E1366" t="s">
        <v>16</v>
      </c>
      <c r="F1366" t="s">
        <v>60</v>
      </c>
      <c r="G1366" t="s">
        <v>70</v>
      </c>
      <c r="H1366" t="s">
        <v>19</v>
      </c>
      <c r="I1366" t="s">
        <v>20</v>
      </c>
      <c r="J1366" t="s">
        <v>35</v>
      </c>
      <c r="K1366">
        <v>3</v>
      </c>
      <c r="L1366">
        <v>32809.25</v>
      </c>
      <c r="M1366">
        <v>10</v>
      </c>
      <c r="N1366">
        <v>88584.97</v>
      </c>
      <c r="O1366" t="s">
        <v>47</v>
      </c>
    </row>
    <row r="1367" spans="1:15" x14ac:dyDescent="0.3">
      <c r="A1367" t="s">
        <v>1435</v>
      </c>
      <c r="B1367" s="2">
        <v>46657</v>
      </c>
      <c r="C1367" t="s">
        <v>38</v>
      </c>
      <c r="D1367" t="str">
        <f t="shared" si="21"/>
        <v>September</v>
      </c>
      <c r="E1367" t="s">
        <v>77</v>
      </c>
      <c r="F1367" t="s">
        <v>40</v>
      </c>
      <c r="G1367" t="s">
        <v>115</v>
      </c>
      <c r="H1367" t="s">
        <v>19</v>
      </c>
      <c r="I1367" t="s">
        <v>42</v>
      </c>
      <c r="J1367" t="s">
        <v>43</v>
      </c>
      <c r="K1367">
        <v>4</v>
      </c>
      <c r="L1367">
        <v>6205.86</v>
      </c>
      <c r="M1367">
        <v>20</v>
      </c>
      <c r="N1367">
        <v>19858.75</v>
      </c>
      <c r="O1367" t="s">
        <v>22</v>
      </c>
    </row>
    <row r="1368" spans="1:15" x14ac:dyDescent="0.3">
      <c r="A1368" t="s">
        <v>1436</v>
      </c>
      <c r="B1368" s="2">
        <v>46658</v>
      </c>
      <c r="C1368" t="s">
        <v>49</v>
      </c>
      <c r="D1368" t="str">
        <f t="shared" si="21"/>
        <v>September</v>
      </c>
      <c r="E1368" t="s">
        <v>50</v>
      </c>
      <c r="F1368" t="s">
        <v>60</v>
      </c>
      <c r="G1368" t="s">
        <v>78</v>
      </c>
      <c r="H1368" t="s">
        <v>33</v>
      </c>
      <c r="I1368" t="s">
        <v>42</v>
      </c>
      <c r="J1368" t="s">
        <v>46</v>
      </c>
      <c r="K1368">
        <v>4</v>
      </c>
      <c r="L1368">
        <v>34449.68</v>
      </c>
      <c r="M1368">
        <v>0</v>
      </c>
      <c r="N1368">
        <v>137798.71</v>
      </c>
      <c r="O1368" t="s">
        <v>47</v>
      </c>
    </row>
    <row r="1369" spans="1:15" x14ac:dyDescent="0.3">
      <c r="A1369" t="s">
        <v>1437</v>
      </c>
      <c r="B1369" s="2">
        <v>46659</v>
      </c>
      <c r="C1369" t="s">
        <v>15</v>
      </c>
      <c r="D1369" t="str">
        <f t="shared" si="21"/>
        <v>September</v>
      </c>
      <c r="E1369" t="s">
        <v>52</v>
      </c>
      <c r="F1369" t="s">
        <v>17</v>
      </c>
      <c r="G1369" t="s">
        <v>67</v>
      </c>
      <c r="H1369" t="s">
        <v>33</v>
      </c>
      <c r="I1369" t="s">
        <v>20</v>
      </c>
      <c r="J1369" t="s">
        <v>28</v>
      </c>
      <c r="K1369">
        <v>4</v>
      </c>
      <c r="L1369">
        <v>54903.94</v>
      </c>
      <c r="M1369">
        <v>0</v>
      </c>
      <c r="N1369">
        <v>219615.76</v>
      </c>
      <c r="O1369" t="s">
        <v>36</v>
      </c>
    </row>
    <row r="1370" spans="1:15" x14ac:dyDescent="0.3">
      <c r="A1370" t="s">
        <v>1438</v>
      </c>
      <c r="B1370" s="2">
        <v>46660</v>
      </c>
      <c r="C1370" t="s">
        <v>38</v>
      </c>
      <c r="D1370" t="str">
        <f t="shared" si="21"/>
        <v>September</v>
      </c>
      <c r="E1370" t="s">
        <v>16</v>
      </c>
      <c r="F1370" t="s">
        <v>25</v>
      </c>
      <c r="G1370" t="s">
        <v>92</v>
      </c>
      <c r="H1370" t="s">
        <v>19</v>
      </c>
      <c r="I1370" t="s">
        <v>34</v>
      </c>
      <c r="J1370" t="s">
        <v>28</v>
      </c>
      <c r="K1370">
        <v>1</v>
      </c>
      <c r="L1370">
        <v>2725.8</v>
      </c>
      <c r="M1370">
        <v>10</v>
      </c>
      <c r="N1370">
        <v>2453.2199999999998</v>
      </c>
      <c r="O1370" t="s">
        <v>36</v>
      </c>
    </row>
    <row r="1371" spans="1:15" x14ac:dyDescent="0.3">
      <c r="A1371" t="s">
        <v>1439</v>
      </c>
      <c r="B1371" s="2">
        <v>46661</v>
      </c>
      <c r="C1371" t="s">
        <v>38</v>
      </c>
      <c r="D1371" t="str">
        <f t="shared" si="21"/>
        <v>October</v>
      </c>
      <c r="E1371" t="s">
        <v>32</v>
      </c>
      <c r="F1371" t="s">
        <v>17</v>
      </c>
      <c r="G1371" t="s">
        <v>123</v>
      </c>
      <c r="H1371" t="s">
        <v>19</v>
      </c>
      <c r="I1371" t="s">
        <v>20</v>
      </c>
      <c r="J1371" t="s">
        <v>21</v>
      </c>
      <c r="K1371">
        <v>1</v>
      </c>
      <c r="L1371">
        <v>61579.89</v>
      </c>
      <c r="M1371">
        <v>5</v>
      </c>
      <c r="N1371">
        <v>58500.9</v>
      </c>
      <c r="O1371" t="s">
        <v>36</v>
      </c>
    </row>
    <row r="1372" spans="1:15" x14ac:dyDescent="0.3">
      <c r="A1372" t="s">
        <v>1440</v>
      </c>
      <c r="B1372" s="2">
        <v>46662</v>
      </c>
      <c r="C1372" t="s">
        <v>49</v>
      </c>
      <c r="D1372" t="str">
        <f t="shared" si="21"/>
        <v>October</v>
      </c>
      <c r="E1372" t="s">
        <v>100</v>
      </c>
      <c r="F1372" t="s">
        <v>60</v>
      </c>
      <c r="G1372" t="s">
        <v>73</v>
      </c>
      <c r="H1372" t="s">
        <v>19</v>
      </c>
      <c r="I1372" t="s">
        <v>42</v>
      </c>
      <c r="J1372" t="s">
        <v>21</v>
      </c>
      <c r="K1372">
        <v>3</v>
      </c>
      <c r="L1372">
        <v>34085.040000000001</v>
      </c>
      <c r="M1372">
        <v>15</v>
      </c>
      <c r="N1372">
        <v>86916.86</v>
      </c>
      <c r="O1372" t="s">
        <v>22</v>
      </c>
    </row>
    <row r="1373" spans="1:15" x14ac:dyDescent="0.3">
      <c r="A1373" t="s">
        <v>1441</v>
      </c>
      <c r="B1373" s="2">
        <v>46663</v>
      </c>
      <c r="C1373" t="s">
        <v>38</v>
      </c>
      <c r="D1373" t="str">
        <f t="shared" si="21"/>
        <v>October</v>
      </c>
      <c r="E1373" t="s">
        <v>24</v>
      </c>
      <c r="F1373" t="s">
        <v>53</v>
      </c>
      <c r="G1373" t="s">
        <v>65</v>
      </c>
      <c r="H1373" t="s">
        <v>45</v>
      </c>
      <c r="I1373" t="s">
        <v>42</v>
      </c>
      <c r="J1373" t="s">
        <v>35</v>
      </c>
      <c r="K1373">
        <v>4</v>
      </c>
      <c r="L1373">
        <v>25751.77</v>
      </c>
      <c r="M1373">
        <v>15</v>
      </c>
      <c r="N1373">
        <v>87556.03</v>
      </c>
      <c r="O1373" t="s">
        <v>47</v>
      </c>
    </row>
    <row r="1374" spans="1:15" x14ac:dyDescent="0.3">
      <c r="A1374" t="s">
        <v>1442</v>
      </c>
      <c r="B1374" s="2">
        <v>46664</v>
      </c>
      <c r="C1374" t="s">
        <v>15</v>
      </c>
      <c r="D1374" t="str">
        <f t="shared" si="21"/>
        <v>October</v>
      </c>
      <c r="E1374" t="s">
        <v>50</v>
      </c>
      <c r="F1374" t="s">
        <v>17</v>
      </c>
      <c r="G1374" t="s">
        <v>63</v>
      </c>
      <c r="H1374" t="s">
        <v>45</v>
      </c>
      <c r="I1374" t="s">
        <v>34</v>
      </c>
      <c r="J1374" t="s">
        <v>21</v>
      </c>
      <c r="K1374">
        <v>3</v>
      </c>
      <c r="L1374">
        <v>55011.13</v>
      </c>
      <c r="M1374">
        <v>10</v>
      </c>
      <c r="N1374">
        <v>148530.06</v>
      </c>
      <c r="O1374" t="s">
        <v>29</v>
      </c>
    </row>
    <row r="1375" spans="1:15" x14ac:dyDescent="0.3">
      <c r="A1375" t="s">
        <v>1443</v>
      </c>
      <c r="B1375" s="2">
        <v>46665</v>
      </c>
      <c r="C1375" t="s">
        <v>58</v>
      </c>
      <c r="D1375" t="str">
        <f t="shared" si="21"/>
        <v>October</v>
      </c>
      <c r="E1375" t="s">
        <v>52</v>
      </c>
      <c r="F1375" t="s">
        <v>40</v>
      </c>
      <c r="G1375" t="s">
        <v>118</v>
      </c>
      <c r="H1375" t="s">
        <v>45</v>
      </c>
      <c r="I1375" t="s">
        <v>34</v>
      </c>
      <c r="J1375" t="s">
        <v>46</v>
      </c>
      <c r="K1375">
        <v>2</v>
      </c>
      <c r="L1375">
        <v>5155.17</v>
      </c>
      <c r="M1375">
        <v>20</v>
      </c>
      <c r="N1375">
        <v>8248.2800000000007</v>
      </c>
      <c r="O1375" t="s">
        <v>47</v>
      </c>
    </row>
    <row r="1376" spans="1:15" x14ac:dyDescent="0.3">
      <c r="A1376" t="s">
        <v>1444</v>
      </c>
      <c r="B1376" s="2">
        <v>46666</v>
      </c>
      <c r="C1376" t="s">
        <v>58</v>
      </c>
      <c r="D1376" t="str">
        <f t="shared" si="21"/>
        <v>October</v>
      </c>
      <c r="E1376" t="s">
        <v>72</v>
      </c>
      <c r="F1376" t="s">
        <v>17</v>
      </c>
      <c r="G1376" t="s">
        <v>18</v>
      </c>
      <c r="H1376" t="s">
        <v>45</v>
      </c>
      <c r="I1376" t="s">
        <v>34</v>
      </c>
      <c r="J1376" t="s">
        <v>35</v>
      </c>
      <c r="K1376">
        <v>2</v>
      </c>
      <c r="L1376">
        <v>46225.49</v>
      </c>
      <c r="M1376">
        <v>10</v>
      </c>
      <c r="N1376">
        <v>83205.89</v>
      </c>
      <c r="O1376" t="s">
        <v>36</v>
      </c>
    </row>
    <row r="1377" spans="1:15" x14ac:dyDescent="0.3">
      <c r="A1377" t="s">
        <v>1445</v>
      </c>
      <c r="B1377" s="2">
        <v>46667</v>
      </c>
      <c r="C1377" t="s">
        <v>38</v>
      </c>
      <c r="D1377" t="str">
        <f t="shared" si="21"/>
        <v>October</v>
      </c>
      <c r="E1377" t="s">
        <v>39</v>
      </c>
      <c r="F1377" t="s">
        <v>40</v>
      </c>
      <c r="G1377" t="s">
        <v>75</v>
      </c>
      <c r="H1377" t="s">
        <v>27</v>
      </c>
      <c r="I1377" t="s">
        <v>20</v>
      </c>
      <c r="J1377" t="s">
        <v>21</v>
      </c>
      <c r="K1377">
        <v>4</v>
      </c>
      <c r="L1377">
        <v>5749.87</v>
      </c>
      <c r="M1377">
        <v>5</v>
      </c>
      <c r="N1377">
        <v>21849.49</v>
      </c>
      <c r="O1377" t="s">
        <v>47</v>
      </c>
    </row>
    <row r="1378" spans="1:15" x14ac:dyDescent="0.3">
      <c r="A1378" t="s">
        <v>1446</v>
      </c>
      <c r="B1378" s="2">
        <v>46668</v>
      </c>
      <c r="C1378" t="s">
        <v>15</v>
      </c>
      <c r="D1378" t="str">
        <f t="shared" si="21"/>
        <v>October</v>
      </c>
      <c r="E1378" t="s">
        <v>24</v>
      </c>
      <c r="F1378" t="s">
        <v>60</v>
      </c>
      <c r="G1378" t="s">
        <v>78</v>
      </c>
      <c r="H1378" t="s">
        <v>45</v>
      </c>
      <c r="I1378" t="s">
        <v>42</v>
      </c>
      <c r="J1378" t="s">
        <v>46</v>
      </c>
      <c r="K1378">
        <v>3</v>
      </c>
      <c r="L1378">
        <v>40571.56</v>
      </c>
      <c r="M1378">
        <v>10</v>
      </c>
      <c r="N1378">
        <v>109543.2</v>
      </c>
      <c r="O1378" t="s">
        <v>47</v>
      </c>
    </row>
    <row r="1379" spans="1:15" x14ac:dyDescent="0.3">
      <c r="A1379" t="s">
        <v>1447</v>
      </c>
      <c r="B1379" s="2">
        <v>46669</v>
      </c>
      <c r="C1379" t="s">
        <v>15</v>
      </c>
      <c r="D1379" t="str">
        <f t="shared" si="21"/>
        <v>October</v>
      </c>
      <c r="E1379" t="s">
        <v>100</v>
      </c>
      <c r="F1379" t="s">
        <v>53</v>
      </c>
      <c r="G1379" t="s">
        <v>105</v>
      </c>
      <c r="H1379" t="s">
        <v>45</v>
      </c>
      <c r="I1379" t="s">
        <v>34</v>
      </c>
      <c r="J1379" t="s">
        <v>35</v>
      </c>
      <c r="K1379">
        <v>4</v>
      </c>
      <c r="L1379">
        <v>28045.95</v>
      </c>
      <c r="M1379">
        <v>10</v>
      </c>
      <c r="N1379">
        <v>100965.41</v>
      </c>
      <c r="O1379" t="s">
        <v>47</v>
      </c>
    </row>
    <row r="1380" spans="1:15" x14ac:dyDescent="0.3">
      <c r="A1380" t="s">
        <v>1448</v>
      </c>
      <c r="B1380" s="2">
        <v>46670</v>
      </c>
      <c r="C1380" t="s">
        <v>38</v>
      </c>
      <c r="D1380" t="str">
        <f t="shared" si="21"/>
        <v>October</v>
      </c>
      <c r="E1380" t="s">
        <v>39</v>
      </c>
      <c r="F1380" t="s">
        <v>40</v>
      </c>
      <c r="G1380" t="s">
        <v>75</v>
      </c>
      <c r="H1380" t="s">
        <v>33</v>
      </c>
      <c r="I1380" t="s">
        <v>42</v>
      </c>
      <c r="J1380" t="s">
        <v>43</v>
      </c>
      <c r="K1380">
        <v>2</v>
      </c>
      <c r="L1380">
        <v>6229.72</v>
      </c>
      <c r="M1380">
        <v>10</v>
      </c>
      <c r="N1380">
        <v>11213.49</v>
      </c>
      <c r="O1380" t="s">
        <v>47</v>
      </c>
    </row>
    <row r="1381" spans="1:15" x14ac:dyDescent="0.3">
      <c r="A1381" t="s">
        <v>1449</v>
      </c>
      <c r="B1381" s="2">
        <v>46671</v>
      </c>
      <c r="C1381" t="s">
        <v>58</v>
      </c>
      <c r="D1381" t="str">
        <f t="shared" si="21"/>
        <v>October</v>
      </c>
      <c r="E1381" t="s">
        <v>39</v>
      </c>
      <c r="F1381" t="s">
        <v>40</v>
      </c>
      <c r="G1381" t="s">
        <v>75</v>
      </c>
      <c r="H1381" t="s">
        <v>33</v>
      </c>
      <c r="I1381" t="s">
        <v>20</v>
      </c>
      <c r="J1381" t="s">
        <v>43</v>
      </c>
      <c r="K1381">
        <v>1</v>
      </c>
      <c r="L1381">
        <v>6044.62</v>
      </c>
      <c r="M1381">
        <v>5</v>
      </c>
      <c r="N1381">
        <v>5742.39</v>
      </c>
      <c r="O1381" t="s">
        <v>47</v>
      </c>
    </row>
    <row r="1382" spans="1:15" x14ac:dyDescent="0.3">
      <c r="A1382" t="s">
        <v>1450</v>
      </c>
      <c r="B1382" s="2">
        <v>46672</v>
      </c>
      <c r="C1382" t="s">
        <v>58</v>
      </c>
      <c r="D1382" t="str">
        <f t="shared" si="21"/>
        <v>October</v>
      </c>
      <c r="E1382" t="s">
        <v>52</v>
      </c>
      <c r="F1382" t="s">
        <v>53</v>
      </c>
      <c r="G1382" t="s">
        <v>129</v>
      </c>
      <c r="H1382" t="s">
        <v>33</v>
      </c>
      <c r="I1382" t="s">
        <v>42</v>
      </c>
      <c r="J1382" t="s">
        <v>35</v>
      </c>
      <c r="K1382">
        <v>3</v>
      </c>
      <c r="L1382">
        <v>28005.83</v>
      </c>
      <c r="M1382">
        <v>20</v>
      </c>
      <c r="N1382">
        <v>67214</v>
      </c>
      <c r="O1382" t="s">
        <v>47</v>
      </c>
    </row>
    <row r="1383" spans="1:15" x14ac:dyDescent="0.3">
      <c r="A1383" t="s">
        <v>1451</v>
      </c>
      <c r="B1383" s="2">
        <v>46673</v>
      </c>
      <c r="C1383" t="s">
        <v>49</v>
      </c>
      <c r="D1383" t="str">
        <f t="shared" si="21"/>
        <v>October</v>
      </c>
      <c r="E1383" t="s">
        <v>100</v>
      </c>
      <c r="F1383" t="s">
        <v>40</v>
      </c>
      <c r="G1383" t="s">
        <v>118</v>
      </c>
      <c r="H1383" t="s">
        <v>45</v>
      </c>
      <c r="I1383" t="s">
        <v>34</v>
      </c>
      <c r="J1383" t="s">
        <v>35</v>
      </c>
      <c r="K1383">
        <v>3</v>
      </c>
      <c r="L1383">
        <v>5778.44</v>
      </c>
      <c r="M1383">
        <v>15</v>
      </c>
      <c r="N1383">
        <v>14735.02</v>
      </c>
      <c r="O1383" t="s">
        <v>47</v>
      </c>
    </row>
    <row r="1384" spans="1:15" x14ac:dyDescent="0.3">
      <c r="A1384" t="s">
        <v>1452</v>
      </c>
      <c r="B1384" s="2">
        <v>46674</v>
      </c>
      <c r="C1384" t="s">
        <v>58</v>
      </c>
      <c r="D1384" t="str">
        <f t="shared" si="21"/>
        <v>October</v>
      </c>
      <c r="E1384" t="s">
        <v>32</v>
      </c>
      <c r="F1384" t="s">
        <v>60</v>
      </c>
      <c r="G1384" t="s">
        <v>61</v>
      </c>
      <c r="H1384" t="s">
        <v>45</v>
      </c>
      <c r="I1384" t="s">
        <v>34</v>
      </c>
      <c r="J1384" t="s">
        <v>46</v>
      </c>
      <c r="K1384">
        <v>2</v>
      </c>
      <c r="L1384">
        <v>43196.88</v>
      </c>
      <c r="M1384">
        <v>0</v>
      </c>
      <c r="N1384">
        <v>86393.76</v>
      </c>
      <c r="O1384" t="s">
        <v>47</v>
      </c>
    </row>
    <row r="1385" spans="1:15" x14ac:dyDescent="0.3">
      <c r="A1385" t="s">
        <v>1453</v>
      </c>
      <c r="B1385" s="2">
        <v>46675</v>
      </c>
      <c r="C1385" t="s">
        <v>49</v>
      </c>
      <c r="D1385" t="str">
        <f t="shared" si="21"/>
        <v>October</v>
      </c>
      <c r="E1385" t="s">
        <v>69</v>
      </c>
      <c r="F1385" t="s">
        <v>60</v>
      </c>
      <c r="G1385" t="s">
        <v>73</v>
      </c>
      <c r="H1385" t="s">
        <v>27</v>
      </c>
      <c r="I1385" t="s">
        <v>42</v>
      </c>
      <c r="J1385" t="s">
        <v>46</v>
      </c>
      <c r="K1385">
        <v>2</v>
      </c>
      <c r="L1385">
        <v>51100.68</v>
      </c>
      <c r="M1385">
        <v>10</v>
      </c>
      <c r="N1385">
        <v>91981.22</v>
      </c>
      <c r="O1385" t="s">
        <v>36</v>
      </c>
    </row>
    <row r="1386" spans="1:15" x14ac:dyDescent="0.3">
      <c r="A1386" t="s">
        <v>1454</v>
      </c>
      <c r="B1386" s="2">
        <v>46676</v>
      </c>
      <c r="C1386" t="s">
        <v>15</v>
      </c>
      <c r="D1386" t="str">
        <f t="shared" si="21"/>
        <v>October</v>
      </c>
      <c r="E1386" t="s">
        <v>72</v>
      </c>
      <c r="F1386" t="s">
        <v>25</v>
      </c>
      <c r="G1386" t="s">
        <v>26</v>
      </c>
      <c r="H1386" t="s">
        <v>45</v>
      </c>
      <c r="I1386" t="s">
        <v>34</v>
      </c>
      <c r="J1386" t="s">
        <v>43</v>
      </c>
      <c r="K1386">
        <v>4</v>
      </c>
      <c r="L1386">
        <v>2666.3</v>
      </c>
      <c r="M1386">
        <v>0</v>
      </c>
      <c r="N1386">
        <v>10665.21</v>
      </c>
      <c r="O1386" t="s">
        <v>47</v>
      </c>
    </row>
    <row r="1387" spans="1:15" x14ac:dyDescent="0.3">
      <c r="A1387" t="s">
        <v>1455</v>
      </c>
      <c r="B1387" s="2">
        <v>46677</v>
      </c>
      <c r="C1387" t="s">
        <v>49</v>
      </c>
      <c r="D1387" t="str">
        <f t="shared" si="21"/>
        <v>October</v>
      </c>
      <c r="E1387" t="s">
        <v>52</v>
      </c>
      <c r="F1387" t="s">
        <v>17</v>
      </c>
      <c r="G1387" t="s">
        <v>63</v>
      </c>
      <c r="H1387" t="s">
        <v>27</v>
      </c>
      <c r="I1387" t="s">
        <v>42</v>
      </c>
      <c r="J1387" t="s">
        <v>21</v>
      </c>
      <c r="K1387">
        <v>2</v>
      </c>
      <c r="L1387">
        <v>66885.59</v>
      </c>
      <c r="M1387">
        <v>5</v>
      </c>
      <c r="N1387">
        <v>127082.63</v>
      </c>
      <c r="O1387" t="s">
        <v>47</v>
      </c>
    </row>
    <row r="1388" spans="1:15" x14ac:dyDescent="0.3">
      <c r="A1388" t="s">
        <v>1456</v>
      </c>
      <c r="B1388" s="2">
        <v>46678</v>
      </c>
      <c r="C1388" t="s">
        <v>49</v>
      </c>
      <c r="D1388" t="str">
        <f t="shared" si="21"/>
        <v>October</v>
      </c>
      <c r="E1388" t="s">
        <v>50</v>
      </c>
      <c r="F1388" t="s">
        <v>25</v>
      </c>
      <c r="G1388" t="s">
        <v>81</v>
      </c>
      <c r="H1388" t="s">
        <v>33</v>
      </c>
      <c r="I1388" t="s">
        <v>20</v>
      </c>
      <c r="J1388" t="s">
        <v>46</v>
      </c>
      <c r="K1388">
        <v>1</v>
      </c>
      <c r="L1388">
        <v>1907.96</v>
      </c>
      <c r="M1388">
        <v>15</v>
      </c>
      <c r="N1388">
        <v>1621.76</v>
      </c>
      <c r="O1388" t="s">
        <v>47</v>
      </c>
    </row>
    <row r="1389" spans="1:15" x14ac:dyDescent="0.3">
      <c r="A1389" t="s">
        <v>1457</v>
      </c>
      <c r="B1389" s="2">
        <v>46679</v>
      </c>
      <c r="C1389" t="s">
        <v>31</v>
      </c>
      <c r="D1389" t="str">
        <f t="shared" si="21"/>
        <v>October</v>
      </c>
      <c r="E1389" t="s">
        <v>50</v>
      </c>
      <c r="F1389" t="s">
        <v>40</v>
      </c>
      <c r="G1389" t="s">
        <v>118</v>
      </c>
      <c r="H1389" t="s">
        <v>45</v>
      </c>
      <c r="I1389" t="s">
        <v>20</v>
      </c>
      <c r="J1389" t="s">
        <v>46</v>
      </c>
      <c r="K1389">
        <v>1</v>
      </c>
      <c r="L1389">
        <v>6157.13</v>
      </c>
      <c r="M1389">
        <v>10</v>
      </c>
      <c r="N1389">
        <v>5541.42</v>
      </c>
      <c r="O1389" t="s">
        <v>36</v>
      </c>
    </row>
    <row r="1390" spans="1:15" x14ac:dyDescent="0.3">
      <c r="A1390" t="s">
        <v>1458</v>
      </c>
      <c r="B1390" s="2">
        <v>46680</v>
      </c>
      <c r="C1390" t="s">
        <v>15</v>
      </c>
      <c r="D1390" t="str">
        <f t="shared" si="21"/>
        <v>October</v>
      </c>
      <c r="E1390" t="s">
        <v>16</v>
      </c>
      <c r="F1390" t="s">
        <v>60</v>
      </c>
      <c r="G1390" t="s">
        <v>70</v>
      </c>
      <c r="H1390" t="s">
        <v>45</v>
      </c>
      <c r="I1390" t="s">
        <v>34</v>
      </c>
      <c r="J1390" t="s">
        <v>43</v>
      </c>
      <c r="K1390">
        <v>4</v>
      </c>
      <c r="L1390">
        <v>47971.15</v>
      </c>
      <c r="M1390">
        <v>5</v>
      </c>
      <c r="N1390">
        <v>182290.35</v>
      </c>
      <c r="O1390" t="s">
        <v>47</v>
      </c>
    </row>
    <row r="1391" spans="1:15" x14ac:dyDescent="0.3">
      <c r="A1391" t="s">
        <v>1459</v>
      </c>
      <c r="B1391" s="2">
        <v>46681</v>
      </c>
      <c r="C1391" t="s">
        <v>49</v>
      </c>
      <c r="D1391" t="str">
        <f t="shared" si="21"/>
        <v>October</v>
      </c>
      <c r="E1391" t="s">
        <v>24</v>
      </c>
      <c r="F1391" t="s">
        <v>25</v>
      </c>
      <c r="G1391" t="s">
        <v>92</v>
      </c>
      <c r="H1391" t="s">
        <v>33</v>
      </c>
      <c r="I1391" t="s">
        <v>34</v>
      </c>
      <c r="J1391" t="s">
        <v>43</v>
      </c>
      <c r="K1391">
        <v>3</v>
      </c>
      <c r="L1391">
        <v>3091.97</v>
      </c>
      <c r="M1391">
        <v>10</v>
      </c>
      <c r="N1391">
        <v>8348.32</v>
      </c>
      <c r="O1391" t="s">
        <v>47</v>
      </c>
    </row>
    <row r="1392" spans="1:15" x14ac:dyDescent="0.3">
      <c r="A1392" t="s">
        <v>1460</v>
      </c>
      <c r="B1392" s="2">
        <v>46682</v>
      </c>
      <c r="C1392" t="s">
        <v>15</v>
      </c>
      <c r="D1392" t="str">
        <f t="shared" si="21"/>
        <v>October</v>
      </c>
      <c r="E1392" t="s">
        <v>39</v>
      </c>
      <c r="F1392" t="s">
        <v>60</v>
      </c>
      <c r="G1392" t="s">
        <v>78</v>
      </c>
      <c r="H1392" t="s">
        <v>45</v>
      </c>
      <c r="I1392" t="s">
        <v>42</v>
      </c>
      <c r="J1392" t="s">
        <v>46</v>
      </c>
      <c r="K1392">
        <v>5</v>
      </c>
      <c r="L1392">
        <v>48103.31</v>
      </c>
      <c r="M1392">
        <v>0</v>
      </c>
      <c r="N1392">
        <v>240516.57</v>
      </c>
      <c r="O1392" t="s">
        <v>36</v>
      </c>
    </row>
    <row r="1393" spans="1:15" x14ac:dyDescent="0.3">
      <c r="A1393" t="s">
        <v>1461</v>
      </c>
      <c r="B1393" s="2">
        <v>46683</v>
      </c>
      <c r="C1393" t="s">
        <v>38</v>
      </c>
      <c r="D1393" t="str">
        <f t="shared" si="21"/>
        <v>October</v>
      </c>
      <c r="E1393" t="s">
        <v>52</v>
      </c>
      <c r="F1393" t="s">
        <v>40</v>
      </c>
      <c r="G1393" t="s">
        <v>115</v>
      </c>
      <c r="H1393" t="s">
        <v>19</v>
      </c>
      <c r="I1393" t="s">
        <v>42</v>
      </c>
      <c r="J1393" t="s">
        <v>21</v>
      </c>
      <c r="K1393">
        <v>2</v>
      </c>
      <c r="L1393">
        <v>7319.9</v>
      </c>
      <c r="M1393">
        <v>10</v>
      </c>
      <c r="N1393">
        <v>13175.83</v>
      </c>
      <c r="O1393" t="s">
        <v>47</v>
      </c>
    </row>
    <row r="1394" spans="1:15" x14ac:dyDescent="0.3">
      <c r="A1394" t="s">
        <v>1462</v>
      </c>
      <c r="B1394" s="2">
        <v>46684</v>
      </c>
      <c r="C1394" t="s">
        <v>38</v>
      </c>
      <c r="D1394" t="str">
        <f t="shared" si="21"/>
        <v>October</v>
      </c>
      <c r="E1394" t="s">
        <v>100</v>
      </c>
      <c r="F1394" t="s">
        <v>53</v>
      </c>
      <c r="G1394" t="s">
        <v>54</v>
      </c>
      <c r="H1394" t="s">
        <v>27</v>
      </c>
      <c r="I1394" t="s">
        <v>42</v>
      </c>
      <c r="J1394" t="s">
        <v>21</v>
      </c>
      <c r="K1394">
        <v>5</v>
      </c>
      <c r="L1394">
        <v>32221.97</v>
      </c>
      <c r="M1394">
        <v>5</v>
      </c>
      <c r="N1394">
        <v>153054.34</v>
      </c>
      <c r="O1394" t="s">
        <v>47</v>
      </c>
    </row>
    <row r="1395" spans="1:15" x14ac:dyDescent="0.3">
      <c r="A1395" t="s">
        <v>1463</v>
      </c>
      <c r="B1395" s="2">
        <v>46685</v>
      </c>
      <c r="C1395" t="s">
        <v>31</v>
      </c>
      <c r="D1395" t="str">
        <f t="shared" si="21"/>
        <v>October</v>
      </c>
      <c r="E1395" t="s">
        <v>100</v>
      </c>
      <c r="F1395" t="s">
        <v>25</v>
      </c>
      <c r="G1395" t="s">
        <v>56</v>
      </c>
      <c r="H1395" t="s">
        <v>33</v>
      </c>
      <c r="I1395" t="s">
        <v>42</v>
      </c>
      <c r="J1395" t="s">
        <v>28</v>
      </c>
      <c r="K1395">
        <v>1</v>
      </c>
      <c r="L1395">
        <v>2775.43</v>
      </c>
      <c r="M1395">
        <v>10</v>
      </c>
      <c r="N1395">
        <v>2497.89</v>
      </c>
      <c r="O1395" t="s">
        <v>29</v>
      </c>
    </row>
    <row r="1396" spans="1:15" x14ac:dyDescent="0.3">
      <c r="A1396" t="s">
        <v>1464</v>
      </c>
      <c r="B1396" s="2">
        <v>46686</v>
      </c>
      <c r="C1396" t="s">
        <v>31</v>
      </c>
      <c r="D1396" t="str">
        <f t="shared" si="21"/>
        <v>October</v>
      </c>
      <c r="E1396" t="s">
        <v>50</v>
      </c>
      <c r="F1396" t="s">
        <v>53</v>
      </c>
      <c r="G1396" t="s">
        <v>54</v>
      </c>
      <c r="H1396" t="s">
        <v>33</v>
      </c>
      <c r="I1396" t="s">
        <v>42</v>
      </c>
      <c r="J1396" t="s">
        <v>46</v>
      </c>
      <c r="K1396">
        <v>5</v>
      </c>
      <c r="L1396">
        <v>30593.59</v>
      </c>
      <c r="M1396">
        <v>15</v>
      </c>
      <c r="N1396">
        <v>130022.77</v>
      </c>
      <c r="O1396" t="s">
        <v>47</v>
      </c>
    </row>
    <row r="1397" spans="1:15" x14ac:dyDescent="0.3">
      <c r="A1397" t="s">
        <v>1465</v>
      </c>
      <c r="B1397" s="2">
        <v>46687</v>
      </c>
      <c r="C1397" t="s">
        <v>38</v>
      </c>
      <c r="D1397" t="str">
        <f t="shared" si="21"/>
        <v>October</v>
      </c>
      <c r="E1397" t="s">
        <v>77</v>
      </c>
      <c r="F1397" t="s">
        <v>40</v>
      </c>
      <c r="G1397" t="s">
        <v>115</v>
      </c>
      <c r="H1397" t="s">
        <v>27</v>
      </c>
      <c r="I1397" t="s">
        <v>34</v>
      </c>
      <c r="J1397" t="s">
        <v>43</v>
      </c>
      <c r="K1397">
        <v>5</v>
      </c>
      <c r="L1397">
        <v>5959.84</v>
      </c>
      <c r="M1397">
        <v>5</v>
      </c>
      <c r="N1397">
        <v>28309.25</v>
      </c>
      <c r="O1397" t="s">
        <v>22</v>
      </c>
    </row>
    <row r="1398" spans="1:15" x14ac:dyDescent="0.3">
      <c r="A1398" t="s">
        <v>1466</v>
      </c>
      <c r="B1398" s="2">
        <v>46688</v>
      </c>
      <c r="C1398" t="s">
        <v>31</v>
      </c>
      <c r="D1398" t="str">
        <f t="shared" si="21"/>
        <v>October</v>
      </c>
      <c r="E1398" t="s">
        <v>52</v>
      </c>
      <c r="F1398" t="s">
        <v>17</v>
      </c>
      <c r="G1398" t="s">
        <v>63</v>
      </c>
      <c r="H1398" t="s">
        <v>33</v>
      </c>
      <c r="I1398" t="s">
        <v>20</v>
      </c>
      <c r="J1398" t="s">
        <v>28</v>
      </c>
      <c r="K1398">
        <v>1</v>
      </c>
      <c r="L1398">
        <v>52167.66</v>
      </c>
      <c r="M1398">
        <v>15</v>
      </c>
      <c r="N1398">
        <v>44342.51</v>
      </c>
      <c r="O1398" t="s">
        <v>29</v>
      </c>
    </row>
    <row r="1399" spans="1:15" x14ac:dyDescent="0.3">
      <c r="A1399" t="s">
        <v>1467</v>
      </c>
      <c r="B1399" s="2">
        <v>46689</v>
      </c>
      <c r="C1399" t="s">
        <v>58</v>
      </c>
      <c r="D1399" t="str">
        <f t="shared" si="21"/>
        <v>October</v>
      </c>
      <c r="E1399" t="s">
        <v>39</v>
      </c>
      <c r="F1399" t="s">
        <v>53</v>
      </c>
      <c r="G1399" t="s">
        <v>129</v>
      </c>
      <c r="H1399" t="s">
        <v>19</v>
      </c>
      <c r="I1399" t="s">
        <v>20</v>
      </c>
      <c r="J1399" t="s">
        <v>35</v>
      </c>
      <c r="K1399">
        <v>3</v>
      </c>
      <c r="L1399">
        <v>35359.61</v>
      </c>
      <c r="M1399">
        <v>5</v>
      </c>
      <c r="N1399">
        <v>100774.89</v>
      </c>
      <c r="O1399" t="s">
        <v>47</v>
      </c>
    </row>
    <row r="1400" spans="1:15" x14ac:dyDescent="0.3">
      <c r="A1400" t="s">
        <v>1468</v>
      </c>
      <c r="B1400" s="2">
        <v>46690</v>
      </c>
      <c r="C1400" t="s">
        <v>58</v>
      </c>
      <c r="D1400" t="str">
        <f t="shared" si="21"/>
        <v>October</v>
      </c>
      <c r="E1400" t="s">
        <v>32</v>
      </c>
      <c r="F1400" t="s">
        <v>60</v>
      </c>
      <c r="G1400" t="s">
        <v>73</v>
      </c>
      <c r="H1400" t="s">
        <v>19</v>
      </c>
      <c r="I1400" t="s">
        <v>34</v>
      </c>
      <c r="J1400" t="s">
        <v>21</v>
      </c>
      <c r="K1400">
        <v>4</v>
      </c>
      <c r="L1400">
        <v>43084.800000000003</v>
      </c>
      <c r="M1400">
        <v>0</v>
      </c>
      <c r="N1400">
        <v>172339.18</v>
      </c>
      <c r="O1400" t="s">
        <v>47</v>
      </c>
    </row>
    <row r="1401" spans="1:15" x14ac:dyDescent="0.3">
      <c r="A1401" t="s">
        <v>1469</v>
      </c>
      <c r="B1401" s="2">
        <v>46691</v>
      </c>
      <c r="C1401" t="s">
        <v>31</v>
      </c>
      <c r="D1401" t="str">
        <f t="shared" si="21"/>
        <v>October</v>
      </c>
      <c r="E1401" t="s">
        <v>52</v>
      </c>
      <c r="F1401" t="s">
        <v>25</v>
      </c>
      <c r="G1401" t="s">
        <v>81</v>
      </c>
      <c r="H1401" t="s">
        <v>27</v>
      </c>
      <c r="I1401" t="s">
        <v>20</v>
      </c>
      <c r="J1401" t="s">
        <v>35</v>
      </c>
      <c r="K1401">
        <v>4</v>
      </c>
      <c r="L1401">
        <v>2804.15</v>
      </c>
      <c r="M1401">
        <v>15</v>
      </c>
      <c r="N1401">
        <v>9534.11</v>
      </c>
      <c r="O1401" t="s">
        <v>36</v>
      </c>
    </row>
    <row r="1402" spans="1:15" x14ac:dyDescent="0.3">
      <c r="A1402" t="s">
        <v>1470</v>
      </c>
      <c r="B1402" s="2">
        <v>46692</v>
      </c>
      <c r="C1402" t="s">
        <v>58</v>
      </c>
      <c r="D1402" t="str">
        <f t="shared" si="21"/>
        <v>November</v>
      </c>
      <c r="E1402" t="s">
        <v>72</v>
      </c>
      <c r="F1402" t="s">
        <v>17</v>
      </c>
      <c r="G1402" t="s">
        <v>67</v>
      </c>
      <c r="H1402" t="s">
        <v>27</v>
      </c>
      <c r="I1402" t="s">
        <v>34</v>
      </c>
      <c r="J1402" t="s">
        <v>46</v>
      </c>
      <c r="K1402">
        <v>3</v>
      </c>
      <c r="L1402">
        <v>64204.42</v>
      </c>
      <c r="M1402">
        <v>0</v>
      </c>
      <c r="N1402">
        <v>192613.27</v>
      </c>
      <c r="O1402" t="s">
        <v>36</v>
      </c>
    </row>
    <row r="1403" spans="1:15" x14ac:dyDescent="0.3">
      <c r="A1403" t="s">
        <v>1471</v>
      </c>
      <c r="B1403" s="2">
        <v>46693</v>
      </c>
      <c r="C1403" t="s">
        <v>38</v>
      </c>
      <c r="D1403" t="str">
        <f t="shared" si="21"/>
        <v>November</v>
      </c>
      <c r="E1403" t="s">
        <v>32</v>
      </c>
      <c r="F1403" t="s">
        <v>53</v>
      </c>
      <c r="G1403" t="s">
        <v>65</v>
      </c>
      <c r="H1403" t="s">
        <v>45</v>
      </c>
      <c r="I1403" t="s">
        <v>34</v>
      </c>
      <c r="J1403" t="s">
        <v>28</v>
      </c>
      <c r="K1403">
        <v>4</v>
      </c>
      <c r="L1403">
        <v>39016.28</v>
      </c>
      <c r="M1403">
        <v>0</v>
      </c>
      <c r="N1403">
        <v>156065.14000000001</v>
      </c>
      <c r="O1403" t="s">
        <v>47</v>
      </c>
    </row>
    <row r="1404" spans="1:15" x14ac:dyDescent="0.3">
      <c r="A1404" t="s">
        <v>1472</v>
      </c>
      <c r="B1404" s="2">
        <v>46694</v>
      </c>
      <c r="C1404" t="s">
        <v>15</v>
      </c>
      <c r="D1404" t="str">
        <f t="shared" si="21"/>
        <v>November</v>
      </c>
      <c r="E1404" t="s">
        <v>24</v>
      </c>
      <c r="F1404" t="s">
        <v>60</v>
      </c>
      <c r="G1404" t="s">
        <v>78</v>
      </c>
      <c r="H1404" t="s">
        <v>19</v>
      </c>
      <c r="I1404" t="s">
        <v>42</v>
      </c>
      <c r="J1404" t="s">
        <v>21</v>
      </c>
      <c r="K1404">
        <v>4</v>
      </c>
      <c r="L1404">
        <v>50840.51</v>
      </c>
      <c r="M1404">
        <v>5</v>
      </c>
      <c r="N1404">
        <v>193193.94</v>
      </c>
      <c r="O1404" t="s">
        <v>29</v>
      </c>
    </row>
    <row r="1405" spans="1:15" x14ac:dyDescent="0.3">
      <c r="A1405" t="s">
        <v>1473</v>
      </c>
      <c r="B1405" s="2">
        <v>46695</v>
      </c>
      <c r="C1405" t="s">
        <v>38</v>
      </c>
      <c r="D1405" t="str">
        <f t="shared" si="21"/>
        <v>November</v>
      </c>
      <c r="E1405" t="s">
        <v>50</v>
      </c>
      <c r="F1405" t="s">
        <v>25</v>
      </c>
      <c r="G1405" t="s">
        <v>81</v>
      </c>
      <c r="H1405" t="s">
        <v>33</v>
      </c>
      <c r="I1405" t="s">
        <v>20</v>
      </c>
      <c r="J1405" t="s">
        <v>28</v>
      </c>
      <c r="K1405">
        <v>1</v>
      </c>
      <c r="L1405">
        <v>1995.91</v>
      </c>
      <c r="M1405">
        <v>10</v>
      </c>
      <c r="N1405">
        <v>1796.32</v>
      </c>
      <c r="O1405" t="s">
        <v>29</v>
      </c>
    </row>
    <row r="1406" spans="1:15" x14ac:dyDescent="0.3">
      <c r="A1406" t="s">
        <v>1474</v>
      </c>
      <c r="B1406" s="2">
        <v>46696</v>
      </c>
      <c r="C1406" t="s">
        <v>31</v>
      </c>
      <c r="D1406" t="str">
        <f t="shared" si="21"/>
        <v>November</v>
      </c>
      <c r="E1406" t="s">
        <v>16</v>
      </c>
      <c r="F1406" t="s">
        <v>53</v>
      </c>
      <c r="G1406" t="s">
        <v>54</v>
      </c>
      <c r="H1406" t="s">
        <v>45</v>
      </c>
      <c r="I1406" t="s">
        <v>34</v>
      </c>
      <c r="J1406" t="s">
        <v>21</v>
      </c>
      <c r="K1406">
        <v>1</v>
      </c>
      <c r="L1406">
        <v>29383.77</v>
      </c>
      <c r="M1406">
        <v>20</v>
      </c>
      <c r="N1406">
        <v>23507.02</v>
      </c>
      <c r="O1406" t="s">
        <v>47</v>
      </c>
    </row>
    <row r="1407" spans="1:15" x14ac:dyDescent="0.3">
      <c r="A1407" t="s">
        <v>1475</v>
      </c>
      <c r="B1407" s="2">
        <v>46697</v>
      </c>
      <c r="C1407" t="s">
        <v>58</v>
      </c>
      <c r="D1407" t="str">
        <f t="shared" si="21"/>
        <v>November</v>
      </c>
      <c r="E1407" t="s">
        <v>32</v>
      </c>
      <c r="F1407" t="s">
        <v>17</v>
      </c>
      <c r="G1407" t="s">
        <v>123</v>
      </c>
      <c r="H1407" t="s">
        <v>19</v>
      </c>
      <c r="I1407" t="s">
        <v>34</v>
      </c>
      <c r="J1407" t="s">
        <v>21</v>
      </c>
      <c r="K1407">
        <v>3</v>
      </c>
      <c r="L1407">
        <v>68612.56</v>
      </c>
      <c r="M1407">
        <v>15</v>
      </c>
      <c r="N1407">
        <v>174962.02</v>
      </c>
      <c r="O1407" t="s">
        <v>22</v>
      </c>
    </row>
    <row r="1408" spans="1:15" x14ac:dyDescent="0.3">
      <c r="A1408" t="s">
        <v>1476</v>
      </c>
      <c r="B1408" s="2">
        <v>46698</v>
      </c>
      <c r="C1408" t="s">
        <v>15</v>
      </c>
      <c r="D1408" t="str">
        <f t="shared" si="21"/>
        <v>November</v>
      </c>
      <c r="E1408" t="s">
        <v>69</v>
      </c>
      <c r="F1408" t="s">
        <v>25</v>
      </c>
      <c r="G1408" t="s">
        <v>81</v>
      </c>
      <c r="H1408" t="s">
        <v>19</v>
      </c>
      <c r="I1408" t="s">
        <v>20</v>
      </c>
      <c r="J1408" t="s">
        <v>46</v>
      </c>
      <c r="K1408">
        <v>2</v>
      </c>
      <c r="L1408">
        <v>2728.47</v>
      </c>
      <c r="M1408">
        <v>0</v>
      </c>
      <c r="N1408">
        <v>5456.95</v>
      </c>
      <c r="O1408" t="s">
        <v>36</v>
      </c>
    </row>
    <row r="1409" spans="1:15" x14ac:dyDescent="0.3">
      <c r="A1409" t="s">
        <v>1477</v>
      </c>
      <c r="B1409" s="2">
        <v>46699</v>
      </c>
      <c r="C1409" t="s">
        <v>38</v>
      </c>
      <c r="D1409" t="str">
        <f t="shared" si="21"/>
        <v>November</v>
      </c>
      <c r="E1409" t="s">
        <v>100</v>
      </c>
      <c r="F1409" t="s">
        <v>40</v>
      </c>
      <c r="G1409" t="s">
        <v>41</v>
      </c>
      <c r="H1409" t="s">
        <v>33</v>
      </c>
      <c r="I1409" t="s">
        <v>34</v>
      </c>
      <c r="J1409" t="s">
        <v>21</v>
      </c>
      <c r="K1409">
        <v>3</v>
      </c>
      <c r="L1409">
        <v>5979.22</v>
      </c>
      <c r="M1409">
        <v>10</v>
      </c>
      <c r="N1409">
        <v>16143.89</v>
      </c>
      <c r="O1409" t="s">
        <v>29</v>
      </c>
    </row>
    <row r="1410" spans="1:15" x14ac:dyDescent="0.3">
      <c r="A1410" t="s">
        <v>1478</v>
      </c>
      <c r="B1410" s="2">
        <v>46700</v>
      </c>
      <c r="C1410" t="s">
        <v>15</v>
      </c>
      <c r="D1410" t="str">
        <f t="shared" si="21"/>
        <v>November</v>
      </c>
      <c r="E1410" t="s">
        <v>16</v>
      </c>
      <c r="F1410" t="s">
        <v>40</v>
      </c>
      <c r="G1410" t="s">
        <v>41</v>
      </c>
      <c r="H1410" t="s">
        <v>19</v>
      </c>
      <c r="I1410" t="s">
        <v>42</v>
      </c>
      <c r="J1410" t="s">
        <v>46</v>
      </c>
      <c r="K1410">
        <v>5</v>
      </c>
      <c r="L1410">
        <v>8026.9</v>
      </c>
      <c r="M1410">
        <v>5</v>
      </c>
      <c r="N1410">
        <v>38127.78</v>
      </c>
      <c r="O1410" t="s">
        <v>47</v>
      </c>
    </row>
    <row r="1411" spans="1:15" x14ac:dyDescent="0.3">
      <c r="A1411" t="s">
        <v>1479</v>
      </c>
      <c r="B1411" s="2">
        <v>46701</v>
      </c>
      <c r="C1411" t="s">
        <v>38</v>
      </c>
      <c r="D1411" t="str">
        <f t="shared" ref="D1411:D1474" si="22">TEXT(B1411,"mmmm")</f>
        <v>November</v>
      </c>
      <c r="E1411" t="s">
        <v>39</v>
      </c>
      <c r="F1411" t="s">
        <v>17</v>
      </c>
      <c r="G1411" t="s">
        <v>67</v>
      </c>
      <c r="H1411" t="s">
        <v>27</v>
      </c>
      <c r="I1411" t="s">
        <v>20</v>
      </c>
      <c r="J1411" t="s">
        <v>35</v>
      </c>
      <c r="K1411">
        <v>3</v>
      </c>
      <c r="L1411">
        <v>65451.69</v>
      </c>
      <c r="M1411">
        <v>5</v>
      </c>
      <c r="N1411">
        <v>186537.33</v>
      </c>
      <c r="O1411" t="s">
        <v>22</v>
      </c>
    </row>
    <row r="1412" spans="1:15" x14ac:dyDescent="0.3">
      <c r="A1412" t="s">
        <v>1480</v>
      </c>
      <c r="B1412" s="2">
        <v>46702</v>
      </c>
      <c r="C1412" t="s">
        <v>49</v>
      </c>
      <c r="D1412" t="str">
        <f t="shared" si="22"/>
        <v>November</v>
      </c>
      <c r="E1412" t="s">
        <v>100</v>
      </c>
      <c r="F1412" t="s">
        <v>25</v>
      </c>
      <c r="G1412" t="s">
        <v>26</v>
      </c>
      <c r="H1412" t="s">
        <v>19</v>
      </c>
      <c r="I1412" t="s">
        <v>34</v>
      </c>
      <c r="J1412" t="s">
        <v>43</v>
      </c>
      <c r="K1412">
        <v>3</v>
      </c>
      <c r="L1412">
        <v>2188.6</v>
      </c>
      <c r="M1412">
        <v>15</v>
      </c>
      <c r="N1412">
        <v>5580.92</v>
      </c>
      <c r="O1412" t="s">
        <v>29</v>
      </c>
    </row>
    <row r="1413" spans="1:15" x14ac:dyDescent="0.3">
      <c r="A1413" t="s">
        <v>1481</v>
      </c>
      <c r="B1413" s="2">
        <v>46703</v>
      </c>
      <c r="C1413" t="s">
        <v>15</v>
      </c>
      <c r="D1413" t="str">
        <f t="shared" si="22"/>
        <v>November</v>
      </c>
      <c r="E1413" t="s">
        <v>77</v>
      </c>
      <c r="F1413" t="s">
        <v>40</v>
      </c>
      <c r="G1413" t="s">
        <v>115</v>
      </c>
      <c r="H1413" t="s">
        <v>19</v>
      </c>
      <c r="I1413" t="s">
        <v>34</v>
      </c>
      <c r="J1413" t="s">
        <v>43</v>
      </c>
      <c r="K1413">
        <v>1</v>
      </c>
      <c r="L1413">
        <v>7384.89</v>
      </c>
      <c r="M1413">
        <v>5</v>
      </c>
      <c r="N1413">
        <v>7015.64</v>
      </c>
      <c r="O1413" t="s">
        <v>22</v>
      </c>
    </row>
    <row r="1414" spans="1:15" x14ac:dyDescent="0.3">
      <c r="A1414" t="s">
        <v>1482</v>
      </c>
      <c r="B1414" s="2">
        <v>46704</v>
      </c>
      <c r="C1414" t="s">
        <v>15</v>
      </c>
      <c r="D1414" t="str">
        <f t="shared" si="22"/>
        <v>November</v>
      </c>
      <c r="E1414" t="s">
        <v>52</v>
      </c>
      <c r="F1414" t="s">
        <v>60</v>
      </c>
      <c r="G1414" t="s">
        <v>78</v>
      </c>
      <c r="H1414" t="s">
        <v>45</v>
      </c>
      <c r="I1414" t="s">
        <v>20</v>
      </c>
      <c r="J1414" t="s">
        <v>21</v>
      </c>
      <c r="K1414">
        <v>1</v>
      </c>
      <c r="L1414">
        <v>47682.28</v>
      </c>
      <c r="M1414">
        <v>0</v>
      </c>
      <c r="N1414">
        <v>47682.28</v>
      </c>
      <c r="O1414" t="s">
        <v>22</v>
      </c>
    </row>
    <row r="1415" spans="1:15" x14ac:dyDescent="0.3">
      <c r="A1415" t="s">
        <v>1483</v>
      </c>
      <c r="B1415" s="2">
        <v>46705</v>
      </c>
      <c r="C1415" t="s">
        <v>38</v>
      </c>
      <c r="D1415" t="str">
        <f t="shared" si="22"/>
        <v>November</v>
      </c>
      <c r="E1415" t="s">
        <v>16</v>
      </c>
      <c r="F1415" t="s">
        <v>17</v>
      </c>
      <c r="G1415" t="s">
        <v>18</v>
      </c>
      <c r="H1415" t="s">
        <v>27</v>
      </c>
      <c r="I1415" t="s">
        <v>42</v>
      </c>
      <c r="J1415" t="s">
        <v>46</v>
      </c>
      <c r="K1415">
        <v>5</v>
      </c>
      <c r="L1415">
        <v>53468.6</v>
      </c>
      <c r="M1415">
        <v>0</v>
      </c>
      <c r="N1415">
        <v>267343.02</v>
      </c>
      <c r="O1415" t="s">
        <v>47</v>
      </c>
    </row>
    <row r="1416" spans="1:15" x14ac:dyDescent="0.3">
      <c r="A1416" t="s">
        <v>1484</v>
      </c>
      <c r="B1416" s="2">
        <v>46706</v>
      </c>
      <c r="C1416" t="s">
        <v>15</v>
      </c>
      <c r="D1416" t="str">
        <f t="shared" si="22"/>
        <v>November</v>
      </c>
      <c r="E1416" t="s">
        <v>50</v>
      </c>
      <c r="F1416" t="s">
        <v>25</v>
      </c>
      <c r="G1416" t="s">
        <v>26</v>
      </c>
      <c r="H1416" t="s">
        <v>45</v>
      </c>
      <c r="I1416" t="s">
        <v>42</v>
      </c>
      <c r="J1416" t="s">
        <v>21</v>
      </c>
      <c r="K1416">
        <v>4</v>
      </c>
      <c r="L1416">
        <v>3013.62</v>
      </c>
      <c r="M1416">
        <v>5</v>
      </c>
      <c r="N1416">
        <v>11451.76</v>
      </c>
      <c r="O1416" t="s">
        <v>47</v>
      </c>
    </row>
    <row r="1417" spans="1:15" x14ac:dyDescent="0.3">
      <c r="A1417" t="s">
        <v>1485</v>
      </c>
      <c r="B1417" s="2">
        <v>46707</v>
      </c>
      <c r="C1417" t="s">
        <v>58</v>
      </c>
      <c r="D1417" t="str">
        <f t="shared" si="22"/>
        <v>November</v>
      </c>
      <c r="E1417" t="s">
        <v>72</v>
      </c>
      <c r="F1417" t="s">
        <v>17</v>
      </c>
      <c r="G1417" t="s">
        <v>18</v>
      </c>
      <c r="H1417" t="s">
        <v>45</v>
      </c>
      <c r="I1417" t="s">
        <v>20</v>
      </c>
      <c r="J1417" t="s">
        <v>43</v>
      </c>
      <c r="K1417">
        <v>4</v>
      </c>
      <c r="L1417">
        <v>57827.59</v>
      </c>
      <c r="M1417">
        <v>0</v>
      </c>
      <c r="N1417">
        <v>231310.36</v>
      </c>
      <c r="O1417" t="s">
        <v>22</v>
      </c>
    </row>
    <row r="1418" spans="1:15" x14ac:dyDescent="0.3">
      <c r="A1418" t="s">
        <v>1486</v>
      </c>
      <c r="B1418" s="2">
        <v>46708</v>
      </c>
      <c r="C1418" t="s">
        <v>49</v>
      </c>
      <c r="D1418" t="str">
        <f t="shared" si="22"/>
        <v>November</v>
      </c>
      <c r="E1418" t="s">
        <v>100</v>
      </c>
      <c r="F1418" t="s">
        <v>25</v>
      </c>
      <c r="G1418" t="s">
        <v>81</v>
      </c>
      <c r="H1418" t="s">
        <v>33</v>
      </c>
      <c r="I1418" t="s">
        <v>42</v>
      </c>
      <c r="J1418" t="s">
        <v>35</v>
      </c>
      <c r="K1418">
        <v>4</v>
      </c>
      <c r="L1418">
        <v>2413.94</v>
      </c>
      <c r="M1418">
        <v>10</v>
      </c>
      <c r="N1418">
        <v>8690.19</v>
      </c>
      <c r="O1418" t="s">
        <v>47</v>
      </c>
    </row>
    <row r="1419" spans="1:15" x14ac:dyDescent="0.3">
      <c r="A1419" t="s">
        <v>1487</v>
      </c>
      <c r="B1419" s="2">
        <v>46709</v>
      </c>
      <c r="C1419" t="s">
        <v>49</v>
      </c>
      <c r="D1419" t="str">
        <f t="shared" si="22"/>
        <v>November</v>
      </c>
      <c r="E1419" t="s">
        <v>16</v>
      </c>
      <c r="F1419" t="s">
        <v>17</v>
      </c>
      <c r="G1419" t="s">
        <v>67</v>
      </c>
      <c r="H1419" t="s">
        <v>45</v>
      </c>
      <c r="I1419" t="s">
        <v>20</v>
      </c>
      <c r="J1419" t="s">
        <v>21</v>
      </c>
      <c r="K1419">
        <v>1</v>
      </c>
      <c r="L1419">
        <v>58064.7</v>
      </c>
      <c r="M1419">
        <v>20</v>
      </c>
      <c r="N1419">
        <v>46451.76</v>
      </c>
      <c r="O1419" t="s">
        <v>47</v>
      </c>
    </row>
    <row r="1420" spans="1:15" x14ac:dyDescent="0.3">
      <c r="A1420" t="s">
        <v>1488</v>
      </c>
      <c r="B1420" s="2">
        <v>46710</v>
      </c>
      <c r="C1420" t="s">
        <v>15</v>
      </c>
      <c r="D1420" t="str">
        <f t="shared" si="22"/>
        <v>November</v>
      </c>
      <c r="E1420" t="s">
        <v>32</v>
      </c>
      <c r="F1420" t="s">
        <v>25</v>
      </c>
      <c r="G1420" t="s">
        <v>26</v>
      </c>
      <c r="H1420" t="s">
        <v>19</v>
      </c>
      <c r="I1420" t="s">
        <v>20</v>
      </c>
      <c r="J1420" t="s">
        <v>46</v>
      </c>
      <c r="K1420">
        <v>1</v>
      </c>
      <c r="L1420">
        <v>2263.1</v>
      </c>
      <c r="M1420">
        <v>5</v>
      </c>
      <c r="N1420">
        <v>2149.94</v>
      </c>
      <c r="O1420" t="s">
        <v>22</v>
      </c>
    </row>
    <row r="1421" spans="1:15" x14ac:dyDescent="0.3">
      <c r="A1421" t="s">
        <v>1489</v>
      </c>
      <c r="B1421" s="2">
        <v>46711</v>
      </c>
      <c r="C1421" t="s">
        <v>38</v>
      </c>
      <c r="D1421" t="str">
        <f t="shared" si="22"/>
        <v>November</v>
      </c>
      <c r="E1421" t="s">
        <v>100</v>
      </c>
      <c r="F1421" t="s">
        <v>25</v>
      </c>
      <c r="G1421" t="s">
        <v>81</v>
      </c>
      <c r="H1421" t="s">
        <v>19</v>
      </c>
      <c r="I1421" t="s">
        <v>34</v>
      </c>
      <c r="J1421" t="s">
        <v>28</v>
      </c>
      <c r="K1421">
        <v>1</v>
      </c>
      <c r="L1421">
        <v>2718.06</v>
      </c>
      <c r="M1421">
        <v>10</v>
      </c>
      <c r="N1421">
        <v>2446.2600000000002</v>
      </c>
      <c r="O1421" t="s">
        <v>36</v>
      </c>
    </row>
    <row r="1422" spans="1:15" x14ac:dyDescent="0.3">
      <c r="A1422" t="s">
        <v>1490</v>
      </c>
      <c r="B1422" s="2">
        <v>46712</v>
      </c>
      <c r="C1422" t="s">
        <v>31</v>
      </c>
      <c r="D1422" t="str">
        <f t="shared" si="22"/>
        <v>November</v>
      </c>
      <c r="E1422" t="s">
        <v>77</v>
      </c>
      <c r="F1422" t="s">
        <v>25</v>
      </c>
      <c r="G1422" t="s">
        <v>56</v>
      </c>
      <c r="H1422" t="s">
        <v>27</v>
      </c>
      <c r="I1422" t="s">
        <v>42</v>
      </c>
      <c r="J1422" t="s">
        <v>28</v>
      </c>
      <c r="K1422">
        <v>5</v>
      </c>
      <c r="L1422">
        <v>2611.21</v>
      </c>
      <c r="M1422">
        <v>15</v>
      </c>
      <c r="N1422">
        <v>11097.65</v>
      </c>
      <c r="O1422" t="s">
        <v>29</v>
      </c>
    </row>
    <row r="1423" spans="1:15" x14ac:dyDescent="0.3">
      <c r="A1423" t="s">
        <v>1491</v>
      </c>
      <c r="B1423" s="2">
        <v>46713</v>
      </c>
      <c r="C1423" t="s">
        <v>31</v>
      </c>
      <c r="D1423" t="str">
        <f t="shared" si="22"/>
        <v>November</v>
      </c>
      <c r="E1423" t="s">
        <v>24</v>
      </c>
      <c r="F1423" t="s">
        <v>40</v>
      </c>
      <c r="G1423" t="s">
        <v>118</v>
      </c>
      <c r="H1423" t="s">
        <v>33</v>
      </c>
      <c r="I1423" t="s">
        <v>34</v>
      </c>
      <c r="J1423" t="s">
        <v>43</v>
      </c>
      <c r="K1423">
        <v>3</v>
      </c>
      <c r="L1423">
        <v>7432.1</v>
      </c>
      <c r="M1423">
        <v>5</v>
      </c>
      <c r="N1423">
        <v>21181.5</v>
      </c>
      <c r="O1423" t="s">
        <v>47</v>
      </c>
    </row>
    <row r="1424" spans="1:15" x14ac:dyDescent="0.3">
      <c r="A1424" t="s">
        <v>1492</v>
      </c>
      <c r="B1424" s="2">
        <v>46714</v>
      </c>
      <c r="C1424" t="s">
        <v>15</v>
      </c>
      <c r="D1424" t="str">
        <f t="shared" si="22"/>
        <v>November</v>
      </c>
      <c r="E1424" t="s">
        <v>24</v>
      </c>
      <c r="F1424" t="s">
        <v>53</v>
      </c>
      <c r="G1424" t="s">
        <v>129</v>
      </c>
      <c r="H1424" t="s">
        <v>27</v>
      </c>
      <c r="I1424" t="s">
        <v>34</v>
      </c>
      <c r="J1424" t="s">
        <v>21</v>
      </c>
      <c r="K1424">
        <v>2</v>
      </c>
      <c r="L1424">
        <v>24956.52</v>
      </c>
      <c r="M1424">
        <v>0</v>
      </c>
      <c r="N1424">
        <v>49913.03</v>
      </c>
      <c r="O1424" t="s">
        <v>36</v>
      </c>
    </row>
    <row r="1425" spans="1:15" x14ac:dyDescent="0.3">
      <c r="A1425" t="s">
        <v>1493</v>
      </c>
      <c r="B1425" s="2">
        <v>46715</v>
      </c>
      <c r="C1425" t="s">
        <v>58</v>
      </c>
      <c r="D1425" t="str">
        <f t="shared" si="22"/>
        <v>November</v>
      </c>
      <c r="E1425" t="s">
        <v>24</v>
      </c>
      <c r="F1425" t="s">
        <v>40</v>
      </c>
      <c r="G1425" t="s">
        <v>75</v>
      </c>
      <c r="H1425" t="s">
        <v>27</v>
      </c>
      <c r="I1425" t="s">
        <v>42</v>
      </c>
      <c r="J1425" t="s">
        <v>35</v>
      </c>
      <c r="K1425">
        <v>2</v>
      </c>
      <c r="L1425">
        <v>6828.77</v>
      </c>
      <c r="M1425">
        <v>20</v>
      </c>
      <c r="N1425">
        <v>10926.04</v>
      </c>
      <c r="O1425" t="s">
        <v>47</v>
      </c>
    </row>
    <row r="1426" spans="1:15" x14ac:dyDescent="0.3">
      <c r="A1426" t="s">
        <v>1494</v>
      </c>
      <c r="B1426" s="2">
        <v>46716</v>
      </c>
      <c r="C1426" t="s">
        <v>58</v>
      </c>
      <c r="D1426" t="str">
        <f t="shared" si="22"/>
        <v>November</v>
      </c>
      <c r="E1426" t="s">
        <v>69</v>
      </c>
      <c r="F1426" t="s">
        <v>40</v>
      </c>
      <c r="G1426" t="s">
        <v>115</v>
      </c>
      <c r="H1426" t="s">
        <v>27</v>
      </c>
      <c r="I1426" t="s">
        <v>42</v>
      </c>
      <c r="J1426" t="s">
        <v>46</v>
      </c>
      <c r="K1426">
        <v>3</v>
      </c>
      <c r="L1426">
        <v>6979.1</v>
      </c>
      <c r="M1426">
        <v>15</v>
      </c>
      <c r="N1426">
        <v>17796.71</v>
      </c>
      <c r="O1426" t="s">
        <v>36</v>
      </c>
    </row>
    <row r="1427" spans="1:15" x14ac:dyDescent="0.3">
      <c r="A1427" t="s">
        <v>1495</v>
      </c>
      <c r="B1427" s="2">
        <v>46717</v>
      </c>
      <c r="C1427" t="s">
        <v>15</v>
      </c>
      <c r="D1427" t="str">
        <f t="shared" si="22"/>
        <v>November</v>
      </c>
      <c r="E1427" t="s">
        <v>69</v>
      </c>
      <c r="F1427" t="s">
        <v>60</v>
      </c>
      <c r="G1427" t="s">
        <v>70</v>
      </c>
      <c r="H1427" t="s">
        <v>33</v>
      </c>
      <c r="I1427" t="s">
        <v>42</v>
      </c>
      <c r="J1427" t="s">
        <v>43</v>
      </c>
      <c r="K1427">
        <v>1</v>
      </c>
      <c r="L1427">
        <v>48369.1</v>
      </c>
      <c r="M1427">
        <v>15</v>
      </c>
      <c r="N1427">
        <v>41113.730000000003</v>
      </c>
      <c r="O1427" t="s">
        <v>47</v>
      </c>
    </row>
    <row r="1428" spans="1:15" x14ac:dyDescent="0.3">
      <c r="A1428" t="s">
        <v>1496</v>
      </c>
      <c r="B1428" s="2">
        <v>46718</v>
      </c>
      <c r="C1428" t="s">
        <v>31</v>
      </c>
      <c r="D1428" t="str">
        <f t="shared" si="22"/>
        <v>November</v>
      </c>
      <c r="E1428" t="s">
        <v>72</v>
      </c>
      <c r="F1428" t="s">
        <v>17</v>
      </c>
      <c r="G1428" t="s">
        <v>18</v>
      </c>
      <c r="H1428" t="s">
        <v>33</v>
      </c>
      <c r="I1428" t="s">
        <v>42</v>
      </c>
      <c r="J1428" t="s">
        <v>43</v>
      </c>
      <c r="K1428">
        <v>2</v>
      </c>
      <c r="L1428">
        <v>46619.41</v>
      </c>
      <c r="M1428">
        <v>5</v>
      </c>
      <c r="N1428">
        <v>88576.88</v>
      </c>
      <c r="O1428" t="s">
        <v>47</v>
      </c>
    </row>
    <row r="1429" spans="1:15" x14ac:dyDescent="0.3">
      <c r="A1429" t="s">
        <v>1497</v>
      </c>
      <c r="B1429" s="2">
        <v>46719</v>
      </c>
      <c r="C1429" t="s">
        <v>58</v>
      </c>
      <c r="D1429" t="str">
        <f t="shared" si="22"/>
        <v>November</v>
      </c>
      <c r="E1429" t="s">
        <v>32</v>
      </c>
      <c r="F1429" t="s">
        <v>40</v>
      </c>
      <c r="G1429" t="s">
        <v>115</v>
      </c>
      <c r="H1429" t="s">
        <v>33</v>
      </c>
      <c r="I1429" t="s">
        <v>42</v>
      </c>
      <c r="J1429" t="s">
        <v>35</v>
      </c>
      <c r="K1429">
        <v>5</v>
      </c>
      <c r="L1429">
        <v>7412.37</v>
      </c>
      <c r="M1429">
        <v>5</v>
      </c>
      <c r="N1429">
        <v>35208.75</v>
      </c>
      <c r="O1429" t="s">
        <v>47</v>
      </c>
    </row>
    <row r="1430" spans="1:15" x14ac:dyDescent="0.3">
      <c r="A1430" t="s">
        <v>1498</v>
      </c>
      <c r="B1430" s="2">
        <v>46720</v>
      </c>
      <c r="C1430" t="s">
        <v>49</v>
      </c>
      <c r="D1430" t="str">
        <f t="shared" si="22"/>
        <v>November</v>
      </c>
      <c r="E1430" t="s">
        <v>24</v>
      </c>
      <c r="F1430" t="s">
        <v>25</v>
      </c>
      <c r="G1430" t="s">
        <v>26</v>
      </c>
      <c r="H1430" t="s">
        <v>27</v>
      </c>
      <c r="I1430" t="s">
        <v>42</v>
      </c>
      <c r="J1430" t="s">
        <v>21</v>
      </c>
      <c r="K1430">
        <v>1</v>
      </c>
      <c r="L1430">
        <v>2956.92</v>
      </c>
      <c r="M1430">
        <v>20</v>
      </c>
      <c r="N1430">
        <v>2365.5300000000002</v>
      </c>
      <c r="O1430" t="s">
        <v>22</v>
      </c>
    </row>
    <row r="1431" spans="1:15" x14ac:dyDescent="0.3">
      <c r="A1431" t="s">
        <v>1499</v>
      </c>
      <c r="B1431" s="2">
        <v>46721</v>
      </c>
      <c r="C1431" t="s">
        <v>38</v>
      </c>
      <c r="D1431" t="str">
        <f t="shared" si="22"/>
        <v>November</v>
      </c>
      <c r="E1431" t="s">
        <v>52</v>
      </c>
      <c r="F1431" t="s">
        <v>53</v>
      </c>
      <c r="G1431" t="s">
        <v>105</v>
      </c>
      <c r="H1431" t="s">
        <v>33</v>
      </c>
      <c r="I1431" t="s">
        <v>20</v>
      </c>
      <c r="J1431" t="s">
        <v>35</v>
      </c>
      <c r="K1431">
        <v>2</v>
      </c>
      <c r="L1431">
        <v>33835.56</v>
      </c>
      <c r="M1431">
        <v>5</v>
      </c>
      <c r="N1431">
        <v>64287.57</v>
      </c>
      <c r="O1431" t="s">
        <v>47</v>
      </c>
    </row>
    <row r="1432" spans="1:15" x14ac:dyDescent="0.3">
      <c r="A1432" t="s">
        <v>1500</v>
      </c>
      <c r="B1432" s="2">
        <v>46722</v>
      </c>
      <c r="C1432" t="s">
        <v>49</v>
      </c>
      <c r="D1432" t="str">
        <f t="shared" si="22"/>
        <v>December</v>
      </c>
      <c r="E1432" t="s">
        <v>77</v>
      </c>
      <c r="F1432" t="s">
        <v>17</v>
      </c>
      <c r="G1432" t="s">
        <v>67</v>
      </c>
      <c r="H1432" t="s">
        <v>45</v>
      </c>
      <c r="I1432" t="s">
        <v>20</v>
      </c>
      <c r="J1432" t="s">
        <v>35</v>
      </c>
      <c r="K1432">
        <v>5</v>
      </c>
      <c r="L1432">
        <v>52536.959999999999</v>
      </c>
      <c r="M1432">
        <v>10</v>
      </c>
      <c r="N1432">
        <v>236416.33</v>
      </c>
      <c r="O1432" t="s">
        <v>29</v>
      </c>
    </row>
    <row r="1433" spans="1:15" x14ac:dyDescent="0.3">
      <c r="A1433" t="s">
        <v>1501</v>
      </c>
      <c r="B1433" s="2">
        <v>46723</v>
      </c>
      <c r="C1433" t="s">
        <v>38</v>
      </c>
      <c r="D1433" t="str">
        <f t="shared" si="22"/>
        <v>December</v>
      </c>
      <c r="E1433" t="s">
        <v>32</v>
      </c>
      <c r="F1433" t="s">
        <v>53</v>
      </c>
      <c r="G1433" t="s">
        <v>54</v>
      </c>
      <c r="H1433" t="s">
        <v>33</v>
      </c>
      <c r="I1433" t="s">
        <v>42</v>
      </c>
      <c r="J1433" t="s">
        <v>21</v>
      </c>
      <c r="K1433">
        <v>4</v>
      </c>
      <c r="L1433">
        <v>33594.400000000001</v>
      </c>
      <c r="M1433">
        <v>10</v>
      </c>
      <c r="N1433">
        <v>120939.83</v>
      </c>
      <c r="O1433" t="s">
        <v>22</v>
      </c>
    </row>
    <row r="1434" spans="1:15" x14ac:dyDescent="0.3">
      <c r="A1434" t="s">
        <v>1502</v>
      </c>
      <c r="B1434" s="2">
        <v>46724</v>
      </c>
      <c r="C1434" t="s">
        <v>31</v>
      </c>
      <c r="D1434" t="str">
        <f t="shared" si="22"/>
        <v>December</v>
      </c>
      <c r="E1434" t="s">
        <v>39</v>
      </c>
      <c r="F1434" t="s">
        <v>40</v>
      </c>
      <c r="G1434" t="s">
        <v>118</v>
      </c>
      <c r="H1434" t="s">
        <v>19</v>
      </c>
      <c r="I1434" t="s">
        <v>42</v>
      </c>
      <c r="J1434" t="s">
        <v>21</v>
      </c>
      <c r="K1434">
        <v>2</v>
      </c>
      <c r="L1434">
        <v>5265.92</v>
      </c>
      <c r="M1434">
        <v>5</v>
      </c>
      <c r="N1434">
        <v>10005.24</v>
      </c>
      <c r="O1434" t="s">
        <v>47</v>
      </c>
    </row>
    <row r="1435" spans="1:15" x14ac:dyDescent="0.3">
      <c r="A1435" t="s">
        <v>1503</v>
      </c>
      <c r="B1435" s="2">
        <v>46725</v>
      </c>
      <c r="C1435" t="s">
        <v>38</v>
      </c>
      <c r="D1435" t="str">
        <f t="shared" si="22"/>
        <v>December</v>
      </c>
      <c r="E1435" t="s">
        <v>100</v>
      </c>
      <c r="F1435" t="s">
        <v>40</v>
      </c>
      <c r="G1435" t="s">
        <v>75</v>
      </c>
      <c r="H1435" t="s">
        <v>19</v>
      </c>
      <c r="I1435" t="s">
        <v>42</v>
      </c>
      <c r="J1435" t="s">
        <v>35</v>
      </c>
      <c r="K1435">
        <v>4</v>
      </c>
      <c r="L1435">
        <v>7934.58</v>
      </c>
      <c r="M1435">
        <v>15</v>
      </c>
      <c r="N1435">
        <v>26977.56</v>
      </c>
      <c r="O1435" t="s">
        <v>47</v>
      </c>
    </row>
    <row r="1436" spans="1:15" x14ac:dyDescent="0.3">
      <c r="A1436" t="s">
        <v>1504</v>
      </c>
      <c r="B1436" s="2">
        <v>46726</v>
      </c>
      <c r="C1436" t="s">
        <v>38</v>
      </c>
      <c r="D1436" t="str">
        <f t="shared" si="22"/>
        <v>December</v>
      </c>
      <c r="E1436" t="s">
        <v>32</v>
      </c>
      <c r="F1436" t="s">
        <v>60</v>
      </c>
      <c r="G1436" t="s">
        <v>73</v>
      </c>
      <c r="H1436" t="s">
        <v>33</v>
      </c>
      <c r="I1436" t="s">
        <v>34</v>
      </c>
      <c r="J1436" t="s">
        <v>28</v>
      </c>
      <c r="K1436">
        <v>4</v>
      </c>
      <c r="L1436">
        <v>41732.629999999997</v>
      </c>
      <c r="M1436">
        <v>5</v>
      </c>
      <c r="N1436">
        <v>158584</v>
      </c>
      <c r="O1436" t="s">
        <v>47</v>
      </c>
    </row>
    <row r="1437" spans="1:15" x14ac:dyDescent="0.3">
      <c r="A1437" t="s">
        <v>1505</v>
      </c>
      <c r="B1437" s="2">
        <v>46727</v>
      </c>
      <c r="C1437" t="s">
        <v>38</v>
      </c>
      <c r="D1437" t="str">
        <f t="shared" si="22"/>
        <v>December</v>
      </c>
      <c r="E1437" t="s">
        <v>77</v>
      </c>
      <c r="F1437" t="s">
        <v>40</v>
      </c>
      <c r="G1437" t="s">
        <v>41</v>
      </c>
      <c r="H1437" t="s">
        <v>27</v>
      </c>
      <c r="I1437" t="s">
        <v>20</v>
      </c>
      <c r="J1437" t="s">
        <v>21</v>
      </c>
      <c r="K1437">
        <v>2</v>
      </c>
      <c r="L1437">
        <v>7723.32</v>
      </c>
      <c r="M1437">
        <v>0</v>
      </c>
      <c r="N1437">
        <v>15446.64</v>
      </c>
      <c r="O1437" t="s">
        <v>29</v>
      </c>
    </row>
    <row r="1438" spans="1:15" x14ac:dyDescent="0.3">
      <c r="A1438" t="s">
        <v>1506</v>
      </c>
      <c r="B1438" s="2">
        <v>46728</v>
      </c>
      <c r="C1438" t="s">
        <v>15</v>
      </c>
      <c r="D1438" t="str">
        <f t="shared" si="22"/>
        <v>December</v>
      </c>
      <c r="E1438" t="s">
        <v>16</v>
      </c>
      <c r="F1438" t="s">
        <v>17</v>
      </c>
      <c r="G1438" t="s">
        <v>67</v>
      </c>
      <c r="H1438" t="s">
        <v>27</v>
      </c>
      <c r="I1438" t="s">
        <v>20</v>
      </c>
      <c r="J1438" t="s">
        <v>35</v>
      </c>
      <c r="K1438">
        <v>2</v>
      </c>
      <c r="L1438">
        <v>62050.76</v>
      </c>
      <c r="M1438">
        <v>10</v>
      </c>
      <c r="N1438">
        <v>111691.37</v>
      </c>
      <c r="O1438" t="s">
        <v>22</v>
      </c>
    </row>
    <row r="1439" spans="1:15" x14ac:dyDescent="0.3">
      <c r="A1439" t="s">
        <v>1507</v>
      </c>
      <c r="B1439" s="2">
        <v>46729</v>
      </c>
      <c r="C1439" t="s">
        <v>38</v>
      </c>
      <c r="D1439" t="str">
        <f t="shared" si="22"/>
        <v>December</v>
      </c>
      <c r="E1439" t="s">
        <v>72</v>
      </c>
      <c r="F1439" t="s">
        <v>25</v>
      </c>
      <c r="G1439" t="s">
        <v>26</v>
      </c>
      <c r="H1439" t="s">
        <v>19</v>
      </c>
      <c r="I1439" t="s">
        <v>20</v>
      </c>
      <c r="J1439" t="s">
        <v>35</v>
      </c>
      <c r="K1439">
        <v>3</v>
      </c>
      <c r="L1439">
        <v>2850.46</v>
      </c>
      <c r="M1439">
        <v>10</v>
      </c>
      <c r="N1439">
        <v>7696.24</v>
      </c>
      <c r="O1439" t="s">
        <v>47</v>
      </c>
    </row>
    <row r="1440" spans="1:15" x14ac:dyDescent="0.3">
      <c r="A1440" t="s">
        <v>1508</v>
      </c>
      <c r="B1440" s="2">
        <v>46730</v>
      </c>
      <c r="C1440" t="s">
        <v>15</v>
      </c>
      <c r="D1440" t="str">
        <f t="shared" si="22"/>
        <v>December</v>
      </c>
      <c r="E1440" t="s">
        <v>100</v>
      </c>
      <c r="F1440" t="s">
        <v>53</v>
      </c>
      <c r="G1440" t="s">
        <v>105</v>
      </c>
      <c r="H1440" t="s">
        <v>45</v>
      </c>
      <c r="I1440" t="s">
        <v>20</v>
      </c>
      <c r="J1440" t="s">
        <v>28</v>
      </c>
      <c r="K1440">
        <v>5</v>
      </c>
      <c r="L1440">
        <v>30199.29</v>
      </c>
      <c r="M1440">
        <v>0</v>
      </c>
      <c r="N1440">
        <v>150996.47</v>
      </c>
      <c r="O1440" t="s">
        <v>47</v>
      </c>
    </row>
    <row r="1441" spans="1:15" x14ac:dyDescent="0.3">
      <c r="A1441" t="s">
        <v>1509</v>
      </c>
      <c r="B1441" s="2">
        <v>46731</v>
      </c>
      <c r="C1441" t="s">
        <v>49</v>
      </c>
      <c r="D1441" t="str">
        <f t="shared" si="22"/>
        <v>December</v>
      </c>
      <c r="E1441" t="s">
        <v>39</v>
      </c>
      <c r="F1441" t="s">
        <v>40</v>
      </c>
      <c r="G1441" t="s">
        <v>75</v>
      </c>
      <c r="H1441" t="s">
        <v>33</v>
      </c>
      <c r="I1441" t="s">
        <v>42</v>
      </c>
      <c r="J1441" t="s">
        <v>46</v>
      </c>
      <c r="K1441">
        <v>2</v>
      </c>
      <c r="L1441">
        <v>6585.93</v>
      </c>
      <c r="M1441">
        <v>5</v>
      </c>
      <c r="N1441">
        <v>12513.27</v>
      </c>
      <c r="O1441" t="s">
        <v>22</v>
      </c>
    </row>
    <row r="1442" spans="1:15" x14ac:dyDescent="0.3">
      <c r="A1442" t="s">
        <v>1510</v>
      </c>
      <c r="B1442" s="2">
        <v>46732</v>
      </c>
      <c r="C1442" t="s">
        <v>15</v>
      </c>
      <c r="D1442" t="str">
        <f t="shared" si="22"/>
        <v>December</v>
      </c>
      <c r="E1442" t="s">
        <v>52</v>
      </c>
      <c r="F1442" t="s">
        <v>25</v>
      </c>
      <c r="G1442" t="s">
        <v>26</v>
      </c>
      <c r="H1442" t="s">
        <v>19</v>
      </c>
      <c r="I1442" t="s">
        <v>20</v>
      </c>
      <c r="J1442" t="s">
        <v>21</v>
      </c>
      <c r="K1442">
        <v>5</v>
      </c>
      <c r="L1442">
        <v>2874.17</v>
      </c>
      <c r="M1442">
        <v>10</v>
      </c>
      <c r="N1442">
        <v>12933.74</v>
      </c>
      <c r="O1442" t="s">
        <v>47</v>
      </c>
    </row>
    <row r="1443" spans="1:15" x14ac:dyDescent="0.3">
      <c r="A1443" t="s">
        <v>1511</v>
      </c>
      <c r="B1443" s="2">
        <v>46733</v>
      </c>
      <c r="C1443" t="s">
        <v>49</v>
      </c>
      <c r="D1443" t="str">
        <f t="shared" si="22"/>
        <v>December</v>
      </c>
      <c r="E1443" t="s">
        <v>100</v>
      </c>
      <c r="F1443" t="s">
        <v>17</v>
      </c>
      <c r="G1443" t="s">
        <v>18</v>
      </c>
      <c r="H1443" t="s">
        <v>27</v>
      </c>
      <c r="I1443" t="s">
        <v>20</v>
      </c>
      <c r="J1443" t="s">
        <v>35</v>
      </c>
      <c r="K1443">
        <v>1</v>
      </c>
      <c r="L1443">
        <v>49357.55</v>
      </c>
      <c r="M1443">
        <v>15</v>
      </c>
      <c r="N1443">
        <v>41953.919999999998</v>
      </c>
      <c r="O1443" t="s">
        <v>47</v>
      </c>
    </row>
    <row r="1444" spans="1:15" x14ac:dyDescent="0.3">
      <c r="A1444" t="s">
        <v>1512</v>
      </c>
      <c r="B1444" s="2">
        <v>46734</v>
      </c>
      <c r="C1444" t="s">
        <v>31</v>
      </c>
      <c r="D1444" t="str">
        <f t="shared" si="22"/>
        <v>December</v>
      </c>
      <c r="E1444" t="s">
        <v>72</v>
      </c>
      <c r="F1444" t="s">
        <v>40</v>
      </c>
      <c r="G1444" t="s">
        <v>41</v>
      </c>
      <c r="H1444" t="s">
        <v>45</v>
      </c>
      <c r="I1444" t="s">
        <v>20</v>
      </c>
      <c r="J1444" t="s">
        <v>46</v>
      </c>
      <c r="K1444">
        <v>5</v>
      </c>
      <c r="L1444">
        <v>5135.63</v>
      </c>
      <c r="M1444">
        <v>0</v>
      </c>
      <c r="N1444">
        <v>25678.15</v>
      </c>
      <c r="O1444" t="s">
        <v>47</v>
      </c>
    </row>
    <row r="1445" spans="1:15" x14ac:dyDescent="0.3">
      <c r="A1445" t="s">
        <v>1513</v>
      </c>
      <c r="B1445" s="2">
        <v>46735</v>
      </c>
      <c r="C1445" t="s">
        <v>38</v>
      </c>
      <c r="D1445" t="str">
        <f t="shared" si="22"/>
        <v>December</v>
      </c>
      <c r="E1445" t="s">
        <v>72</v>
      </c>
      <c r="F1445" t="s">
        <v>40</v>
      </c>
      <c r="G1445" t="s">
        <v>118</v>
      </c>
      <c r="H1445" t="s">
        <v>19</v>
      </c>
      <c r="I1445" t="s">
        <v>20</v>
      </c>
      <c r="J1445" t="s">
        <v>35</v>
      </c>
      <c r="K1445">
        <v>5</v>
      </c>
      <c r="L1445">
        <v>5294.59</v>
      </c>
      <c r="M1445">
        <v>15</v>
      </c>
      <c r="N1445">
        <v>22501.99</v>
      </c>
      <c r="O1445" t="s">
        <v>29</v>
      </c>
    </row>
    <row r="1446" spans="1:15" x14ac:dyDescent="0.3">
      <c r="A1446" t="s">
        <v>1514</v>
      </c>
      <c r="B1446" s="2">
        <v>46736</v>
      </c>
      <c r="C1446" t="s">
        <v>38</v>
      </c>
      <c r="D1446" t="str">
        <f t="shared" si="22"/>
        <v>December</v>
      </c>
      <c r="E1446" t="s">
        <v>16</v>
      </c>
      <c r="F1446" t="s">
        <v>40</v>
      </c>
      <c r="G1446" t="s">
        <v>118</v>
      </c>
      <c r="H1446" t="s">
        <v>45</v>
      </c>
      <c r="I1446" t="s">
        <v>42</v>
      </c>
      <c r="J1446" t="s">
        <v>43</v>
      </c>
      <c r="K1446">
        <v>4</v>
      </c>
      <c r="L1446">
        <v>5843.02</v>
      </c>
      <c r="M1446">
        <v>0</v>
      </c>
      <c r="N1446">
        <v>23372.09</v>
      </c>
      <c r="O1446" t="s">
        <v>47</v>
      </c>
    </row>
    <row r="1447" spans="1:15" x14ac:dyDescent="0.3">
      <c r="A1447" t="s">
        <v>1515</v>
      </c>
      <c r="B1447" s="2">
        <v>46737</v>
      </c>
      <c r="C1447" t="s">
        <v>15</v>
      </c>
      <c r="D1447" t="str">
        <f t="shared" si="22"/>
        <v>December</v>
      </c>
      <c r="E1447" t="s">
        <v>50</v>
      </c>
      <c r="F1447" t="s">
        <v>17</v>
      </c>
      <c r="G1447" t="s">
        <v>18</v>
      </c>
      <c r="H1447" t="s">
        <v>19</v>
      </c>
      <c r="I1447" t="s">
        <v>42</v>
      </c>
      <c r="J1447" t="s">
        <v>43</v>
      </c>
      <c r="K1447">
        <v>3</v>
      </c>
      <c r="L1447">
        <v>45641.14</v>
      </c>
      <c r="M1447">
        <v>5</v>
      </c>
      <c r="N1447">
        <v>130077.25</v>
      </c>
      <c r="O1447" t="s">
        <v>47</v>
      </c>
    </row>
    <row r="1448" spans="1:15" x14ac:dyDescent="0.3">
      <c r="A1448" t="s">
        <v>1516</v>
      </c>
      <c r="B1448" s="2">
        <v>46738</v>
      </c>
      <c r="C1448" t="s">
        <v>38</v>
      </c>
      <c r="D1448" t="str">
        <f t="shared" si="22"/>
        <v>December</v>
      </c>
      <c r="E1448" t="s">
        <v>52</v>
      </c>
      <c r="F1448" t="s">
        <v>53</v>
      </c>
      <c r="G1448" t="s">
        <v>105</v>
      </c>
      <c r="H1448" t="s">
        <v>27</v>
      </c>
      <c r="I1448" t="s">
        <v>34</v>
      </c>
      <c r="J1448" t="s">
        <v>35</v>
      </c>
      <c r="K1448">
        <v>1</v>
      </c>
      <c r="L1448">
        <v>24009.27</v>
      </c>
      <c r="M1448">
        <v>5</v>
      </c>
      <c r="N1448">
        <v>22808.799999999999</v>
      </c>
      <c r="O1448" t="s">
        <v>29</v>
      </c>
    </row>
    <row r="1449" spans="1:15" x14ac:dyDescent="0.3">
      <c r="A1449" t="s">
        <v>1517</v>
      </c>
      <c r="B1449" s="2">
        <v>46739</v>
      </c>
      <c r="C1449" t="s">
        <v>31</v>
      </c>
      <c r="D1449" t="str">
        <f t="shared" si="22"/>
        <v>December</v>
      </c>
      <c r="E1449" t="s">
        <v>32</v>
      </c>
      <c r="F1449" t="s">
        <v>60</v>
      </c>
      <c r="G1449" t="s">
        <v>70</v>
      </c>
      <c r="H1449" t="s">
        <v>19</v>
      </c>
      <c r="I1449" t="s">
        <v>34</v>
      </c>
      <c r="J1449" t="s">
        <v>21</v>
      </c>
      <c r="K1449">
        <v>4</v>
      </c>
      <c r="L1449">
        <v>33790.449999999997</v>
      </c>
      <c r="M1449">
        <v>20</v>
      </c>
      <c r="N1449">
        <v>108129.44</v>
      </c>
      <c r="O1449" t="s">
        <v>47</v>
      </c>
    </row>
    <row r="1450" spans="1:15" x14ac:dyDescent="0.3">
      <c r="A1450" t="s">
        <v>1518</v>
      </c>
      <c r="B1450" s="2">
        <v>46740</v>
      </c>
      <c r="C1450" t="s">
        <v>58</v>
      </c>
      <c r="D1450" t="str">
        <f t="shared" si="22"/>
        <v>December</v>
      </c>
      <c r="E1450" t="s">
        <v>32</v>
      </c>
      <c r="F1450" t="s">
        <v>60</v>
      </c>
      <c r="G1450" t="s">
        <v>78</v>
      </c>
      <c r="H1450" t="s">
        <v>27</v>
      </c>
      <c r="I1450" t="s">
        <v>42</v>
      </c>
      <c r="J1450" t="s">
        <v>46</v>
      </c>
      <c r="K1450">
        <v>3</v>
      </c>
      <c r="L1450">
        <v>34952.32</v>
      </c>
      <c r="M1450">
        <v>0</v>
      </c>
      <c r="N1450">
        <v>104856.96000000001</v>
      </c>
      <c r="O1450" t="s">
        <v>22</v>
      </c>
    </row>
    <row r="1451" spans="1:15" x14ac:dyDescent="0.3">
      <c r="A1451" t="s">
        <v>1519</v>
      </c>
      <c r="B1451" s="2">
        <v>46741</v>
      </c>
      <c r="C1451" t="s">
        <v>49</v>
      </c>
      <c r="D1451" t="str">
        <f t="shared" si="22"/>
        <v>December</v>
      </c>
      <c r="E1451" t="s">
        <v>52</v>
      </c>
      <c r="F1451" t="s">
        <v>60</v>
      </c>
      <c r="G1451" t="s">
        <v>61</v>
      </c>
      <c r="H1451" t="s">
        <v>27</v>
      </c>
      <c r="I1451" t="s">
        <v>20</v>
      </c>
      <c r="J1451" t="s">
        <v>46</v>
      </c>
      <c r="K1451">
        <v>2</v>
      </c>
      <c r="L1451">
        <v>51696.13</v>
      </c>
      <c r="M1451">
        <v>10</v>
      </c>
      <c r="N1451">
        <v>93053.04</v>
      </c>
      <c r="O1451" t="s">
        <v>22</v>
      </c>
    </row>
    <row r="1452" spans="1:15" x14ac:dyDescent="0.3">
      <c r="A1452" t="s">
        <v>1520</v>
      </c>
      <c r="B1452" s="2">
        <v>46742</v>
      </c>
      <c r="C1452" t="s">
        <v>38</v>
      </c>
      <c r="D1452" t="str">
        <f t="shared" si="22"/>
        <v>December</v>
      </c>
      <c r="E1452" t="s">
        <v>52</v>
      </c>
      <c r="F1452" t="s">
        <v>25</v>
      </c>
      <c r="G1452" t="s">
        <v>92</v>
      </c>
      <c r="H1452" t="s">
        <v>33</v>
      </c>
      <c r="I1452" t="s">
        <v>20</v>
      </c>
      <c r="J1452" t="s">
        <v>28</v>
      </c>
      <c r="K1452">
        <v>4</v>
      </c>
      <c r="L1452">
        <v>2925.23</v>
      </c>
      <c r="M1452">
        <v>5</v>
      </c>
      <c r="N1452">
        <v>11115.89</v>
      </c>
      <c r="O1452" t="s">
        <v>47</v>
      </c>
    </row>
    <row r="1453" spans="1:15" x14ac:dyDescent="0.3">
      <c r="A1453" t="s">
        <v>1521</v>
      </c>
      <c r="B1453" s="2">
        <v>46743</v>
      </c>
      <c r="C1453" t="s">
        <v>58</v>
      </c>
      <c r="D1453" t="str">
        <f t="shared" si="22"/>
        <v>December</v>
      </c>
      <c r="E1453" t="s">
        <v>100</v>
      </c>
      <c r="F1453" t="s">
        <v>17</v>
      </c>
      <c r="G1453" t="s">
        <v>123</v>
      </c>
      <c r="H1453" t="s">
        <v>45</v>
      </c>
      <c r="I1453" t="s">
        <v>20</v>
      </c>
      <c r="J1453" t="s">
        <v>46</v>
      </c>
      <c r="K1453">
        <v>3</v>
      </c>
      <c r="L1453">
        <v>55770.95</v>
      </c>
      <c r="M1453">
        <v>10</v>
      </c>
      <c r="N1453">
        <v>150581.56</v>
      </c>
      <c r="O1453" t="s">
        <v>29</v>
      </c>
    </row>
    <row r="1454" spans="1:15" x14ac:dyDescent="0.3">
      <c r="A1454" t="s">
        <v>1522</v>
      </c>
      <c r="B1454" s="2">
        <v>46744</v>
      </c>
      <c r="C1454" t="s">
        <v>38</v>
      </c>
      <c r="D1454" t="str">
        <f t="shared" si="22"/>
        <v>December</v>
      </c>
      <c r="E1454" t="s">
        <v>16</v>
      </c>
      <c r="F1454" t="s">
        <v>53</v>
      </c>
      <c r="G1454" t="s">
        <v>65</v>
      </c>
      <c r="H1454" t="s">
        <v>27</v>
      </c>
      <c r="I1454" t="s">
        <v>42</v>
      </c>
      <c r="J1454" t="s">
        <v>28</v>
      </c>
      <c r="K1454">
        <v>5</v>
      </c>
      <c r="L1454">
        <v>36626.160000000003</v>
      </c>
      <c r="M1454">
        <v>10</v>
      </c>
      <c r="N1454">
        <v>164817.74</v>
      </c>
      <c r="O1454" t="s">
        <v>29</v>
      </c>
    </row>
    <row r="1455" spans="1:15" x14ac:dyDescent="0.3">
      <c r="A1455" t="s">
        <v>1523</v>
      </c>
      <c r="B1455" s="2">
        <v>46745</v>
      </c>
      <c r="C1455" t="s">
        <v>58</v>
      </c>
      <c r="D1455" t="str">
        <f t="shared" si="22"/>
        <v>December</v>
      </c>
      <c r="E1455" t="s">
        <v>32</v>
      </c>
      <c r="F1455" t="s">
        <v>17</v>
      </c>
      <c r="G1455" t="s">
        <v>123</v>
      </c>
      <c r="H1455" t="s">
        <v>33</v>
      </c>
      <c r="I1455" t="s">
        <v>20</v>
      </c>
      <c r="J1455" t="s">
        <v>21</v>
      </c>
      <c r="K1455">
        <v>3</v>
      </c>
      <c r="L1455">
        <v>51057.5</v>
      </c>
      <c r="M1455">
        <v>20</v>
      </c>
      <c r="N1455">
        <v>122538.01</v>
      </c>
      <c r="O1455" t="s">
        <v>22</v>
      </c>
    </row>
    <row r="1456" spans="1:15" x14ac:dyDescent="0.3">
      <c r="A1456" t="s">
        <v>1524</v>
      </c>
      <c r="B1456" s="2">
        <v>46746</v>
      </c>
      <c r="C1456" t="s">
        <v>38</v>
      </c>
      <c r="D1456" t="str">
        <f t="shared" si="22"/>
        <v>December</v>
      </c>
      <c r="E1456" t="s">
        <v>32</v>
      </c>
      <c r="F1456" t="s">
        <v>60</v>
      </c>
      <c r="G1456" t="s">
        <v>61</v>
      </c>
      <c r="H1456" t="s">
        <v>27</v>
      </c>
      <c r="I1456" t="s">
        <v>34</v>
      </c>
      <c r="J1456" t="s">
        <v>35</v>
      </c>
      <c r="K1456">
        <v>2</v>
      </c>
      <c r="L1456">
        <v>49822.46</v>
      </c>
      <c r="M1456">
        <v>15</v>
      </c>
      <c r="N1456">
        <v>84698.18</v>
      </c>
      <c r="O1456" t="s">
        <v>47</v>
      </c>
    </row>
    <row r="1457" spans="1:15" x14ac:dyDescent="0.3">
      <c r="A1457" t="s">
        <v>1525</v>
      </c>
      <c r="B1457" s="2">
        <v>46747</v>
      </c>
      <c r="C1457" t="s">
        <v>58</v>
      </c>
      <c r="D1457" t="str">
        <f t="shared" si="22"/>
        <v>December</v>
      </c>
      <c r="E1457" t="s">
        <v>50</v>
      </c>
      <c r="F1457" t="s">
        <v>53</v>
      </c>
      <c r="G1457" t="s">
        <v>129</v>
      </c>
      <c r="H1457" t="s">
        <v>33</v>
      </c>
      <c r="I1457" t="s">
        <v>20</v>
      </c>
      <c r="J1457" t="s">
        <v>46</v>
      </c>
      <c r="K1457">
        <v>3</v>
      </c>
      <c r="L1457">
        <v>38650.1</v>
      </c>
      <c r="M1457">
        <v>10</v>
      </c>
      <c r="N1457">
        <v>104355.27</v>
      </c>
      <c r="O1457" t="s">
        <v>47</v>
      </c>
    </row>
    <row r="1458" spans="1:15" x14ac:dyDescent="0.3">
      <c r="A1458" t="s">
        <v>1526</v>
      </c>
      <c r="B1458" s="2">
        <v>46748</v>
      </c>
      <c r="C1458" t="s">
        <v>15</v>
      </c>
      <c r="D1458" t="str">
        <f t="shared" si="22"/>
        <v>December</v>
      </c>
      <c r="E1458" t="s">
        <v>32</v>
      </c>
      <c r="F1458" t="s">
        <v>25</v>
      </c>
      <c r="G1458" t="s">
        <v>92</v>
      </c>
      <c r="H1458" t="s">
        <v>33</v>
      </c>
      <c r="I1458" t="s">
        <v>34</v>
      </c>
      <c r="J1458" t="s">
        <v>43</v>
      </c>
      <c r="K1458">
        <v>4</v>
      </c>
      <c r="L1458">
        <v>2167.75</v>
      </c>
      <c r="M1458">
        <v>10</v>
      </c>
      <c r="N1458">
        <v>7803.91</v>
      </c>
      <c r="O1458" t="s">
        <v>36</v>
      </c>
    </row>
    <row r="1459" spans="1:15" x14ac:dyDescent="0.3">
      <c r="A1459" t="s">
        <v>1527</v>
      </c>
      <c r="B1459" s="2">
        <v>46749</v>
      </c>
      <c r="C1459" t="s">
        <v>38</v>
      </c>
      <c r="D1459" t="str">
        <f t="shared" si="22"/>
        <v>December</v>
      </c>
      <c r="E1459" t="s">
        <v>69</v>
      </c>
      <c r="F1459" t="s">
        <v>17</v>
      </c>
      <c r="G1459" t="s">
        <v>18</v>
      </c>
      <c r="H1459" t="s">
        <v>19</v>
      </c>
      <c r="I1459" t="s">
        <v>42</v>
      </c>
      <c r="J1459" t="s">
        <v>35</v>
      </c>
      <c r="K1459">
        <v>5</v>
      </c>
      <c r="L1459">
        <v>45083.18</v>
      </c>
      <c r="M1459">
        <v>10</v>
      </c>
      <c r="N1459">
        <v>202874.3</v>
      </c>
      <c r="O1459" t="s">
        <v>36</v>
      </c>
    </row>
    <row r="1460" spans="1:15" x14ac:dyDescent="0.3">
      <c r="A1460" t="s">
        <v>1528</v>
      </c>
      <c r="B1460" s="2">
        <v>46750</v>
      </c>
      <c r="C1460" t="s">
        <v>58</v>
      </c>
      <c r="D1460" t="str">
        <f t="shared" si="22"/>
        <v>December</v>
      </c>
      <c r="E1460" t="s">
        <v>16</v>
      </c>
      <c r="F1460" t="s">
        <v>60</v>
      </c>
      <c r="G1460" t="s">
        <v>73</v>
      </c>
      <c r="H1460" t="s">
        <v>19</v>
      </c>
      <c r="I1460" t="s">
        <v>34</v>
      </c>
      <c r="J1460" t="s">
        <v>28</v>
      </c>
      <c r="K1460">
        <v>2</v>
      </c>
      <c r="L1460">
        <v>42771.67</v>
      </c>
      <c r="M1460">
        <v>20</v>
      </c>
      <c r="N1460">
        <v>68434.67</v>
      </c>
      <c r="O1460" t="s">
        <v>22</v>
      </c>
    </row>
    <row r="1461" spans="1:15" x14ac:dyDescent="0.3">
      <c r="A1461" t="s">
        <v>1529</v>
      </c>
      <c r="B1461" s="2">
        <v>46751</v>
      </c>
      <c r="C1461" t="s">
        <v>49</v>
      </c>
      <c r="D1461" t="str">
        <f t="shared" si="22"/>
        <v>December</v>
      </c>
      <c r="E1461" t="s">
        <v>72</v>
      </c>
      <c r="F1461" t="s">
        <v>53</v>
      </c>
      <c r="G1461" t="s">
        <v>54</v>
      </c>
      <c r="H1461" t="s">
        <v>27</v>
      </c>
      <c r="I1461" t="s">
        <v>34</v>
      </c>
      <c r="J1461" t="s">
        <v>28</v>
      </c>
      <c r="K1461">
        <v>1</v>
      </c>
      <c r="L1461">
        <v>29085.040000000001</v>
      </c>
      <c r="M1461">
        <v>0</v>
      </c>
      <c r="N1461">
        <v>29085.040000000001</v>
      </c>
      <c r="O1461" t="s">
        <v>47</v>
      </c>
    </row>
    <row r="1462" spans="1:15" x14ac:dyDescent="0.3">
      <c r="A1462" t="s">
        <v>1530</v>
      </c>
      <c r="B1462" s="2">
        <v>46752</v>
      </c>
      <c r="C1462" t="s">
        <v>15</v>
      </c>
      <c r="D1462" t="str">
        <f t="shared" si="22"/>
        <v>December</v>
      </c>
      <c r="E1462" t="s">
        <v>77</v>
      </c>
      <c r="F1462" t="s">
        <v>53</v>
      </c>
      <c r="G1462" t="s">
        <v>105</v>
      </c>
      <c r="H1462" t="s">
        <v>27</v>
      </c>
      <c r="I1462" t="s">
        <v>34</v>
      </c>
      <c r="J1462" t="s">
        <v>28</v>
      </c>
      <c r="K1462">
        <v>3</v>
      </c>
      <c r="L1462">
        <v>26853.41</v>
      </c>
      <c r="M1462">
        <v>5</v>
      </c>
      <c r="N1462">
        <v>76532.210000000006</v>
      </c>
      <c r="O1462" t="s">
        <v>22</v>
      </c>
    </row>
    <row r="1463" spans="1:15" x14ac:dyDescent="0.3">
      <c r="A1463" t="s">
        <v>1531</v>
      </c>
      <c r="B1463" s="2">
        <v>46753</v>
      </c>
      <c r="C1463" t="s">
        <v>58</v>
      </c>
      <c r="D1463" t="str">
        <f t="shared" si="22"/>
        <v>January</v>
      </c>
      <c r="E1463" t="s">
        <v>52</v>
      </c>
      <c r="F1463" t="s">
        <v>53</v>
      </c>
      <c r="G1463" t="s">
        <v>54</v>
      </c>
      <c r="H1463" t="s">
        <v>19</v>
      </c>
      <c r="I1463" t="s">
        <v>34</v>
      </c>
      <c r="J1463" t="s">
        <v>28</v>
      </c>
      <c r="K1463">
        <v>5</v>
      </c>
      <c r="L1463">
        <v>30315.45</v>
      </c>
      <c r="M1463">
        <v>0</v>
      </c>
      <c r="N1463">
        <v>151577.24</v>
      </c>
      <c r="O1463" t="s">
        <v>47</v>
      </c>
    </row>
    <row r="1464" spans="1:15" x14ac:dyDescent="0.3">
      <c r="A1464" t="s">
        <v>1532</v>
      </c>
      <c r="B1464" s="2">
        <v>46754</v>
      </c>
      <c r="C1464" t="s">
        <v>15</v>
      </c>
      <c r="D1464" t="str">
        <f t="shared" si="22"/>
        <v>January</v>
      </c>
      <c r="E1464" t="s">
        <v>32</v>
      </c>
      <c r="F1464" t="s">
        <v>25</v>
      </c>
      <c r="G1464" t="s">
        <v>81</v>
      </c>
      <c r="H1464" t="s">
        <v>33</v>
      </c>
      <c r="I1464" t="s">
        <v>34</v>
      </c>
      <c r="J1464" t="s">
        <v>35</v>
      </c>
      <c r="K1464">
        <v>4</v>
      </c>
      <c r="L1464">
        <v>2011.48</v>
      </c>
      <c r="M1464">
        <v>10</v>
      </c>
      <c r="N1464">
        <v>7241.34</v>
      </c>
      <c r="O1464" t="s">
        <v>47</v>
      </c>
    </row>
    <row r="1465" spans="1:15" x14ac:dyDescent="0.3">
      <c r="A1465" t="s">
        <v>1533</v>
      </c>
      <c r="B1465" s="2">
        <v>46755</v>
      </c>
      <c r="C1465" t="s">
        <v>15</v>
      </c>
      <c r="D1465" t="str">
        <f t="shared" si="22"/>
        <v>January</v>
      </c>
      <c r="E1465" t="s">
        <v>52</v>
      </c>
      <c r="F1465" t="s">
        <v>25</v>
      </c>
      <c r="G1465" t="s">
        <v>26</v>
      </c>
      <c r="H1465" t="s">
        <v>45</v>
      </c>
      <c r="I1465" t="s">
        <v>42</v>
      </c>
      <c r="J1465" t="s">
        <v>21</v>
      </c>
      <c r="K1465">
        <v>5</v>
      </c>
      <c r="L1465">
        <v>2137.9499999999998</v>
      </c>
      <c r="M1465">
        <v>5</v>
      </c>
      <c r="N1465">
        <v>10155.24</v>
      </c>
      <c r="O1465" t="s">
        <v>47</v>
      </c>
    </row>
    <row r="1466" spans="1:15" x14ac:dyDescent="0.3">
      <c r="A1466" t="s">
        <v>1534</v>
      </c>
      <c r="B1466" s="2">
        <v>46756</v>
      </c>
      <c r="C1466" t="s">
        <v>15</v>
      </c>
      <c r="D1466" t="str">
        <f t="shared" si="22"/>
        <v>January</v>
      </c>
      <c r="E1466" t="s">
        <v>32</v>
      </c>
      <c r="F1466" t="s">
        <v>60</v>
      </c>
      <c r="G1466" t="s">
        <v>70</v>
      </c>
      <c r="H1466" t="s">
        <v>33</v>
      </c>
      <c r="I1466" t="s">
        <v>42</v>
      </c>
      <c r="J1466" t="s">
        <v>43</v>
      </c>
      <c r="K1466">
        <v>2</v>
      </c>
      <c r="L1466">
        <v>52241.91</v>
      </c>
      <c r="M1466">
        <v>5</v>
      </c>
      <c r="N1466">
        <v>99259.63</v>
      </c>
      <c r="O1466" t="s">
        <v>47</v>
      </c>
    </row>
    <row r="1467" spans="1:15" x14ac:dyDescent="0.3">
      <c r="A1467" t="s">
        <v>1535</v>
      </c>
      <c r="B1467" s="2">
        <v>46757</v>
      </c>
      <c r="C1467" t="s">
        <v>15</v>
      </c>
      <c r="D1467" t="str">
        <f t="shared" si="22"/>
        <v>January</v>
      </c>
      <c r="E1467" t="s">
        <v>24</v>
      </c>
      <c r="F1467" t="s">
        <v>60</v>
      </c>
      <c r="G1467" t="s">
        <v>73</v>
      </c>
      <c r="H1467" t="s">
        <v>19</v>
      </c>
      <c r="I1467" t="s">
        <v>34</v>
      </c>
      <c r="J1467" t="s">
        <v>43</v>
      </c>
      <c r="K1467">
        <v>4</v>
      </c>
      <c r="L1467">
        <v>44877.68</v>
      </c>
      <c r="M1467">
        <v>10</v>
      </c>
      <c r="N1467">
        <v>161559.66</v>
      </c>
      <c r="O1467" t="s">
        <v>47</v>
      </c>
    </row>
    <row r="1468" spans="1:15" x14ac:dyDescent="0.3">
      <c r="A1468" t="s">
        <v>1536</v>
      </c>
      <c r="B1468" s="2">
        <v>46758</v>
      </c>
      <c r="C1468" t="s">
        <v>31</v>
      </c>
      <c r="D1468" t="str">
        <f t="shared" si="22"/>
        <v>January</v>
      </c>
      <c r="E1468" t="s">
        <v>39</v>
      </c>
      <c r="F1468" t="s">
        <v>60</v>
      </c>
      <c r="G1468" t="s">
        <v>61</v>
      </c>
      <c r="H1468" t="s">
        <v>33</v>
      </c>
      <c r="I1468" t="s">
        <v>20</v>
      </c>
      <c r="J1468" t="s">
        <v>35</v>
      </c>
      <c r="K1468">
        <v>4</v>
      </c>
      <c r="L1468">
        <v>48402.64</v>
      </c>
      <c r="M1468">
        <v>0</v>
      </c>
      <c r="N1468">
        <v>193610.57</v>
      </c>
      <c r="O1468" t="s">
        <v>22</v>
      </c>
    </row>
    <row r="1469" spans="1:15" x14ac:dyDescent="0.3">
      <c r="A1469" t="s">
        <v>1537</v>
      </c>
      <c r="B1469" s="2">
        <v>46759</v>
      </c>
      <c r="C1469" t="s">
        <v>31</v>
      </c>
      <c r="D1469" t="str">
        <f t="shared" si="22"/>
        <v>January</v>
      </c>
      <c r="E1469" t="s">
        <v>16</v>
      </c>
      <c r="F1469" t="s">
        <v>17</v>
      </c>
      <c r="G1469" t="s">
        <v>18</v>
      </c>
      <c r="H1469" t="s">
        <v>45</v>
      </c>
      <c r="I1469" t="s">
        <v>34</v>
      </c>
      <c r="J1469" t="s">
        <v>46</v>
      </c>
      <c r="K1469">
        <v>4</v>
      </c>
      <c r="L1469">
        <v>62120.59</v>
      </c>
      <c r="M1469">
        <v>10</v>
      </c>
      <c r="N1469">
        <v>223634.12</v>
      </c>
      <c r="O1469" t="s">
        <v>47</v>
      </c>
    </row>
    <row r="1470" spans="1:15" x14ac:dyDescent="0.3">
      <c r="A1470" t="s">
        <v>1538</v>
      </c>
      <c r="B1470" s="2">
        <v>46760</v>
      </c>
      <c r="C1470" t="s">
        <v>15</v>
      </c>
      <c r="D1470" t="str">
        <f t="shared" si="22"/>
        <v>January</v>
      </c>
      <c r="E1470" t="s">
        <v>50</v>
      </c>
      <c r="F1470" t="s">
        <v>60</v>
      </c>
      <c r="G1470" t="s">
        <v>78</v>
      </c>
      <c r="H1470" t="s">
        <v>45</v>
      </c>
      <c r="I1470" t="s">
        <v>20</v>
      </c>
      <c r="J1470" t="s">
        <v>43</v>
      </c>
      <c r="K1470">
        <v>2</v>
      </c>
      <c r="L1470">
        <v>39901.5</v>
      </c>
      <c r="M1470">
        <v>5</v>
      </c>
      <c r="N1470">
        <v>75812.86</v>
      </c>
      <c r="O1470" t="s">
        <v>47</v>
      </c>
    </row>
    <row r="1471" spans="1:15" x14ac:dyDescent="0.3">
      <c r="A1471" t="s">
        <v>1539</v>
      </c>
      <c r="B1471" s="2">
        <v>46761</v>
      </c>
      <c r="C1471" t="s">
        <v>58</v>
      </c>
      <c r="D1471" t="str">
        <f t="shared" si="22"/>
        <v>January</v>
      </c>
      <c r="E1471" t="s">
        <v>32</v>
      </c>
      <c r="F1471" t="s">
        <v>40</v>
      </c>
      <c r="G1471" t="s">
        <v>41</v>
      </c>
      <c r="H1471" t="s">
        <v>33</v>
      </c>
      <c r="I1471" t="s">
        <v>34</v>
      </c>
      <c r="J1471" t="s">
        <v>43</v>
      </c>
      <c r="K1471">
        <v>5</v>
      </c>
      <c r="L1471">
        <v>7520.97</v>
      </c>
      <c r="M1471">
        <v>0</v>
      </c>
      <c r="N1471">
        <v>37604.85</v>
      </c>
      <c r="O1471" t="s">
        <v>47</v>
      </c>
    </row>
    <row r="1472" spans="1:15" x14ac:dyDescent="0.3">
      <c r="A1472" t="s">
        <v>1540</v>
      </c>
      <c r="B1472" s="2">
        <v>46762</v>
      </c>
      <c r="C1472" t="s">
        <v>31</v>
      </c>
      <c r="D1472" t="str">
        <f t="shared" si="22"/>
        <v>January</v>
      </c>
      <c r="E1472" t="s">
        <v>69</v>
      </c>
      <c r="F1472" t="s">
        <v>17</v>
      </c>
      <c r="G1472" t="s">
        <v>18</v>
      </c>
      <c r="H1472" t="s">
        <v>33</v>
      </c>
      <c r="I1472" t="s">
        <v>42</v>
      </c>
      <c r="J1472" t="s">
        <v>46</v>
      </c>
      <c r="K1472">
        <v>3</v>
      </c>
      <c r="L1472">
        <v>60067.27</v>
      </c>
      <c r="M1472">
        <v>15</v>
      </c>
      <c r="N1472">
        <v>153171.53</v>
      </c>
      <c r="O1472" t="s">
        <v>47</v>
      </c>
    </row>
    <row r="1473" spans="1:15" x14ac:dyDescent="0.3">
      <c r="A1473" t="s">
        <v>1541</v>
      </c>
      <c r="B1473" s="2">
        <v>46763</v>
      </c>
      <c r="C1473" t="s">
        <v>58</v>
      </c>
      <c r="D1473" t="str">
        <f t="shared" si="22"/>
        <v>January</v>
      </c>
      <c r="E1473" t="s">
        <v>72</v>
      </c>
      <c r="F1473" t="s">
        <v>53</v>
      </c>
      <c r="G1473" t="s">
        <v>65</v>
      </c>
      <c r="H1473" t="s">
        <v>19</v>
      </c>
      <c r="I1473" t="s">
        <v>34</v>
      </c>
      <c r="J1473" t="s">
        <v>21</v>
      </c>
      <c r="K1473">
        <v>3</v>
      </c>
      <c r="L1473">
        <v>35716.449999999997</v>
      </c>
      <c r="M1473">
        <v>15</v>
      </c>
      <c r="N1473">
        <v>91076.94</v>
      </c>
      <c r="O1473" t="s">
        <v>29</v>
      </c>
    </row>
    <row r="1474" spans="1:15" x14ac:dyDescent="0.3">
      <c r="A1474" t="s">
        <v>1542</v>
      </c>
      <c r="B1474" s="2">
        <v>46764</v>
      </c>
      <c r="C1474" t="s">
        <v>58</v>
      </c>
      <c r="D1474" t="str">
        <f t="shared" si="22"/>
        <v>January</v>
      </c>
      <c r="E1474" t="s">
        <v>50</v>
      </c>
      <c r="F1474" t="s">
        <v>53</v>
      </c>
      <c r="G1474" t="s">
        <v>65</v>
      </c>
      <c r="H1474" t="s">
        <v>45</v>
      </c>
      <c r="I1474" t="s">
        <v>34</v>
      </c>
      <c r="J1474" t="s">
        <v>28</v>
      </c>
      <c r="K1474">
        <v>1</v>
      </c>
      <c r="L1474">
        <v>29407.59</v>
      </c>
      <c r="M1474">
        <v>5</v>
      </c>
      <c r="N1474">
        <v>27937.21</v>
      </c>
      <c r="O1474" t="s">
        <v>47</v>
      </c>
    </row>
    <row r="1475" spans="1:15" x14ac:dyDescent="0.3">
      <c r="A1475" t="s">
        <v>1543</v>
      </c>
      <c r="B1475" s="2">
        <v>46765</v>
      </c>
      <c r="C1475" t="s">
        <v>15</v>
      </c>
      <c r="D1475" t="str">
        <f t="shared" ref="D1475:D1538" si="23">TEXT(B1475,"mmmm")</f>
        <v>January</v>
      </c>
      <c r="E1475" t="s">
        <v>100</v>
      </c>
      <c r="F1475" t="s">
        <v>17</v>
      </c>
      <c r="G1475" t="s">
        <v>123</v>
      </c>
      <c r="H1475" t="s">
        <v>19</v>
      </c>
      <c r="I1475" t="s">
        <v>34</v>
      </c>
      <c r="J1475" t="s">
        <v>28</v>
      </c>
      <c r="K1475">
        <v>2</v>
      </c>
      <c r="L1475">
        <v>46147.19</v>
      </c>
      <c r="M1475">
        <v>5</v>
      </c>
      <c r="N1475">
        <v>87679.65</v>
      </c>
      <c r="O1475" t="s">
        <v>22</v>
      </c>
    </row>
    <row r="1476" spans="1:15" x14ac:dyDescent="0.3">
      <c r="A1476" t="s">
        <v>1544</v>
      </c>
      <c r="B1476" s="2">
        <v>46766</v>
      </c>
      <c r="C1476" t="s">
        <v>15</v>
      </c>
      <c r="D1476" t="str">
        <f t="shared" si="23"/>
        <v>January</v>
      </c>
      <c r="E1476" t="s">
        <v>52</v>
      </c>
      <c r="F1476" t="s">
        <v>53</v>
      </c>
      <c r="G1476" t="s">
        <v>54</v>
      </c>
      <c r="H1476" t="s">
        <v>33</v>
      </c>
      <c r="I1476" t="s">
        <v>42</v>
      </c>
      <c r="J1476" t="s">
        <v>35</v>
      </c>
      <c r="K1476">
        <v>2</v>
      </c>
      <c r="L1476">
        <v>37757.32</v>
      </c>
      <c r="M1476">
        <v>20</v>
      </c>
      <c r="N1476">
        <v>60411.71</v>
      </c>
      <c r="O1476" t="s">
        <v>47</v>
      </c>
    </row>
    <row r="1477" spans="1:15" x14ac:dyDescent="0.3">
      <c r="A1477" t="s">
        <v>1545</v>
      </c>
      <c r="B1477" s="2">
        <v>46767</v>
      </c>
      <c r="C1477" t="s">
        <v>58</v>
      </c>
      <c r="D1477" t="str">
        <f t="shared" si="23"/>
        <v>January</v>
      </c>
      <c r="E1477" t="s">
        <v>100</v>
      </c>
      <c r="F1477" t="s">
        <v>40</v>
      </c>
      <c r="G1477" t="s">
        <v>75</v>
      </c>
      <c r="H1477" t="s">
        <v>19</v>
      </c>
      <c r="I1477" t="s">
        <v>34</v>
      </c>
      <c r="J1477" t="s">
        <v>21</v>
      </c>
      <c r="K1477">
        <v>1</v>
      </c>
      <c r="L1477">
        <v>7048.24</v>
      </c>
      <c r="M1477">
        <v>5</v>
      </c>
      <c r="N1477">
        <v>6695.83</v>
      </c>
      <c r="O1477" t="s">
        <v>47</v>
      </c>
    </row>
    <row r="1478" spans="1:15" x14ac:dyDescent="0.3">
      <c r="A1478" t="s">
        <v>1546</v>
      </c>
      <c r="B1478" s="2">
        <v>46768</v>
      </c>
      <c r="C1478" t="s">
        <v>15</v>
      </c>
      <c r="D1478" t="str">
        <f t="shared" si="23"/>
        <v>January</v>
      </c>
      <c r="E1478" t="s">
        <v>50</v>
      </c>
      <c r="F1478" t="s">
        <v>60</v>
      </c>
      <c r="G1478" t="s">
        <v>70</v>
      </c>
      <c r="H1478" t="s">
        <v>45</v>
      </c>
      <c r="I1478" t="s">
        <v>42</v>
      </c>
      <c r="J1478" t="s">
        <v>21</v>
      </c>
      <c r="K1478">
        <v>4</v>
      </c>
      <c r="L1478">
        <v>51444.55</v>
      </c>
      <c r="M1478">
        <v>15</v>
      </c>
      <c r="N1478">
        <v>174911.47</v>
      </c>
      <c r="O1478" t="s">
        <v>47</v>
      </c>
    </row>
    <row r="1479" spans="1:15" x14ac:dyDescent="0.3">
      <c r="A1479" t="s">
        <v>1547</v>
      </c>
      <c r="B1479" s="2">
        <v>46769</v>
      </c>
      <c r="C1479" t="s">
        <v>31</v>
      </c>
      <c r="D1479" t="str">
        <f t="shared" si="23"/>
        <v>January</v>
      </c>
      <c r="E1479" t="s">
        <v>24</v>
      </c>
      <c r="F1479" t="s">
        <v>40</v>
      </c>
      <c r="G1479" t="s">
        <v>75</v>
      </c>
      <c r="H1479" t="s">
        <v>19</v>
      </c>
      <c r="I1479" t="s">
        <v>20</v>
      </c>
      <c r="J1479" t="s">
        <v>35</v>
      </c>
      <c r="K1479">
        <v>2</v>
      </c>
      <c r="L1479">
        <v>5249.73</v>
      </c>
      <c r="M1479">
        <v>5</v>
      </c>
      <c r="N1479">
        <v>9974.5</v>
      </c>
      <c r="O1479" t="s">
        <v>47</v>
      </c>
    </row>
    <row r="1480" spans="1:15" x14ac:dyDescent="0.3">
      <c r="A1480" t="s">
        <v>1548</v>
      </c>
      <c r="B1480" s="2">
        <v>46770</v>
      </c>
      <c r="C1480" t="s">
        <v>15</v>
      </c>
      <c r="D1480" t="str">
        <f t="shared" si="23"/>
        <v>January</v>
      </c>
      <c r="E1480" t="s">
        <v>52</v>
      </c>
      <c r="F1480" t="s">
        <v>53</v>
      </c>
      <c r="G1480" t="s">
        <v>129</v>
      </c>
      <c r="H1480" t="s">
        <v>45</v>
      </c>
      <c r="I1480" t="s">
        <v>34</v>
      </c>
      <c r="J1480" t="s">
        <v>21</v>
      </c>
      <c r="K1480">
        <v>2</v>
      </c>
      <c r="L1480">
        <v>32001.87</v>
      </c>
      <c r="M1480">
        <v>0</v>
      </c>
      <c r="N1480">
        <v>64003.74</v>
      </c>
      <c r="O1480" t="s">
        <v>29</v>
      </c>
    </row>
    <row r="1481" spans="1:15" x14ac:dyDescent="0.3">
      <c r="A1481" t="s">
        <v>1549</v>
      </c>
      <c r="B1481" s="2">
        <v>46771</v>
      </c>
      <c r="C1481" t="s">
        <v>31</v>
      </c>
      <c r="D1481" t="str">
        <f t="shared" si="23"/>
        <v>January</v>
      </c>
      <c r="E1481" t="s">
        <v>69</v>
      </c>
      <c r="F1481" t="s">
        <v>53</v>
      </c>
      <c r="G1481" t="s">
        <v>129</v>
      </c>
      <c r="H1481" t="s">
        <v>19</v>
      </c>
      <c r="I1481" t="s">
        <v>42</v>
      </c>
      <c r="J1481" t="s">
        <v>35</v>
      </c>
      <c r="K1481">
        <v>4</v>
      </c>
      <c r="L1481">
        <v>35303.29</v>
      </c>
      <c r="M1481">
        <v>15</v>
      </c>
      <c r="N1481">
        <v>120031.19</v>
      </c>
      <c r="O1481" t="s">
        <v>29</v>
      </c>
    </row>
    <row r="1482" spans="1:15" x14ac:dyDescent="0.3">
      <c r="A1482" t="s">
        <v>1550</v>
      </c>
      <c r="B1482" s="2">
        <v>46772</v>
      </c>
      <c r="C1482" t="s">
        <v>58</v>
      </c>
      <c r="D1482" t="str">
        <f t="shared" si="23"/>
        <v>January</v>
      </c>
      <c r="E1482" t="s">
        <v>32</v>
      </c>
      <c r="F1482" t="s">
        <v>17</v>
      </c>
      <c r="G1482" t="s">
        <v>123</v>
      </c>
      <c r="H1482" t="s">
        <v>45</v>
      </c>
      <c r="I1482" t="s">
        <v>34</v>
      </c>
      <c r="J1482" t="s">
        <v>46</v>
      </c>
      <c r="K1482">
        <v>3</v>
      </c>
      <c r="L1482">
        <v>66252.490000000005</v>
      </c>
      <c r="M1482">
        <v>5</v>
      </c>
      <c r="N1482">
        <v>188819.59</v>
      </c>
      <c r="O1482" t="s">
        <v>47</v>
      </c>
    </row>
    <row r="1483" spans="1:15" x14ac:dyDescent="0.3">
      <c r="A1483" t="s">
        <v>1551</v>
      </c>
      <c r="B1483" s="2">
        <v>46773</v>
      </c>
      <c r="C1483" t="s">
        <v>49</v>
      </c>
      <c r="D1483" t="str">
        <f t="shared" si="23"/>
        <v>January</v>
      </c>
      <c r="E1483" t="s">
        <v>32</v>
      </c>
      <c r="F1483" t="s">
        <v>60</v>
      </c>
      <c r="G1483" t="s">
        <v>73</v>
      </c>
      <c r="H1483" t="s">
        <v>33</v>
      </c>
      <c r="I1483" t="s">
        <v>20</v>
      </c>
      <c r="J1483" t="s">
        <v>46</v>
      </c>
      <c r="K1483">
        <v>5</v>
      </c>
      <c r="L1483">
        <v>35231.72</v>
      </c>
      <c r="M1483">
        <v>10</v>
      </c>
      <c r="N1483">
        <v>158542.76</v>
      </c>
      <c r="O1483" t="s">
        <v>36</v>
      </c>
    </row>
    <row r="1484" spans="1:15" x14ac:dyDescent="0.3">
      <c r="A1484" t="s">
        <v>1552</v>
      </c>
      <c r="B1484" s="2">
        <v>46774</v>
      </c>
      <c r="C1484" t="s">
        <v>31</v>
      </c>
      <c r="D1484" t="str">
        <f t="shared" si="23"/>
        <v>January</v>
      </c>
      <c r="E1484" t="s">
        <v>100</v>
      </c>
      <c r="F1484" t="s">
        <v>25</v>
      </c>
      <c r="G1484" t="s">
        <v>92</v>
      </c>
      <c r="H1484" t="s">
        <v>33</v>
      </c>
      <c r="I1484" t="s">
        <v>42</v>
      </c>
      <c r="J1484" t="s">
        <v>35</v>
      </c>
      <c r="K1484">
        <v>2</v>
      </c>
      <c r="L1484">
        <v>3048.74</v>
      </c>
      <c r="M1484">
        <v>10</v>
      </c>
      <c r="N1484">
        <v>5487.74</v>
      </c>
      <c r="O1484" t="s">
        <v>47</v>
      </c>
    </row>
    <row r="1485" spans="1:15" x14ac:dyDescent="0.3">
      <c r="A1485" t="s">
        <v>1553</v>
      </c>
      <c r="B1485" s="2">
        <v>46775</v>
      </c>
      <c r="C1485" t="s">
        <v>49</v>
      </c>
      <c r="D1485" t="str">
        <f t="shared" si="23"/>
        <v>January</v>
      </c>
      <c r="E1485" t="s">
        <v>24</v>
      </c>
      <c r="F1485" t="s">
        <v>25</v>
      </c>
      <c r="G1485" t="s">
        <v>26</v>
      </c>
      <c r="H1485" t="s">
        <v>33</v>
      </c>
      <c r="I1485" t="s">
        <v>34</v>
      </c>
      <c r="J1485" t="s">
        <v>21</v>
      </c>
      <c r="K1485">
        <v>4</v>
      </c>
      <c r="L1485">
        <v>2364.64</v>
      </c>
      <c r="M1485">
        <v>15</v>
      </c>
      <c r="N1485">
        <v>8039.77</v>
      </c>
      <c r="O1485" t="s">
        <v>47</v>
      </c>
    </row>
    <row r="1486" spans="1:15" x14ac:dyDescent="0.3">
      <c r="A1486" t="s">
        <v>1554</v>
      </c>
      <c r="B1486" s="2">
        <v>46776</v>
      </c>
      <c r="C1486" t="s">
        <v>58</v>
      </c>
      <c r="D1486" t="str">
        <f t="shared" si="23"/>
        <v>January</v>
      </c>
      <c r="E1486" t="s">
        <v>50</v>
      </c>
      <c r="F1486" t="s">
        <v>60</v>
      </c>
      <c r="G1486" t="s">
        <v>78</v>
      </c>
      <c r="H1486" t="s">
        <v>33</v>
      </c>
      <c r="I1486" t="s">
        <v>42</v>
      </c>
      <c r="J1486" t="s">
        <v>46</v>
      </c>
      <c r="K1486">
        <v>2</v>
      </c>
      <c r="L1486">
        <v>35383.599999999999</v>
      </c>
      <c r="M1486">
        <v>10</v>
      </c>
      <c r="N1486">
        <v>63690.49</v>
      </c>
      <c r="O1486" t="s">
        <v>22</v>
      </c>
    </row>
    <row r="1487" spans="1:15" x14ac:dyDescent="0.3">
      <c r="A1487" t="s">
        <v>1555</v>
      </c>
      <c r="B1487" s="2">
        <v>46777</v>
      </c>
      <c r="C1487" t="s">
        <v>38</v>
      </c>
      <c r="D1487" t="str">
        <f t="shared" si="23"/>
        <v>January</v>
      </c>
      <c r="E1487" t="s">
        <v>52</v>
      </c>
      <c r="F1487" t="s">
        <v>17</v>
      </c>
      <c r="G1487" t="s">
        <v>123</v>
      </c>
      <c r="H1487" t="s">
        <v>27</v>
      </c>
      <c r="I1487" t="s">
        <v>42</v>
      </c>
      <c r="J1487" t="s">
        <v>21</v>
      </c>
      <c r="K1487">
        <v>2</v>
      </c>
      <c r="L1487">
        <v>61616.57</v>
      </c>
      <c r="M1487">
        <v>15</v>
      </c>
      <c r="N1487">
        <v>104748.17</v>
      </c>
      <c r="O1487" t="s">
        <v>22</v>
      </c>
    </row>
    <row r="1488" spans="1:15" x14ac:dyDescent="0.3">
      <c r="A1488" t="s">
        <v>1556</v>
      </c>
      <c r="B1488" s="2">
        <v>46778</v>
      </c>
      <c r="C1488" t="s">
        <v>15</v>
      </c>
      <c r="D1488" t="str">
        <f t="shared" si="23"/>
        <v>January</v>
      </c>
      <c r="E1488" t="s">
        <v>52</v>
      </c>
      <c r="F1488" t="s">
        <v>60</v>
      </c>
      <c r="G1488" t="s">
        <v>78</v>
      </c>
      <c r="H1488" t="s">
        <v>45</v>
      </c>
      <c r="I1488" t="s">
        <v>34</v>
      </c>
      <c r="J1488" t="s">
        <v>43</v>
      </c>
      <c r="K1488">
        <v>2</v>
      </c>
      <c r="L1488">
        <v>49043.35</v>
      </c>
      <c r="M1488">
        <v>10</v>
      </c>
      <c r="N1488">
        <v>88278.03</v>
      </c>
      <c r="O1488" t="s">
        <v>47</v>
      </c>
    </row>
    <row r="1489" spans="1:15" x14ac:dyDescent="0.3">
      <c r="A1489" t="s">
        <v>1557</v>
      </c>
      <c r="B1489" s="2">
        <v>46779</v>
      </c>
      <c r="C1489" t="s">
        <v>31</v>
      </c>
      <c r="D1489" t="str">
        <f t="shared" si="23"/>
        <v>January</v>
      </c>
      <c r="E1489" t="s">
        <v>72</v>
      </c>
      <c r="F1489" t="s">
        <v>17</v>
      </c>
      <c r="G1489" t="s">
        <v>123</v>
      </c>
      <c r="H1489" t="s">
        <v>19</v>
      </c>
      <c r="I1489" t="s">
        <v>20</v>
      </c>
      <c r="J1489" t="s">
        <v>21</v>
      </c>
      <c r="K1489">
        <v>1</v>
      </c>
      <c r="L1489">
        <v>51406.77</v>
      </c>
      <c r="M1489">
        <v>10</v>
      </c>
      <c r="N1489">
        <v>46266.1</v>
      </c>
      <c r="O1489" t="s">
        <v>29</v>
      </c>
    </row>
    <row r="1490" spans="1:15" x14ac:dyDescent="0.3">
      <c r="A1490" t="s">
        <v>1558</v>
      </c>
      <c r="B1490" s="2">
        <v>46780</v>
      </c>
      <c r="C1490" t="s">
        <v>49</v>
      </c>
      <c r="D1490" t="str">
        <f t="shared" si="23"/>
        <v>January</v>
      </c>
      <c r="E1490" t="s">
        <v>77</v>
      </c>
      <c r="F1490" t="s">
        <v>25</v>
      </c>
      <c r="G1490" t="s">
        <v>81</v>
      </c>
      <c r="H1490" t="s">
        <v>33</v>
      </c>
      <c r="I1490" t="s">
        <v>20</v>
      </c>
      <c r="J1490" t="s">
        <v>28</v>
      </c>
      <c r="K1490">
        <v>1</v>
      </c>
      <c r="L1490">
        <v>2099.02</v>
      </c>
      <c r="M1490">
        <v>10</v>
      </c>
      <c r="N1490">
        <v>1889.12</v>
      </c>
      <c r="O1490" t="s">
        <v>29</v>
      </c>
    </row>
    <row r="1491" spans="1:15" x14ac:dyDescent="0.3">
      <c r="A1491" t="s">
        <v>1559</v>
      </c>
      <c r="B1491" s="2">
        <v>46781</v>
      </c>
      <c r="C1491" t="s">
        <v>15</v>
      </c>
      <c r="D1491" t="str">
        <f t="shared" si="23"/>
        <v>January</v>
      </c>
      <c r="E1491" t="s">
        <v>100</v>
      </c>
      <c r="F1491" t="s">
        <v>53</v>
      </c>
      <c r="G1491" t="s">
        <v>54</v>
      </c>
      <c r="H1491" t="s">
        <v>27</v>
      </c>
      <c r="I1491" t="s">
        <v>20</v>
      </c>
      <c r="J1491" t="s">
        <v>46</v>
      </c>
      <c r="K1491">
        <v>4</v>
      </c>
      <c r="L1491">
        <v>24712.28</v>
      </c>
      <c r="M1491">
        <v>0</v>
      </c>
      <c r="N1491">
        <v>98849.14</v>
      </c>
      <c r="O1491" t="s">
        <v>47</v>
      </c>
    </row>
    <row r="1492" spans="1:15" x14ac:dyDescent="0.3">
      <c r="A1492" t="s">
        <v>1560</v>
      </c>
      <c r="B1492" s="2">
        <v>46782</v>
      </c>
      <c r="C1492" t="s">
        <v>58</v>
      </c>
      <c r="D1492" t="str">
        <f t="shared" si="23"/>
        <v>January</v>
      </c>
      <c r="E1492" t="s">
        <v>24</v>
      </c>
      <c r="F1492" t="s">
        <v>40</v>
      </c>
      <c r="G1492" t="s">
        <v>118</v>
      </c>
      <c r="H1492" t="s">
        <v>45</v>
      </c>
      <c r="I1492" t="s">
        <v>20</v>
      </c>
      <c r="J1492" t="s">
        <v>35</v>
      </c>
      <c r="K1492">
        <v>4</v>
      </c>
      <c r="L1492">
        <v>6064.34</v>
      </c>
      <c r="M1492">
        <v>10</v>
      </c>
      <c r="N1492">
        <v>21831.61</v>
      </c>
      <c r="O1492" t="s">
        <v>22</v>
      </c>
    </row>
    <row r="1493" spans="1:15" x14ac:dyDescent="0.3">
      <c r="A1493" t="s">
        <v>1561</v>
      </c>
      <c r="B1493" s="2">
        <v>46783</v>
      </c>
      <c r="C1493" t="s">
        <v>31</v>
      </c>
      <c r="D1493" t="str">
        <f t="shared" si="23"/>
        <v>January</v>
      </c>
      <c r="E1493" t="s">
        <v>16</v>
      </c>
      <c r="F1493" t="s">
        <v>40</v>
      </c>
      <c r="G1493" t="s">
        <v>115</v>
      </c>
      <c r="H1493" t="s">
        <v>19</v>
      </c>
      <c r="I1493" t="s">
        <v>20</v>
      </c>
      <c r="J1493" t="s">
        <v>35</v>
      </c>
      <c r="K1493">
        <v>3</v>
      </c>
      <c r="L1493">
        <v>5135.67</v>
      </c>
      <c r="M1493">
        <v>0</v>
      </c>
      <c r="N1493">
        <v>15407.01</v>
      </c>
      <c r="O1493" t="s">
        <v>29</v>
      </c>
    </row>
    <row r="1494" spans="1:15" x14ac:dyDescent="0.3">
      <c r="A1494" t="s">
        <v>1562</v>
      </c>
      <c r="B1494" s="2">
        <v>46784</v>
      </c>
      <c r="C1494" t="s">
        <v>58</v>
      </c>
      <c r="D1494" t="str">
        <f t="shared" si="23"/>
        <v>February</v>
      </c>
      <c r="E1494" t="s">
        <v>39</v>
      </c>
      <c r="F1494" t="s">
        <v>40</v>
      </c>
      <c r="G1494" t="s">
        <v>115</v>
      </c>
      <c r="H1494" t="s">
        <v>27</v>
      </c>
      <c r="I1494" t="s">
        <v>34</v>
      </c>
      <c r="J1494" t="s">
        <v>43</v>
      </c>
      <c r="K1494">
        <v>2</v>
      </c>
      <c r="L1494">
        <v>5336.93</v>
      </c>
      <c r="M1494">
        <v>20</v>
      </c>
      <c r="N1494">
        <v>8539.09</v>
      </c>
      <c r="O1494" t="s">
        <v>36</v>
      </c>
    </row>
    <row r="1495" spans="1:15" x14ac:dyDescent="0.3">
      <c r="A1495" t="s">
        <v>1563</v>
      </c>
      <c r="B1495" s="2">
        <v>46785</v>
      </c>
      <c r="C1495" t="s">
        <v>15</v>
      </c>
      <c r="D1495" t="str">
        <f t="shared" si="23"/>
        <v>February</v>
      </c>
      <c r="E1495" t="s">
        <v>100</v>
      </c>
      <c r="F1495" t="s">
        <v>25</v>
      </c>
      <c r="G1495" t="s">
        <v>26</v>
      </c>
      <c r="H1495" t="s">
        <v>33</v>
      </c>
      <c r="I1495" t="s">
        <v>42</v>
      </c>
      <c r="J1495" t="s">
        <v>28</v>
      </c>
      <c r="K1495">
        <v>2</v>
      </c>
      <c r="L1495">
        <v>2332.73</v>
      </c>
      <c r="M1495">
        <v>20</v>
      </c>
      <c r="N1495">
        <v>3732.37</v>
      </c>
      <c r="O1495" t="s">
        <v>29</v>
      </c>
    </row>
    <row r="1496" spans="1:15" x14ac:dyDescent="0.3">
      <c r="A1496" t="s">
        <v>1564</v>
      </c>
      <c r="B1496" s="2">
        <v>46786</v>
      </c>
      <c r="C1496" t="s">
        <v>49</v>
      </c>
      <c r="D1496" t="str">
        <f t="shared" si="23"/>
        <v>February</v>
      </c>
      <c r="E1496" t="s">
        <v>32</v>
      </c>
      <c r="F1496" t="s">
        <v>60</v>
      </c>
      <c r="G1496" t="s">
        <v>70</v>
      </c>
      <c r="H1496" t="s">
        <v>45</v>
      </c>
      <c r="I1496" t="s">
        <v>42</v>
      </c>
      <c r="J1496" t="s">
        <v>35</v>
      </c>
      <c r="K1496">
        <v>3</v>
      </c>
      <c r="L1496">
        <v>34269.29</v>
      </c>
      <c r="M1496">
        <v>15</v>
      </c>
      <c r="N1496">
        <v>87386.68</v>
      </c>
      <c r="O1496" t="s">
        <v>47</v>
      </c>
    </row>
    <row r="1497" spans="1:15" x14ac:dyDescent="0.3">
      <c r="A1497" t="s">
        <v>1565</v>
      </c>
      <c r="B1497" s="2">
        <v>46787</v>
      </c>
      <c r="C1497" t="s">
        <v>49</v>
      </c>
      <c r="D1497" t="str">
        <f t="shared" si="23"/>
        <v>February</v>
      </c>
      <c r="E1497" t="s">
        <v>39</v>
      </c>
      <c r="F1497" t="s">
        <v>25</v>
      </c>
      <c r="G1497" t="s">
        <v>92</v>
      </c>
      <c r="H1497" t="s">
        <v>27</v>
      </c>
      <c r="I1497" t="s">
        <v>34</v>
      </c>
      <c r="J1497" t="s">
        <v>46</v>
      </c>
      <c r="K1497">
        <v>2</v>
      </c>
      <c r="L1497">
        <v>2350.0700000000002</v>
      </c>
      <c r="M1497">
        <v>0</v>
      </c>
      <c r="N1497">
        <v>4700.1400000000003</v>
      </c>
      <c r="O1497" t="s">
        <v>47</v>
      </c>
    </row>
    <row r="1498" spans="1:15" x14ac:dyDescent="0.3">
      <c r="A1498" t="s">
        <v>1566</v>
      </c>
      <c r="B1498" s="2">
        <v>46788</v>
      </c>
      <c r="C1498" t="s">
        <v>38</v>
      </c>
      <c r="D1498" t="str">
        <f t="shared" si="23"/>
        <v>February</v>
      </c>
      <c r="E1498" t="s">
        <v>16</v>
      </c>
      <c r="F1498" t="s">
        <v>53</v>
      </c>
      <c r="G1498" t="s">
        <v>105</v>
      </c>
      <c r="H1498" t="s">
        <v>33</v>
      </c>
      <c r="I1498" t="s">
        <v>34</v>
      </c>
      <c r="J1498" t="s">
        <v>46</v>
      </c>
      <c r="K1498">
        <v>2</v>
      </c>
      <c r="L1498">
        <v>36312.160000000003</v>
      </c>
      <c r="M1498">
        <v>10</v>
      </c>
      <c r="N1498">
        <v>65361.88</v>
      </c>
      <c r="O1498" t="s">
        <v>22</v>
      </c>
    </row>
    <row r="1499" spans="1:15" x14ac:dyDescent="0.3">
      <c r="A1499" t="s">
        <v>1567</v>
      </c>
      <c r="B1499" s="2">
        <v>46789</v>
      </c>
      <c r="C1499" t="s">
        <v>38</v>
      </c>
      <c r="D1499" t="str">
        <f t="shared" si="23"/>
        <v>February</v>
      </c>
      <c r="E1499" t="s">
        <v>72</v>
      </c>
      <c r="F1499" t="s">
        <v>60</v>
      </c>
      <c r="G1499" t="s">
        <v>73</v>
      </c>
      <c r="H1499" t="s">
        <v>27</v>
      </c>
      <c r="I1499" t="s">
        <v>34</v>
      </c>
      <c r="J1499" t="s">
        <v>21</v>
      </c>
      <c r="K1499">
        <v>1</v>
      </c>
      <c r="L1499">
        <v>46906.82</v>
      </c>
      <c r="M1499">
        <v>10</v>
      </c>
      <c r="N1499">
        <v>42216.14</v>
      </c>
      <c r="O1499" t="s">
        <v>36</v>
      </c>
    </row>
    <row r="1500" spans="1:15" x14ac:dyDescent="0.3">
      <c r="A1500" t="s">
        <v>1568</v>
      </c>
      <c r="B1500" s="2">
        <v>46790</v>
      </c>
      <c r="C1500" t="s">
        <v>49</v>
      </c>
      <c r="D1500" t="str">
        <f t="shared" si="23"/>
        <v>February</v>
      </c>
      <c r="E1500" t="s">
        <v>69</v>
      </c>
      <c r="F1500" t="s">
        <v>25</v>
      </c>
      <c r="G1500" t="s">
        <v>81</v>
      </c>
      <c r="H1500" t="s">
        <v>19</v>
      </c>
      <c r="I1500" t="s">
        <v>42</v>
      </c>
      <c r="J1500" t="s">
        <v>28</v>
      </c>
      <c r="K1500">
        <v>5</v>
      </c>
      <c r="L1500">
        <v>2414.79</v>
      </c>
      <c r="M1500">
        <v>5</v>
      </c>
      <c r="N1500">
        <v>11470.24</v>
      </c>
      <c r="O1500" t="s">
        <v>47</v>
      </c>
    </row>
    <row r="1501" spans="1:15" x14ac:dyDescent="0.3">
      <c r="A1501" t="s">
        <v>1569</v>
      </c>
      <c r="B1501" s="2">
        <v>46791</v>
      </c>
      <c r="C1501" t="s">
        <v>15</v>
      </c>
      <c r="D1501" t="str">
        <f t="shared" si="23"/>
        <v>February</v>
      </c>
      <c r="E1501" t="s">
        <v>72</v>
      </c>
      <c r="F1501" t="s">
        <v>53</v>
      </c>
      <c r="G1501" t="s">
        <v>54</v>
      </c>
      <c r="H1501" t="s">
        <v>19</v>
      </c>
      <c r="I1501" t="s">
        <v>20</v>
      </c>
      <c r="J1501" t="s">
        <v>43</v>
      </c>
      <c r="K1501">
        <v>3</v>
      </c>
      <c r="L1501">
        <v>29790.15</v>
      </c>
      <c r="M1501">
        <v>5</v>
      </c>
      <c r="N1501">
        <v>84901.94</v>
      </c>
      <c r="O1501" t="s">
        <v>47</v>
      </c>
    </row>
    <row r="1502" spans="1:15" x14ac:dyDescent="0.3">
      <c r="A1502" t="s">
        <v>1570</v>
      </c>
      <c r="B1502" s="2">
        <v>46792</v>
      </c>
      <c r="C1502" t="s">
        <v>15</v>
      </c>
      <c r="D1502" t="str">
        <f t="shared" si="23"/>
        <v>February</v>
      </c>
      <c r="E1502" t="s">
        <v>100</v>
      </c>
      <c r="F1502" t="s">
        <v>25</v>
      </c>
      <c r="G1502" t="s">
        <v>81</v>
      </c>
      <c r="H1502" t="s">
        <v>19</v>
      </c>
      <c r="I1502" t="s">
        <v>20</v>
      </c>
      <c r="J1502" t="s">
        <v>28</v>
      </c>
      <c r="K1502">
        <v>3</v>
      </c>
      <c r="L1502">
        <v>3064.6</v>
      </c>
      <c r="M1502">
        <v>10</v>
      </c>
      <c r="N1502">
        <v>8274.41</v>
      </c>
      <c r="O1502" t="s">
        <v>36</v>
      </c>
    </row>
    <row r="1503" spans="1:15" x14ac:dyDescent="0.3">
      <c r="A1503" t="s">
        <v>1571</v>
      </c>
      <c r="B1503" s="2">
        <v>46793</v>
      </c>
      <c r="C1503" t="s">
        <v>38</v>
      </c>
      <c r="D1503" t="str">
        <f t="shared" si="23"/>
        <v>February</v>
      </c>
      <c r="E1503" t="s">
        <v>77</v>
      </c>
      <c r="F1503" t="s">
        <v>60</v>
      </c>
      <c r="G1503" t="s">
        <v>73</v>
      </c>
      <c r="H1503" t="s">
        <v>27</v>
      </c>
      <c r="I1503" t="s">
        <v>34</v>
      </c>
      <c r="J1503" t="s">
        <v>28</v>
      </c>
      <c r="K1503">
        <v>2</v>
      </c>
      <c r="L1503">
        <v>48992.58</v>
      </c>
      <c r="M1503">
        <v>5</v>
      </c>
      <c r="N1503">
        <v>93085.9</v>
      </c>
      <c r="O1503" t="s">
        <v>29</v>
      </c>
    </row>
    <row r="1504" spans="1:15" x14ac:dyDescent="0.3">
      <c r="A1504" t="s">
        <v>1572</v>
      </c>
      <c r="B1504" s="2">
        <v>46794</v>
      </c>
      <c r="C1504" t="s">
        <v>58</v>
      </c>
      <c r="D1504" t="str">
        <f t="shared" si="23"/>
        <v>February</v>
      </c>
      <c r="E1504" t="s">
        <v>50</v>
      </c>
      <c r="F1504" t="s">
        <v>60</v>
      </c>
      <c r="G1504" t="s">
        <v>73</v>
      </c>
      <c r="H1504" t="s">
        <v>27</v>
      </c>
      <c r="I1504" t="s">
        <v>34</v>
      </c>
      <c r="J1504" t="s">
        <v>21</v>
      </c>
      <c r="K1504">
        <v>1</v>
      </c>
      <c r="L1504">
        <v>43347.3</v>
      </c>
      <c r="M1504">
        <v>0</v>
      </c>
      <c r="N1504">
        <v>43347.3</v>
      </c>
      <c r="O1504" t="s">
        <v>22</v>
      </c>
    </row>
    <row r="1505" spans="1:15" x14ac:dyDescent="0.3">
      <c r="A1505" t="s">
        <v>1573</v>
      </c>
      <c r="B1505" s="2">
        <v>46795</v>
      </c>
      <c r="C1505" t="s">
        <v>15</v>
      </c>
      <c r="D1505" t="str">
        <f t="shared" si="23"/>
        <v>February</v>
      </c>
      <c r="E1505" t="s">
        <v>52</v>
      </c>
      <c r="F1505" t="s">
        <v>60</v>
      </c>
      <c r="G1505" t="s">
        <v>73</v>
      </c>
      <c r="H1505" t="s">
        <v>27</v>
      </c>
      <c r="I1505" t="s">
        <v>34</v>
      </c>
      <c r="J1505" t="s">
        <v>46</v>
      </c>
      <c r="K1505">
        <v>2</v>
      </c>
      <c r="L1505">
        <v>40827.629999999997</v>
      </c>
      <c r="M1505">
        <v>5</v>
      </c>
      <c r="N1505">
        <v>77572.5</v>
      </c>
      <c r="O1505" t="s">
        <v>47</v>
      </c>
    </row>
    <row r="1506" spans="1:15" x14ac:dyDescent="0.3">
      <c r="A1506" t="s">
        <v>1574</v>
      </c>
      <c r="B1506" s="2">
        <v>46796</v>
      </c>
      <c r="C1506" t="s">
        <v>31</v>
      </c>
      <c r="D1506" t="str">
        <f t="shared" si="23"/>
        <v>February</v>
      </c>
      <c r="E1506" t="s">
        <v>69</v>
      </c>
      <c r="F1506" t="s">
        <v>53</v>
      </c>
      <c r="G1506" t="s">
        <v>54</v>
      </c>
      <c r="H1506" t="s">
        <v>45</v>
      </c>
      <c r="I1506" t="s">
        <v>34</v>
      </c>
      <c r="J1506" t="s">
        <v>35</v>
      </c>
      <c r="K1506">
        <v>2</v>
      </c>
      <c r="L1506">
        <v>30677.1</v>
      </c>
      <c r="M1506">
        <v>10</v>
      </c>
      <c r="N1506">
        <v>55218.77</v>
      </c>
      <c r="O1506" t="s">
        <v>36</v>
      </c>
    </row>
    <row r="1507" spans="1:15" x14ac:dyDescent="0.3">
      <c r="A1507" t="s">
        <v>1575</v>
      </c>
      <c r="B1507" s="2">
        <v>46797</v>
      </c>
      <c r="C1507" t="s">
        <v>38</v>
      </c>
      <c r="D1507" t="str">
        <f t="shared" si="23"/>
        <v>February</v>
      </c>
      <c r="E1507" t="s">
        <v>50</v>
      </c>
      <c r="F1507" t="s">
        <v>53</v>
      </c>
      <c r="G1507" t="s">
        <v>105</v>
      </c>
      <c r="H1507" t="s">
        <v>19</v>
      </c>
      <c r="I1507" t="s">
        <v>34</v>
      </c>
      <c r="J1507" t="s">
        <v>46</v>
      </c>
      <c r="K1507">
        <v>3</v>
      </c>
      <c r="L1507">
        <v>26535.48</v>
      </c>
      <c r="M1507">
        <v>5</v>
      </c>
      <c r="N1507">
        <v>75626.12</v>
      </c>
      <c r="O1507" t="s">
        <v>36</v>
      </c>
    </row>
    <row r="1508" spans="1:15" x14ac:dyDescent="0.3">
      <c r="A1508" t="s">
        <v>1576</v>
      </c>
      <c r="B1508" s="2">
        <v>46798</v>
      </c>
      <c r="C1508" t="s">
        <v>49</v>
      </c>
      <c r="D1508" t="str">
        <f t="shared" si="23"/>
        <v>February</v>
      </c>
      <c r="E1508" t="s">
        <v>24</v>
      </c>
      <c r="F1508" t="s">
        <v>25</v>
      </c>
      <c r="G1508" t="s">
        <v>92</v>
      </c>
      <c r="H1508" t="s">
        <v>27</v>
      </c>
      <c r="I1508" t="s">
        <v>20</v>
      </c>
      <c r="J1508" t="s">
        <v>35</v>
      </c>
      <c r="K1508">
        <v>2</v>
      </c>
      <c r="L1508">
        <v>2600.89</v>
      </c>
      <c r="M1508">
        <v>15</v>
      </c>
      <c r="N1508">
        <v>4421.51</v>
      </c>
      <c r="O1508" t="s">
        <v>47</v>
      </c>
    </row>
    <row r="1509" spans="1:15" x14ac:dyDescent="0.3">
      <c r="A1509" t="s">
        <v>1577</v>
      </c>
      <c r="B1509" s="2">
        <v>46799</v>
      </c>
      <c r="C1509" t="s">
        <v>58</v>
      </c>
      <c r="D1509" t="str">
        <f t="shared" si="23"/>
        <v>February</v>
      </c>
      <c r="E1509" t="s">
        <v>39</v>
      </c>
      <c r="F1509" t="s">
        <v>60</v>
      </c>
      <c r="G1509" t="s">
        <v>73</v>
      </c>
      <c r="H1509" t="s">
        <v>27</v>
      </c>
      <c r="I1509" t="s">
        <v>42</v>
      </c>
      <c r="J1509" t="s">
        <v>43</v>
      </c>
      <c r="K1509">
        <v>3</v>
      </c>
      <c r="L1509">
        <v>42248.25</v>
      </c>
      <c r="M1509">
        <v>5</v>
      </c>
      <c r="N1509">
        <v>120407.51</v>
      </c>
      <c r="O1509" t="s">
        <v>47</v>
      </c>
    </row>
    <row r="1510" spans="1:15" x14ac:dyDescent="0.3">
      <c r="A1510" t="s">
        <v>1578</v>
      </c>
      <c r="B1510" s="2">
        <v>46800</v>
      </c>
      <c r="C1510" t="s">
        <v>38</v>
      </c>
      <c r="D1510" t="str">
        <f t="shared" si="23"/>
        <v>February</v>
      </c>
      <c r="E1510" t="s">
        <v>32</v>
      </c>
      <c r="F1510" t="s">
        <v>53</v>
      </c>
      <c r="G1510" t="s">
        <v>105</v>
      </c>
      <c r="H1510" t="s">
        <v>33</v>
      </c>
      <c r="I1510" t="s">
        <v>20</v>
      </c>
      <c r="J1510" t="s">
        <v>35</v>
      </c>
      <c r="K1510">
        <v>1</v>
      </c>
      <c r="L1510">
        <v>29736.91</v>
      </c>
      <c r="M1510">
        <v>10</v>
      </c>
      <c r="N1510">
        <v>26763.22</v>
      </c>
      <c r="O1510" t="s">
        <v>36</v>
      </c>
    </row>
    <row r="1511" spans="1:15" x14ac:dyDescent="0.3">
      <c r="A1511" t="s">
        <v>1579</v>
      </c>
      <c r="B1511" s="2">
        <v>46801</v>
      </c>
      <c r="C1511" t="s">
        <v>49</v>
      </c>
      <c r="D1511" t="str">
        <f t="shared" si="23"/>
        <v>February</v>
      </c>
      <c r="E1511" t="s">
        <v>52</v>
      </c>
      <c r="F1511" t="s">
        <v>60</v>
      </c>
      <c r="G1511" t="s">
        <v>70</v>
      </c>
      <c r="H1511" t="s">
        <v>27</v>
      </c>
      <c r="I1511" t="s">
        <v>34</v>
      </c>
      <c r="J1511" t="s">
        <v>35</v>
      </c>
      <c r="K1511">
        <v>4</v>
      </c>
      <c r="L1511">
        <v>36981.97</v>
      </c>
      <c r="M1511">
        <v>5</v>
      </c>
      <c r="N1511">
        <v>140531.49</v>
      </c>
      <c r="O1511" t="s">
        <v>36</v>
      </c>
    </row>
    <row r="1512" spans="1:15" x14ac:dyDescent="0.3">
      <c r="A1512" t="s">
        <v>1580</v>
      </c>
      <c r="B1512" s="2">
        <v>46802</v>
      </c>
      <c r="C1512" t="s">
        <v>15</v>
      </c>
      <c r="D1512" t="str">
        <f t="shared" si="23"/>
        <v>February</v>
      </c>
      <c r="E1512" t="s">
        <v>52</v>
      </c>
      <c r="F1512" t="s">
        <v>60</v>
      </c>
      <c r="G1512" t="s">
        <v>78</v>
      </c>
      <c r="H1512" t="s">
        <v>19</v>
      </c>
      <c r="I1512" t="s">
        <v>20</v>
      </c>
      <c r="J1512" t="s">
        <v>28</v>
      </c>
      <c r="K1512">
        <v>2</v>
      </c>
      <c r="L1512">
        <v>48932.99</v>
      </c>
      <c r="M1512">
        <v>10</v>
      </c>
      <c r="N1512">
        <v>88079.38</v>
      </c>
      <c r="O1512" t="s">
        <v>47</v>
      </c>
    </row>
    <row r="1513" spans="1:15" x14ac:dyDescent="0.3">
      <c r="A1513" t="s">
        <v>1581</v>
      </c>
      <c r="B1513" s="2">
        <v>46803</v>
      </c>
      <c r="C1513" t="s">
        <v>15</v>
      </c>
      <c r="D1513" t="str">
        <f t="shared" si="23"/>
        <v>February</v>
      </c>
      <c r="E1513" t="s">
        <v>69</v>
      </c>
      <c r="F1513" t="s">
        <v>40</v>
      </c>
      <c r="G1513" t="s">
        <v>118</v>
      </c>
      <c r="H1513" t="s">
        <v>45</v>
      </c>
      <c r="I1513" t="s">
        <v>20</v>
      </c>
      <c r="J1513" t="s">
        <v>21</v>
      </c>
      <c r="K1513">
        <v>4</v>
      </c>
      <c r="L1513">
        <v>7560.36</v>
      </c>
      <c r="M1513">
        <v>20</v>
      </c>
      <c r="N1513">
        <v>24193.14</v>
      </c>
      <c r="O1513" t="s">
        <v>29</v>
      </c>
    </row>
    <row r="1514" spans="1:15" x14ac:dyDescent="0.3">
      <c r="A1514" t="s">
        <v>1582</v>
      </c>
      <c r="B1514" s="2">
        <v>46804</v>
      </c>
      <c r="C1514" t="s">
        <v>58</v>
      </c>
      <c r="D1514" t="str">
        <f t="shared" si="23"/>
        <v>February</v>
      </c>
      <c r="E1514" t="s">
        <v>32</v>
      </c>
      <c r="F1514" t="s">
        <v>25</v>
      </c>
      <c r="G1514" t="s">
        <v>92</v>
      </c>
      <c r="H1514" t="s">
        <v>19</v>
      </c>
      <c r="I1514" t="s">
        <v>42</v>
      </c>
      <c r="J1514" t="s">
        <v>28</v>
      </c>
      <c r="K1514">
        <v>5</v>
      </c>
      <c r="L1514">
        <v>2774.32</v>
      </c>
      <c r="M1514">
        <v>15</v>
      </c>
      <c r="N1514">
        <v>11790.85</v>
      </c>
      <c r="O1514" t="s">
        <v>22</v>
      </c>
    </row>
    <row r="1515" spans="1:15" x14ac:dyDescent="0.3">
      <c r="A1515" t="s">
        <v>1583</v>
      </c>
      <c r="B1515" s="2">
        <v>46805</v>
      </c>
      <c r="C1515" t="s">
        <v>31</v>
      </c>
      <c r="D1515" t="str">
        <f t="shared" si="23"/>
        <v>February</v>
      </c>
      <c r="E1515" t="s">
        <v>77</v>
      </c>
      <c r="F1515" t="s">
        <v>17</v>
      </c>
      <c r="G1515" t="s">
        <v>123</v>
      </c>
      <c r="H1515" t="s">
        <v>19</v>
      </c>
      <c r="I1515" t="s">
        <v>34</v>
      </c>
      <c r="J1515" t="s">
        <v>46</v>
      </c>
      <c r="K1515">
        <v>5</v>
      </c>
      <c r="L1515">
        <v>46910.73</v>
      </c>
      <c r="M1515">
        <v>0</v>
      </c>
      <c r="N1515">
        <v>234553.66</v>
      </c>
      <c r="O1515" t="s">
        <v>29</v>
      </c>
    </row>
    <row r="1516" spans="1:15" x14ac:dyDescent="0.3">
      <c r="A1516" t="s">
        <v>1584</v>
      </c>
      <c r="B1516" s="2">
        <v>46806</v>
      </c>
      <c r="C1516" t="s">
        <v>58</v>
      </c>
      <c r="D1516" t="str">
        <f t="shared" si="23"/>
        <v>February</v>
      </c>
      <c r="E1516" t="s">
        <v>24</v>
      </c>
      <c r="F1516" t="s">
        <v>40</v>
      </c>
      <c r="G1516" t="s">
        <v>118</v>
      </c>
      <c r="H1516" t="s">
        <v>33</v>
      </c>
      <c r="I1516" t="s">
        <v>34</v>
      </c>
      <c r="J1516" t="s">
        <v>21</v>
      </c>
      <c r="K1516">
        <v>4</v>
      </c>
      <c r="L1516">
        <v>7340.08</v>
      </c>
      <c r="M1516">
        <v>5</v>
      </c>
      <c r="N1516">
        <v>27892.3</v>
      </c>
      <c r="O1516" t="s">
        <v>47</v>
      </c>
    </row>
    <row r="1517" spans="1:15" x14ac:dyDescent="0.3">
      <c r="A1517" t="s">
        <v>1585</v>
      </c>
      <c r="B1517" s="2">
        <v>46807</v>
      </c>
      <c r="C1517" t="s">
        <v>15</v>
      </c>
      <c r="D1517" t="str">
        <f t="shared" si="23"/>
        <v>February</v>
      </c>
      <c r="E1517" t="s">
        <v>50</v>
      </c>
      <c r="F1517" t="s">
        <v>17</v>
      </c>
      <c r="G1517" t="s">
        <v>63</v>
      </c>
      <c r="H1517" t="s">
        <v>19</v>
      </c>
      <c r="I1517" t="s">
        <v>20</v>
      </c>
      <c r="J1517" t="s">
        <v>28</v>
      </c>
      <c r="K1517">
        <v>2</v>
      </c>
      <c r="L1517">
        <v>54409.77</v>
      </c>
      <c r="M1517">
        <v>15</v>
      </c>
      <c r="N1517">
        <v>92496.6</v>
      </c>
      <c r="O1517" t="s">
        <v>36</v>
      </c>
    </row>
    <row r="1518" spans="1:15" x14ac:dyDescent="0.3">
      <c r="A1518" t="s">
        <v>1586</v>
      </c>
      <c r="B1518" s="2">
        <v>46808</v>
      </c>
      <c r="C1518" t="s">
        <v>38</v>
      </c>
      <c r="D1518" t="str">
        <f t="shared" si="23"/>
        <v>February</v>
      </c>
      <c r="E1518" t="s">
        <v>100</v>
      </c>
      <c r="F1518" t="s">
        <v>40</v>
      </c>
      <c r="G1518" t="s">
        <v>41</v>
      </c>
      <c r="H1518" t="s">
        <v>27</v>
      </c>
      <c r="I1518" t="s">
        <v>20</v>
      </c>
      <c r="J1518" t="s">
        <v>28</v>
      </c>
      <c r="K1518">
        <v>1</v>
      </c>
      <c r="L1518">
        <v>7481.74</v>
      </c>
      <c r="M1518">
        <v>5</v>
      </c>
      <c r="N1518">
        <v>7107.65</v>
      </c>
      <c r="O1518" t="s">
        <v>47</v>
      </c>
    </row>
    <row r="1519" spans="1:15" x14ac:dyDescent="0.3">
      <c r="A1519" t="s">
        <v>1587</v>
      </c>
      <c r="B1519" s="2">
        <v>46809</v>
      </c>
      <c r="C1519" t="s">
        <v>49</v>
      </c>
      <c r="D1519" t="str">
        <f t="shared" si="23"/>
        <v>February</v>
      </c>
      <c r="E1519" t="s">
        <v>52</v>
      </c>
      <c r="F1519" t="s">
        <v>25</v>
      </c>
      <c r="G1519" t="s">
        <v>92</v>
      </c>
      <c r="H1519" t="s">
        <v>45</v>
      </c>
      <c r="I1519" t="s">
        <v>20</v>
      </c>
      <c r="J1519" t="s">
        <v>46</v>
      </c>
      <c r="K1519">
        <v>2</v>
      </c>
      <c r="L1519">
        <v>2276.48</v>
      </c>
      <c r="M1519">
        <v>0</v>
      </c>
      <c r="N1519">
        <v>4552.97</v>
      </c>
      <c r="O1519" t="s">
        <v>47</v>
      </c>
    </row>
    <row r="1520" spans="1:15" x14ac:dyDescent="0.3">
      <c r="A1520" t="s">
        <v>1588</v>
      </c>
      <c r="B1520" s="2">
        <v>46810</v>
      </c>
      <c r="C1520" t="s">
        <v>49</v>
      </c>
      <c r="D1520" t="str">
        <f t="shared" si="23"/>
        <v>February</v>
      </c>
      <c r="E1520" t="s">
        <v>77</v>
      </c>
      <c r="F1520" t="s">
        <v>53</v>
      </c>
      <c r="G1520" t="s">
        <v>65</v>
      </c>
      <c r="H1520" t="s">
        <v>19</v>
      </c>
      <c r="I1520" t="s">
        <v>42</v>
      </c>
      <c r="J1520" t="s">
        <v>21</v>
      </c>
      <c r="K1520">
        <v>5</v>
      </c>
      <c r="L1520">
        <v>39506.11</v>
      </c>
      <c r="M1520">
        <v>10</v>
      </c>
      <c r="N1520">
        <v>177777.5</v>
      </c>
      <c r="O1520" t="s">
        <v>36</v>
      </c>
    </row>
    <row r="1521" spans="1:15" x14ac:dyDescent="0.3">
      <c r="A1521" t="s">
        <v>1589</v>
      </c>
      <c r="B1521" s="2">
        <v>46811</v>
      </c>
      <c r="C1521" t="s">
        <v>31</v>
      </c>
      <c r="D1521" t="str">
        <f t="shared" si="23"/>
        <v>February</v>
      </c>
      <c r="E1521" t="s">
        <v>16</v>
      </c>
      <c r="F1521" t="s">
        <v>40</v>
      </c>
      <c r="G1521" t="s">
        <v>118</v>
      </c>
      <c r="H1521" t="s">
        <v>45</v>
      </c>
      <c r="I1521" t="s">
        <v>34</v>
      </c>
      <c r="J1521" t="s">
        <v>46</v>
      </c>
      <c r="K1521">
        <v>4</v>
      </c>
      <c r="L1521">
        <v>7440.64</v>
      </c>
      <c r="M1521">
        <v>5</v>
      </c>
      <c r="N1521">
        <v>28274.43</v>
      </c>
      <c r="O1521" t="s">
        <v>47</v>
      </c>
    </row>
    <row r="1522" spans="1:15" x14ac:dyDescent="0.3">
      <c r="A1522" t="s">
        <v>1590</v>
      </c>
      <c r="B1522" s="2">
        <v>46812</v>
      </c>
      <c r="C1522" t="s">
        <v>49</v>
      </c>
      <c r="D1522" t="str">
        <f t="shared" si="23"/>
        <v>February</v>
      </c>
      <c r="E1522" t="s">
        <v>72</v>
      </c>
      <c r="F1522" t="s">
        <v>53</v>
      </c>
      <c r="G1522" t="s">
        <v>65</v>
      </c>
      <c r="H1522" t="s">
        <v>45</v>
      </c>
      <c r="I1522" t="s">
        <v>34</v>
      </c>
      <c r="J1522" t="s">
        <v>21</v>
      </c>
      <c r="K1522">
        <v>5</v>
      </c>
      <c r="L1522">
        <v>38037.94</v>
      </c>
      <c r="M1522">
        <v>0</v>
      </c>
      <c r="N1522">
        <v>190189.68</v>
      </c>
      <c r="O1522" t="s">
        <v>47</v>
      </c>
    </row>
    <row r="1523" spans="1:15" x14ac:dyDescent="0.3">
      <c r="A1523" t="s">
        <v>1591</v>
      </c>
      <c r="B1523" s="2">
        <v>46813</v>
      </c>
      <c r="C1523" t="s">
        <v>49</v>
      </c>
      <c r="D1523" t="str">
        <f t="shared" si="23"/>
        <v>March</v>
      </c>
      <c r="E1523" t="s">
        <v>77</v>
      </c>
      <c r="F1523" t="s">
        <v>53</v>
      </c>
      <c r="G1523" t="s">
        <v>54</v>
      </c>
      <c r="H1523" t="s">
        <v>19</v>
      </c>
      <c r="I1523" t="s">
        <v>42</v>
      </c>
      <c r="J1523" t="s">
        <v>43</v>
      </c>
      <c r="K1523">
        <v>1</v>
      </c>
      <c r="L1523">
        <v>29411.62</v>
      </c>
      <c r="M1523">
        <v>5</v>
      </c>
      <c r="N1523">
        <v>27941.040000000001</v>
      </c>
      <c r="O1523" t="s">
        <v>47</v>
      </c>
    </row>
    <row r="1524" spans="1:15" x14ac:dyDescent="0.3">
      <c r="A1524" t="s">
        <v>1592</v>
      </c>
      <c r="B1524" s="2">
        <v>46814</v>
      </c>
      <c r="C1524" t="s">
        <v>58</v>
      </c>
      <c r="D1524" t="str">
        <f t="shared" si="23"/>
        <v>March</v>
      </c>
      <c r="E1524" t="s">
        <v>77</v>
      </c>
      <c r="F1524" t="s">
        <v>60</v>
      </c>
      <c r="G1524" t="s">
        <v>73</v>
      </c>
      <c r="H1524" t="s">
        <v>45</v>
      </c>
      <c r="I1524" t="s">
        <v>42</v>
      </c>
      <c r="J1524" t="s">
        <v>28</v>
      </c>
      <c r="K1524">
        <v>4</v>
      </c>
      <c r="L1524">
        <v>41862.75</v>
      </c>
      <c r="M1524">
        <v>0</v>
      </c>
      <c r="N1524">
        <v>167451</v>
      </c>
      <c r="O1524" t="s">
        <v>47</v>
      </c>
    </row>
    <row r="1525" spans="1:15" x14ac:dyDescent="0.3">
      <c r="A1525" t="s">
        <v>1593</v>
      </c>
      <c r="B1525" s="2">
        <v>46815</v>
      </c>
      <c r="C1525" t="s">
        <v>15</v>
      </c>
      <c r="D1525" t="str">
        <f t="shared" si="23"/>
        <v>March</v>
      </c>
      <c r="E1525" t="s">
        <v>77</v>
      </c>
      <c r="F1525" t="s">
        <v>60</v>
      </c>
      <c r="G1525" t="s">
        <v>61</v>
      </c>
      <c r="H1525" t="s">
        <v>27</v>
      </c>
      <c r="I1525" t="s">
        <v>42</v>
      </c>
      <c r="J1525" t="s">
        <v>35</v>
      </c>
      <c r="K1525">
        <v>2</v>
      </c>
      <c r="L1525">
        <v>41956.7</v>
      </c>
      <c r="M1525">
        <v>10</v>
      </c>
      <c r="N1525">
        <v>75522.06</v>
      </c>
      <c r="O1525" t="s">
        <v>47</v>
      </c>
    </row>
    <row r="1526" spans="1:15" x14ac:dyDescent="0.3">
      <c r="A1526" t="s">
        <v>1594</v>
      </c>
      <c r="B1526" s="2">
        <v>46816</v>
      </c>
      <c r="C1526" t="s">
        <v>58</v>
      </c>
      <c r="D1526" t="str">
        <f t="shared" si="23"/>
        <v>March</v>
      </c>
      <c r="E1526" t="s">
        <v>100</v>
      </c>
      <c r="F1526" t="s">
        <v>60</v>
      </c>
      <c r="G1526" t="s">
        <v>61</v>
      </c>
      <c r="H1526" t="s">
        <v>27</v>
      </c>
      <c r="I1526" t="s">
        <v>20</v>
      </c>
      <c r="J1526" t="s">
        <v>43</v>
      </c>
      <c r="K1526">
        <v>2</v>
      </c>
      <c r="L1526">
        <v>37995.699999999997</v>
      </c>
      <c r="M1526">
        <v>5</v>
      </c>
      <c r="N1526">
        <v>72191.83</v>
      </c>
      <c r="O1526" t="s">
        <v>29</v>
      </c>
    </row>
    <row r="1527" spans="1:15" x14ac:dyDescent="0.3">
      <c r="A1527" t="s">
        <v>1595</v>
      </c>
      <c r="B1527" s="2">
        <v>46817</v>
      </c>
      <c r="C1527" t="s">
        <v>15</v>
      </c>
      <c r="D1527" t="str">
        <f t="shared" si="23"/>
        <v>March</v>
      </c>
      <c r="E1527" t="s">
        <v>32</v>
      </c>
      <c r="F1527" t="s">
        <v>25</v>
      </c>
      <c r="G1527" t="s">
        <v>26</v>
      </c>
      <c r="H1527" t="s">
        <v>33</v>
      </c>
      <c r="I1527" t="s">
        <v>34</v>
      </c>
      <c r="J1527" t="s">
        <v>43</v>
      </c>
      <c r="K1527">
        <v>3</v>
      </c>
      <c r="L1527">
        <v>2999.98</v>
      </c>
      <c r="M1527">
        <v>0</v>
      </c>
      <c r="N1527">
        <v>8999.9500000000007</v>
      </c>
      <c r="O1527" t="s">
        <v>47</v>
      </c>
    </row>
    <row r="1528" spans="1:15" x14ac:dyDescent="0.3">
      <c r="A1528" t="s">
        <v>1596</v>
      </c>
      <c r="B1528" s="2">
        <v>46818</v>
      </c>
      <c r="C1528" t="s">
        <v>58</v>
      </c>
      <c r="D1528" t="str">
        <f t="shared" si="23"/>
        <v>March</v>
      </c>
      <c r="E1528" t="s">
        <v>72</v>
      </c>
      <c r="F1528" t="s">
        <v>60</v>
      </c>
      <c r="G1528" t="s">
        <v>73</v>
      </c>
      <c r="H1528" t="s">
        <v>45</v>
      </c>
      <c r="I1528" t="s">
        <v>34</v>
      </c>
      <c r="J1528" t="s">
        <v>35</v>
      </c>
      <c r="K1528">
        <v>5</v>
      </c>
      <c r="L1528">
        <v>52417.24</v>
      </c>
      <c r="M1528">
        <v>10</v>
      </c>
      <c r="N1528">
        <v>235877.59</v>
      </c>
      <c r="O1528" t="s">
        <v>36</v>
      </c>
    </row>
    <row r="1529" spans="1:15" x14ac:dyDescent="0.3">
      <c r="A1529" t="s">
        <v>1597</v>
      </c>
      <c r="B1529" s="2">
        <v>46819</v>
      </c>
      <c r="C1529" t="s">
        <v>38</v>
      </c>
      <c r="D1529" t="str">
        <f t="shared" si="23"/>
        <v>March</v>
      </c>
      <c r="E1529" t="s">
        <v>50</v>
      </c>
      <c r="F1529" t="s">
        <v>60</v>
      </c>
      <c r="G1529" t="s">
        <v>70</v>
      </c>
      <c r="H1529" t="s">
        <v>33</v>
      </c>
      <c r="I1529" t="s">
        <v>20</v>
      </c>
      <c r="J1529" t="s">
        <v>35</v>
      </c>
      <c r="K1529">
        <v>4</v>
      </c>
      <c r="L1529">
        <v>35317.99</v>
      </c>
      <c r="M1529">
        <v>0</v>
      </c>
      <c r="N1529">
        <v>141271.95000000001</v>
      </c>
      <c r="O1529" t="s">
        <v>47</v>
      </c>
    </row>
    <row r="1530" spans="1:15" x14ac:dyDescent="0.3">
      <c r="A1530" t="s">
        <v>1598</v>
      </c>
      <c r="B1530" s="2">
        <v>46820</v>
      </c>
      <c r="C1530" t="s">
        <v>15</v>
      </c>
      <c r="D1530" t="str">
        <f t="shared" si="23"/>
        <v>March</v>
      </c>
      <c r="E1530" t="s">
        <v>77</v>
      </c>
      <c r="F1530" t="s">
        <v>25</v>
      </c>
      <c r="G1530" t="s">
        <v>26</v>
      </c>
      <c r="H1530" t="s">
        <v>27</v>
      </c>
      <c r="I1530" t="s">
        <v>34</v>
      </c>
      <c r="J1530" t="s">
        <v>43</v>
      </c>
      <c r="K1530">
        <v>3</v>
      </c>
      <c r="L1530">
        <v>2073.13</v>
      </c>
      <c r="M1530">
        <v>0</v>
      </c>
      <c r="N1530">
        <v>6219.39</v>
      </c>
      <c r="O1530" t="s">
        <v>47</v>
      </c>
    </row>
    <row r="1531" spans="1:15" x14ac:dyDescent="0.3">
      <c r="A1531" t="s">
        <v>1599</v>
      </c>
      <c r="B1531" s="2">
        <v>46821</v>
      </c>
      <c r="C1531" t="s">
        <v>31</v>
      </c>
      <c r="D1531" t="str">
        <f t="shared" si="23"/>
        <v>March</v>
      </c>
      <c r="E1531" t="s">
        <v>72</v>
      </c>
      <c r="F1531" t="s">
        <v>60</v>
      </c>
      <c r="G1531" t="s">
        <v>70</v>
      </c>
      <c r="H1531" t="s">
        <v>27</v>
      </c>
      <c r="I1531" t="s">
        <v>20</v>
      </c>
      <c r="J1531" t="s">
        <v>43</v>
      </c>
      <c r="K1531">
        <v>4</v>
      </c>
      <c r="L1531">
        <v>44456.73</v>
      </c>
      <c r="M1531">
        <v>15</v>
      </c>
      <c r="N1531">
        <v>151152.88</v>
      </c>
      <c r="O1531" t="s">
        <v>22</v>
      </c>
    </row>
    <row r="1532" spans="1:15" x14ac:dyDescent="0.3">
      <c r="A1532" t="s">
        <v>1600</v>
      </c>
      <c r="B1532" s="2">
        <v>46822</v>
      </c>
      <c r="C1532" t="s">
        <v>58</v>
      </c>
      <c r="D1532" t="str">
        <f t="shared" si="23"/>
        <v>March</v>
      </c>
      <c r="E1532" t="s">
        <v>50</v>
      </c>
      <c r="F1532" t="s">
        <v>53</v>
      </c>
      <c r="G1532" t="s">
        <v>65</v>
      </c>
      <c r="H1532" t="s">
        <v>27</v>
      </c>
      <c r="I1532" t="s">
        <v>42</v>
      </c>
      <c r="J1532" t="s">
        <v>46</v>
      </c>
      <c r="K1532">
        <v>1</v>
      </c>
      <c r="L1532">
        <v>33984.17</v>
      </c>
      <c r="M1532">
        <v>0</v>
      </c>
      <c r="N1532">
        <v>33984.17</v>
      </c>
      <c r="O1532" t="s">
        <v>47</v>
      </c>
    </row>
    <row r="1533" spans="1:15" x14ac:dyDescent="0.3">
      <c r="A1533" t="s">
        <v>1601</v>
      </c>
      <c r="B1533" s="2">
        <v>46823</v>
      </c>
      <c r="C1533" t="s">
        <v>38</v>
      </c>
      <c r="D1533" t="str">
        <f t="shared" si="23"/>
        <v>March</v>
      </c>
      <c r="E1533" t="s">
        <v>24</v>
      </c>
      <c r="F1533" t="s">
        <v>17</v>
      </c>
      <c r="G1533" t="s">
        <v>18</v>
      </c>
      <c r="H1533" t="s">
        <v>19</v>
      </c>
      <c r="I1533" t="s">
        <v>20</v>
      </c>
      <c r="J1533" t="s">
        <v>46</v>
      </c>
      <c r="K1533">
        <v>2</v>
      </c>
      <c r="L1533">
        <v>56995.86</v>
      </c>
      <c r="M1533">
        <v>20</v>
      </c>
      <c r="N1533">
        <v>91193.38</v>
      </c>
      <c r="O1533" t="s">
        <v>47</v>
      </c>
    </row>
    <row r="1534" spans="1:15" x14ac:dyDescent="0.3">
      <c r="A1534" t="s">
        <v>1602</v>
      </c>
      <c r="B1534" s="2">
        <v>46824</v>
      </c>
      <c r="C1534" t="s">
        <v>49</v>
      </c>
      <c r="D1534" t="str">
        <f t="shared" si="23"/>
        <v>March</v>
      </c>
      <c r="E1534" t="s">
        <v>77</v>
      </c>
      <c r="F1534" t="s">
        <v>60</v>
      </c>
      <c r="G1534" t="s">
        <v>73</v>
      </c>
      <c r="H1534" t="s">
        <v>19</v>
      </c>
      <c r="I1534" t="s">
        <v>20</v>
      </c>
      <c r="J1534" t="s">
        <v>28</v>
      </c>
      <c r="K1534">
        <v>5</v>
      </c>
      <c r="L1534">
        <v>38976.17</v>
      </c>
      <c r="M1534">
        <v>5</v>
      </c>
      <c r="N1534">
        <v>185136.83</v>
      </c>
      <c r="O1534" t="s">
        <v>36</v>
      </c>
    </row>
    <row r="1535" spans="1:15" x14ac:dyDescent="0.3">
      <c r="A1535" t="s">
        <v>1603</v>
      </c>
      <c r="B1535" s="2">
        <v>46825</v>
      </c>
      <c r="C1535" t="s">
        <v>49</v>
      </c>
      <c r="D1535" t="str">
        <f t="shared" si="23"/>
        <v>March</v>
      </c>
      <c r="E1535" t="s">
        <v>77</v>
      </c>
      <c r="F1535" t="s">
        <v>53</v>
      </c>
      <c r="G1535" t="s">
        <v>129</v>
      </c>
      <c r="H1535" t="s">
        <v>33</v>
      </c>
      <c r="I1535" t="s">
        <v>42</v>
      </c>
      <c r="J1535" t="s">
        <v>43</v>
      </c>
      <c r="K1535">
        <v>5</v>
      </c>
      <c r="L1535">
        <v>34915.120000000003</v>
      </c>
      <c r="M1535">
        <v>0</v>
      </c>
      <c r="N1535">
        <v>174575.59</v>
      </c>
      <c r="O1535" t="s">
        <v>47</v>
      </c>
    </row>
    <row r="1536" spans="1:15" x14ac:dyDescent="0.3">
      <c r="A1536" t="s">
        <v>1604</v>
      </c>
      <c r="B1536" s="2">
        <v>46826</v>
      </c>
      <c r="C1536" t="s">
        <v>58</v>
      </c>
      <c r="D1536" t="str">
        <f t="shared" si="23"/>
        <v>March</v>
      </c>
      <c r="E1536" t="s">
        <v>52</v>
      </c>
      <c r="F1536" t="s">
        <v>60</v>
      </c>
      <c r="G1536" t="s">
        <v>78</v>
      </c>
      <c r="H1536" t="s">
        <v>27</v>
      </c>
      <c r="I1536" t="s">
        <v>20</v>
      </c>
      <c r="J1536" t="s">
        <v>28</v>
      </c>
      <c r="K1536">
        <v>4</v>
      </c>
      <c r="L1536">
        <v>43709.65</v>
      </c>
      <c r="M1536">
        <v>10</v>
      </c>
      <c r="N1536">
        <v>157354.73000000001</v>
      </c>
      <c r="O1536" t="s">
        <v>29</v>
      </c>
    </row>
    <row r="1537" spans="1:15" x14ac:dyDescent="0.3">
      <c r="A1537" t="s">
        <v>1605</v>
      </c>
      <c r="B1537" s="2">
        <v>46827</v>
      </c>
      <c r="C1537" t="s">
        <v>31</v>
      </c>
      <c r="D1537" t="str">
        <f t="shared" si="23"/>
        <v>March</v>
      </c>
      <c r="E1537" t="s">
        <v>52</v>
      </c>
      <c r="F1537" t="s">
        <v>53</v>
      </c>
      <c r="G1537" t="s">
        <v>54</v>
      </c>
      <c r="H1537" t="s">
        <v>45</v>
      </c>
      <c r="I1537" t="s">
        <v>34</v>
      </c>
      <c r="J1537" t="s">
        <v>46</v>
      </c>
      <c r="K1537">
        <v>3</v>
      </c>
      <c r="L1537">
        <v>36548.71</v>
      </c>
      <c r="M1537">
        <v>10</v>
      </c>
      <c r="N1537">
        <v>98681.53</v>
      </c>
      <c r="O1537" t="s">
        <v>22</v>
      </c>
    </row>
    <row r="1538" spans="1:15" x14ac:dyDescent="0.3">
      <c r="A1538" t="s">
        <v>1606</v>
      </c>
      <c r="B1538" s="2">
        <v>46828</v>
      </c>
      <c r="C1538" t="s">
        <v>15</v>
      </c>
      <c r="D1538" t="str">
        <f t="shared" si="23"/>
        <v>March</v>
      </c>
      <c r="E1538" t="s">
        <v>52</v>
      </c>
      <c r="F1538" t="s">
        <v>53</v>
      </c>
      <c r="G1538" t="s">
        <v>129</v>
      </c>
      <c r="H1538" t="s">
        <v>19</v>
      </c>
      <c r="I1538" t="s">
        <v>42</v>
      </c>
      <c r="J1538" t="s">
        <v>35</v>
      </c>
      <c r="K1538">
        <v>5</v>
      </c>
      <c r="L1538">
        <v>31240.2</v>
      </c>
      <c r="M1538">
        <v>20</v>
      </c>
      <c r="N1538">
        <v>124960.79</v>
      </c>
      <c r="O1538" t="s">
        <v>47</v>
      </c>
    </row>
    <row r="1539" spans="1:15" x14ac:dyDescent="0.3">
      <c r="A1539" t="s">
        <v>1607</v>
      </c>
      <c r="B1539" s="2">
        <v>46829</v>
      </c>
      <c r="C1539" t="s">
        <v>31</v>
      </c>
      <c r="D1539" t="str">
        <f t="shared" ref="D1539:D1602" si="24">TEXT(B1539,"mmmm")</f>
        <v>March</v>
      </c>
      <c r="E1539" t="s">
        <v>24</v>
      </c>
      <c r="F1539" t="s">
        <v>53</v>
      </c>
      <c r="G1539" t="s">
        <v>54</v>
      </c>
      <c r="H1539" t="s">
        <v>19</v>
      </c>
      <c r="I1539" t="s">
        <v>34</v>
      </c>
      <c r="J1539" t="s">
        <v>28</v>
      </c>
      <c r="K1539">
        <v>4</v>
      </c>
      <c r="L1539">
        <v>26900.93</v>
      </c>
      <c r="M1539">
        <v>10</v>
      </c>
      <c r="N1539">
        <v>96843.34</v>
      </c>
      <c r="O1539" t="s">
        <v>47</v>
      </c>
    </row>
    <row r="1540" spans="1:15" x14ac:dyDescent="0.3">
      <c r="A1540" t="s">
        <v>1608</v>
      </c>
      <c r="B1540" s="2">
        <v>46830</v>
      </c>
      <c r="C1540" t="s">
        <v>31</v>
      </c>
      <c r="D1540" t="str">
        <f t="shared" si="24"/>
        <v>March</v>
      </c>
      <c r="E1540" t="s">
        <v>100</v>
      </c>
      <c r="F1540" t="s">
        <v>60</v>
      </c>
      <c r="G1540" t="s">
        <v>73</v>
      </c>
      <c r="H1540" t="s">
        <v>27</v>
      </c>
      <c r="I1540" t="s">
        <v>42</v>
      </c>
      <c r="J1540" t="s">
        <v>43</v>
      </c>
      <c r="K1540">
        <v>1</v>
      </c>
      <c r="L1540">
        <v>38879.839999999997</v>
      </c>
      <c r="M1540">
        <v>10</v>
      </c>
      <c r="N1540">
        <v>34991.86</v>
      </c>
      <c r="O1540" t="s">
        <v>22</v>
      </c>
    </row>
    <row r="1541" spans="1:15" x14ac:dyDescent="0.3">
      <c r="A1541" t="s">
        <v>1609</v>
      </c>
      <c r="B1541" s="2">
        <v>46831</v>
      </c>
      <c r="C1541" t="s">
        <v>31</v>
      </c>
      <c r="D1541" t="str">
        <f t="shared" si="24"/>
        <v>March</v>
      </c>
      <c r="E1541" t="s">
        <v>72</v>
      </c>
      <c r="F1541" t="s">
        <v>53</v>
      </c>
      <c r="G1541" t="s">
        <v>129</v>
      </c>
      <c r="H1541" t="s">
        <v>45</v>
      </c>
      <c r="I1541" t="s">
        <v>20</v>
      </c>
      <c r="J1541" t="s">
        <v>46</v>
      </c>
      <c r="K1541">
        <v>4</v>
      </c>
      <c r="L1541">
        <v>31055.11</v>
      </c>
      <c r="M1541">
        <v>0</v>
      </c>
      <c r="N1541">
        <v>124220.43</v>
      </c>
      <c r="O1541" t="s">
        <v>47</v>
      </c>
    </row>
    <row r="1542" spans="1:15" x14ac:dyDescent="0.3">
      <c r="A1542" t="s">
        <v>1610</v>
      </c>
      <c r="B1542" s="2">
        <v>46832</v>
      </c>
      <c r="C1542" t="s">
        <v>15</v>
      </c>
      <c r="D1542" t="str">
        <f t="shared" si="24"/>
        <v>March</v>
      </c>
      <c r="E1542" t="s">
        <v>32</v>
      </c>
      <c r="F1542" t="s">
        <v>53</v>
      </c>
      <c r="G1542" t="s">
        <v>105</v>
      </c>
      <c r="H1542" t="s">
        <v>27</v>
      </c>
      <c r="I1542" t="s">
        <v>42</v>
      </c>
      <c r="J1542" t="s">
        <v>46</v>
      </c>
      <c r="K1542">
        <v>3</v>
      </c>
      <c r="L1542">
        <v>35781.65</v>
      </c>
      <c r="M1542">
        <v>10</v>
      </c>
      <c r="N1542">
        <v>96610.46</v>
      </c>
      <c r="O1542" t="s">
        <v>22</v>
      </c>
    </row>
    <row r="1543" spans="1:15" x14ac:dyDescent="0.3">
      <c r="A1543" t="s">
        <v>1611</v>
      </c>
      <c r="B1543" s="2">
        <v>46833</v>
      </c>
      <c r="C1543" t="s">
        <v>31</v>
      </c>
      <c r="D1543" t="str">
        <f t="shared" si="24"/>
        <v>March</v>
      </c>
      <c r="E1543" t="s">
        <v>16</v>
      </c>
      <c r="F1543" t="s">
        <v>17</v>
      </c>
      <c r="G1543" t="s">
        <v>67</v>
      </c>
      <c r="H1543" t="s">
        <v>27</v>
      </c>
      <c r="I1543" t="s">
        <v>20</v>
      </c>
      <c r="J1543" t="s">
        <v>21</v>
      </c>
      <c r="K1543">
        <v>1</v>
      </c>
      <c r="L1543">
        <v>51995.87</v>
      </c>
      <c r="M1543">
        <v>5</v>
      </c>
      <c r="N1543">
        <v>49396.07</v>
      </c>
      <c r="O1543" t="s">
        <v>47</v>
      </c>
    </row>
    <row r="1544" spans="1:15" x14ac:dyDescent="0.3">
      <c r="A1544" t="s">
        <v>1612</v>
      </c>
      <c r="B1544" s="2">
        <v>46834</v>
      </c>
      <c r="C1544" t="s">
        <v>15</v>
      </c>
      <c r="D1544" t="str">
        <f t="shared" si="24"/>
        <v>March</v>
      </c>
      <c r="E1544" t="s">
        <v>50</v>
      </c>
      <c r="F1544" t="s">
        <v>17</v>
      </c>
      <c r="G1544" t="s">
        <v>67</v>
      </c>
      <c r="H1544" t="s">
        <v>27</v>
      </c>
      <c r="I1544" t="s">
        <v>34</v>
      </c>
      <c r="J1544" t="s">
        <v>35</v>
      </c>
      <c r="K1544">
        <v>4</v>
      </c>
      <c r="L1544">
        <v>52977.1</v>
      </c>
      <c r="M1544">
        <v>10</v>
      </c>
      <c r="N1544">
        <v>190717.57</v>
      </c>
      <c r="O1544" t="s">
        <v>36</v>
      </c>
    </row>
    <row r="1545" spans="1:15" x14ac:dyDescent="0.3">
      <c r="A1545" t="s">
        <v>1613</v>
      </c>
      <c r="B1545" s="2">
        <v>46835</v>
      </c>
      <c r="C1545" t="s">
        <v>31</v>
      </c>
      <c r="D1545" t="str">
        <f t="shared" si="24"/>
        <v>March</v>
      </c>
      <c r="E1545" t="s">
        <v>39</v>
      </c>
      <c r="F1545" t="s">
        <v>25</v>
      </c>
      <c r="G1545" t="s">
        <v>81</v>
      </c>
      <c r="H1545" t="s">
        <v>33</v>
      </c>
      <c r="I1545" t="s">
        <v>34</v>
      </c>
      <c r="J1545" t="s">
        <v>35</v>
      </c>
      <c r="K1545">
        <v>2</v>
      </c>
      <c r="L1545">
        <v>2741.36</v>
      </c>
      <c r="M1545">
        <v>10</v>
      </c>
      <c r="N1545">
        <v>4934.45</v>
      </c>
      <c r="O1545" t="s">
        <v>47</v>
      </c>
    </row>
    <row r="1546" spans="1:15" x14ac:dyDescent="0.3">
      <c r="A1546" t="s">
        <v>1614</v>
      </c>
      <c r="B1546" s="2">
        <v>46836</v>
      </c>
      <c r="C1546" t="s">
        <v>31</v>
      </c>
      <c r="D1546" t="str">
        <f t="shared" si="24"/>
        <v>March</v>
      </c>
      <c r="E1546" t="s">
        <v>16</v>
      </c>
      <c r="F1546" t="s">
        <v>40</v>
      </c>
      <c r="G1546" t="s">
        <v>115</v>
      </c>
      <c r="H1546" t="s">
        <v>19</v>
      </c>
      <c r="I1546" t="s">
        <v>42</v>
      </c>
      <c r="J1546" t="s">
        <v>43</v>
      </c>
      <c r="K1546">
        <v>2</v>
      </c>
      <c r="L1546">
        <v>5709.77</v>
      </c>
      <c r="M1546">
        <v>0</v>
      </c>
      <c r="N1546">
        <v>11419.53</v>
      </c>
      <c r="O1546" t="s">
        <v>47</v>
      </c>
    </row>
    <row r="1547" spans="1:15" x14ac:dyDescent="0.3">
      <c r="A1547" t="s">
        <v>1615</v>
      </c>
      <c r="B1547" s="2">
        <v>46837</v>
      </c>
      <c r="C1547" t="s">
        <v>15</v>
      </c>
      <c r="D1547" t="str">
        <f t="shared" si="24"/>
        <v>March</v>
      </c>
      <c r="E1547" t="s">
        <v>100</v>
      </c>
      <c r="F1547" t="s">
        <v>40</v>
      </c>
      <c r="G1547" t="s">
        <v>115</v>
      </c>
      <c r="H1547" t="s">
        <v>19</v>
      </c>
      <c r="I1547" t="s">
        <v>20</v>
      </c>
      <c r="J1547" t="s">
        <v>35</v>
      </c>
      <c r="K1547">
        <v>4</v>
      </c>
      <c r="L1547">
        <v>6642.33</v>
      </c>
      <c r="M1547">
        <v>5</v>
      </c>
      <c r="N1547">
        <v>25240.84</v>
      </c>
      <c r="O1547" t="s">
        <v>22</v>
      </c>
    </row>
    <row r="1548" spans="1:15" x14ac:dyDescent="0.3">
      <c r="A1548" t="s">
        <v>1616</v>
      </c>
      <c r="B1548" s="2">
        <v>46838</v>
      </c>
      <c r="C1548" t="s">
        <v>15</v>
      </c>
      <c r="D1548" t="str">
        <f t="shared" si="24"/>
        <v>March</v>
      </c>
      <c r="E1548" t="s">
        <v>52</v>
      </c>
      <c r="F1548" t="s">
        <v>25</v>
      </c>
      <c r="G1548" t="s">
        <v>92</v>
      </c>
      <c r="H1548" t="s">
        <v>33</v>
      </c>
      <c r="I1548" t="s">
        <v>42</v>
      </c>
      <c r="J1548" t="s">
        <v>21</v>
      </c>
      <c r="K1548">
        <v>4</v>
      </c>
      <c r="L1548">
        <v>2336.16</v>
      </c>
      <c r="M1548">
        <v>5</v>
      </c>
      <c r="N1548">
        <v>8877.4</v>
      </c>
      <c r="O1548" t="s">
        <v>36</v>
      </c>
    </row>
    <row r="1549" spans="1:15" x14ac:dyDescent="0.3">
      <c r="A1549" t="s">
        <v>1617</v>
      </c>
      <c r="B1549" s="2">
        <v>46839</v>
      </c>
      <c r="C1549" t="s">
        <v>58</v>
      </c>
      <c r="D1549" t="str">
        <f t="shared" si="24"/>
        <v>March</v>
      </c>
      <c r="E1549" t="s">
        <v>72</v>
      </c>
      <c r="F1549" t="s">
        <v>17</v>
      </c>
      <c r="G1549" t="s">
        <v>123</v>
      </c>
      <c r="H1549" t="s">
        <v>27</v>
      </c>
      <c r="I1549" t="s">
        <v>42</v>
      </c>
      <c r="J1549" t="s">
        <v>46</v>
      </c>
      <c r="K1549">
        <v>1</v>
      </c>
      <c r="L1549">
        <v>65069.88</v>
      </c>
      <c r="M1549">
        <v>5</v>
      </c>
      <c r="N1549">
        <v>61816.39</v>
      </c>
      <c r="O1549" t="s">
        <v>22</v>
      </c>
    </row>
    <row r="1550" spans="1:15" x14ac:dyDescent="0.3">
      <c r="A1550" t="s">
        <v>1618</v>
      </c>
      <c r="B1550" s="2">
        <v>46840</v>
      </c>
      <c r="C1550" t="s">
        <v>49</v>
      </c>
      <c r="D1550" t="str">
        <f t="shared" si="24"/>
        <v>March</v>
      </c>
      <c r="E1550" t="s">
        <v>72</v>
      </c>
      <c r="F1550" t="s">
        <v>17</v>
      </c>
      <c r="G1550" t="s">
        <v>123</v>
      </c>
      <c r="H1550" t="s">
        <v>45</v>
      </c>
      <c r="I1550" t="s">
        <v>34</v>
      </c>
      <c r="J1550" t="s">
        <v>35</v>
      </c>
      <c r="K1550">
        <v>4</v>
      </c>
      <c r="L1550">
        <v>59740.29</v>
      </c>
      <c r="M1550">
        <v>5</v>
      </c>
      <c r="N1550">
        <v>227013.09</v>
      </c>
      <c r="O1550" t="s">
        <v>47</v>
      </c>
    </row>
    <row r="1551" spans="1:15" x14ac:dyDescent="0.3">
      <c r="A1551" t="s">
        <v>1619</v>
      </c>
      <c r="B1551" s="2">
        <v>46841</v>
      </c>
      <c r="C1551" t="s">
        <v>38</v>
      </c>
      <c r="D1551" t="str">
        <f t="shared" si="24"/>
        <v>March</v>
      </c>
      <c r="E1551" t="s">
        <v>16</v>
      </c>
      <c r="F1551" t="s">
        <v>17</v>
      </c>
      <c r="G1551" t="s">
        <v>63</v>
      </c>
      <c r="H1551" t="s">
        <v>45</v>
      </c>
      <c r="I1551" t="s">
        <v>34</v>
      </c>
      <c r="J1551" t="s">
        <v>28</v>
      </c>
      <c r="K1551">
        <v>2</v>
      </c>
      <c r="L1551">
        <v>56907.7</v>
      </c>
      <c r="M1551">
        <v>0</v>
      </c>
      <c r="N1551">
        <v>113815.41</v>
      </c>
      <c r="O1551" t="s">
        <v>47</v>
      </c>
    </row>
    <row r="1552" spans="1:15" x14ac:dyDescent="0.3">
      <c r="A1552" t="s">
        <v>1620</v>
      </c>
      <c r="B1552" s="2">
        <v>46842</v>
      </c>
      <c r="C1552" t="s">
        <v>49</v>
      </c>
      <c r="D1552" t="str">
        <f t="shared" si="24"/>
        <v>March</v>
      </c>
      <c r="E1552" t="s">
        <v>24</v>
      </c>
      <c r="F1552" t="s">
        <v>17</v>
      </c>
      <c r="G1552" t="s">
        <v>123</v>
      </c>
      <c r="H1552" t="s">
        <v>45</v>
      </c>
      <c r="I1552" t="s">
        <v>20</v>
      </c>
      <c r="J1552" t="s">
        <v>35</v>
      </c>
      <c r="K1552">
        <v>5</v>
      </c>
      <c r="L1552">
        <v>62729.85</v>
      </c>
      <c r="M1552">
        <v>10</v>
      </c>
      <c r="N1552">
        <v>282284.32</v>
      </c>
      <c r="O1552" t="s">
        <v>47</v>
      </c>
    </row>
    <row r="1553" spans="1:15" x14ac:dyDescent="0.3">
      <c r="A1553" t="s">
        <v>1621</v>
      </c>
      <c r="B1553" s="2">
        <v>46843</v>
      </c>
      <c r="C1553" t="s">
        <v>49</v>
      </c>
      <c r="D1553" t="str">
        <f t="shared" si="24"/>
        <v>March</v>
      </c>
      <c r="E1553" t="s">
        <v>50</v>
      </c>
      <c r="F1553" t="s">
        <v>40</v>
      </c>
      <c r="G1553" t="s">
        <v>118</v>
      </c>
      <c r="H1553" t="s">
        <v>33</v>
      </c>
      <c r="I1553" t="s">
        <v>42</v>
      </c>
      <c r="J1553" t="s">
        <v>28</v>
      </c>
      <c r="K1553">
        <v>4</v>
      </c>
      <c r="L1553">
        <v>5394.58</v>
      </c>
      <c r="M1553">
        <v>10</v>
      </c>
      <c r="N1553">
        <v>19420.48</v>
      </c>
      <c r="O1553" t="s">
        <v>29</v>
      </c>
    </row>
    <row r="1554" spans="1:15" x14ac:dyDescent="0.3">
      <c r="A1554" t="s">
        <v>1622</v>
      </c>
      <c r="B1554" s="2">
        <v>46844</v>
      </c>
      <c r="C1554" t="s">
        <v>58</v>
      </c>
      <c r="D1554" t="str">
        <f t="shared" si="24"/>
        <v>April</v>
      </c>
      <c r="E1554" t="s">
        <v>24</v>
      </c>
      <c r="F1554" t="s">
        <v>17</v>
      </c>
      <c r="G1554" t="s">
        <v>63</v>
      </c>
      <c r="H1554" t="s">
        <v>45</v>
      </c>
      <c r="I1554" t="s">
        <v>34</v>
      </c>
      <c r="J1554" t="s">
        <v>21</v>
      </c>
      <c r="K1554">
        <v>2</v>
      </c>
      <c r="L1554">
        <v>71161.649999999994</v>
      </c>
      <c r="M1554">
        <v>5</v>
      </c>
      <c r="N1554">
        <v>135207.13</v>
      </c>
      <c r="O1554" t="s">
        <v>47</v>
      </c>
    </row>
    <row r="1555" spans="1:15" x14ac:dyDescent="0.3">
      <c r="A1555" t="s">
        <v>1623</v>
      </c>
      <c r="B1555" s="2">
        <v>46845</v>
      </c>
      <c r="C1555" t="s">
        <v>58</v>
      </c>
      <c r="D1555" t="str">
        <f t="shared" si="24"/>
        <v>April</v>
      </c>
      <c r="E1555" t="s">
        <v>77</v>
      </c>
      <c r="F1555" t="s">
        <v>25</v>
      </c>
      <c r="G1555" t="s">
        <v>81</v>
      </c>
      <c r="H1555" t="s">
        <v>27</v>
      </c>
      <c r="I1555" t="s">
        <v>20</v>
      </c>
      <c r="J1555" t="s">
        <v>28</v>
      </c>
      <c r="K1555">
        <v>1</v>
      </c>
      <c r="L1555">
        <v>2075.65</v>
      </c>
      <c r="M1555">
        <v>20</v>
      </c>
      <c r="N1555">
        <v>1660.52</v>
      </c>
      <c r="O1555" t="s">
        <v>47</v>
      </c>
    </row>
    <row r="1556" spans="1:15" x14ac:dyDescent="0.3">
      <c r="A1556" t="s">
        <v>1624</v>
      </c>
      <c r="B1556" s="2">
        <v>46846</v>
      </c>
      <c r="C1556" t="s">
        <v>38</v>
      </c>
      <c r="D1556" t="str">
        <f t="shared" si="24"/>
        <v>April</v>
      </c>
      <c r="E1556" t="s">
        <v>100</v>
      </c>
      <c r="F1556" t="s">
        <v>60</v>
      </c>
      <c r="G1556" t="s">
        <v>61</v>
      </c>
      <c r="H1556" t="s">
        <v>45</v>
      </c>
      <c r="I1556" t="s">
        <v>34</v>
      </c>
      <c r="J1556" t="s">
        <v>35</v>
      </c>
      <c r="K1556">
        <v>3</v>
      </c>
      <c r="L1556">
        <v>50567.03</v>
      </c>
      <c r="M1556">
        <v>0</v>
      </c>
      <c r="N1556">
        <v>151701.09</v>
      </c>
      <c r="O1556" t="s">
        <v>47</v>
      </c>
    </row>
    <row r="1557" spans="1:15" x14ac:dyDescent="0.3">
      <c r="A1557" t="s">
        <v>1625</v>
      </c>
      <c r="B1557" s="2">
        <v>46847</v>
      </c>
      <c r="C1557" t="s">
        <v>58</v>
      </c>
      <c r="D1557" t="str">
        <f t="shared" si="24"/>
        <v>April</v>
      </c>
      <c r="E1557" t="s">
        <v>77</v>
      </c>
      <c r="F1557" t="s">
        <v>25</v>
      </c>
      <c r="G1557" t="s">
        <v>56</v>
      </c>
      <c r="H1557" t="s">
        <v>33</v>
      </c>
      <c r="I1557" t="s">
        <v>20</v>
      </c>
      <c r="J1557" t="s">
        <v>43</v>
      </c>
      <c r="K1557">
        <v>1</v>
      </c>
      <c r="L1557">
        <v>2999.81</v>
      </c>
      <c r="M1557">
        <v>15</v>
      </c>
      <c r="N1557">
        <v>2549.84</v>
      </c>
      <c r="O1557" t="s">
        <v>47</v>
      </c>
    </row>
    <row r="1558" spans="1:15" x14ac:dyDescent="0.3">
      <c r="A1558" t="s">
        <v>1626</v>
      </c>
      <c r="B1558" s="2">
        <v>46848</v>
      </c>
      <c r="C1558" t="s">
        <v>15</v>
      </c>
      <c r="D1558" t="str">
        <f t="shared" si="24"/>
        <v>April</v>
      </c>
      <c r="E1558" t="s">
        <v>39</v>
      </c>
      <c r="F1558" t="s">
        <v>53</v>
      </c>
      <c r="G1558" t="s">
        <v>65</v>
      </c>
      <c r="H1558" t="s">
        <v>45</v>
      </c>
      <c r="I1558" t="s">
        <v>20</v>
      </c>
      <c r="J1558" t="s">
        <v>43</v>
      </c>
      <c r="K1558">
        <v>5</v>
      </c>
      <c r="L1558">
        <v>32782.93</v>
      </c>
      <c r="M1558">
        <v>15</v>
      </c>
      <c r="N1558">
        <v>139327.46</v>
      </c>
      <c r="O1558" t="s">
        <v>47</v>
      </c>
    </row>
    <row r="1559" spans="1:15" x14ac:dyDescent="0.3">
      <c r="A1559" t="s">
        <v>1627</v>
      </c>
      <c r="B1559" s="2">
        <v>46849</v>
      </c>
      <c r="C1559" t="s">
        <v>49</v>
      </c>
      <c r="D1559" t="str">
        <f t="shared" si="24"/>
        <v>April</v>
      </c>
      <c r="E1559" t="s">
        <v>52</v>
      </c>
      <c r="F1559" t="s">
        <v>40</v>
      </c>
      <c r="G1559" t="s">
        <v>75</v>
      </c>
      <c r="H1559" t="s">
        <v>33</v>
      </c>
      <c r="I1559" t="s">
        <v>34</v>
      </c>
      <c r="J1559" t="s">
        <v>35</v>
      </c>
      <c r="K1559">
        <v>1</v>
      </c>
      <c r="L1559">
        <v>7680.38</v>
      </c>
      <c r="M1559">
        <v>10</v>
      </c>
      <c r="N1559">
        <v>6912.35</v>
      </c>
      <c r="O1559" t="s">
        <v>36</v>
      </c>
    </row>
    <row r="1560" spans="1:15" x14ac:dyDescent="0.3">
      <c r="A1560" t="s">
        <v>1628</v>
      </c>
      <c r="B1560" s="2">
        <v>46850</v>
      </c>
      <c r="C1560" t="s">
        <v>31</v>
      </c>
      <c r="D1560" t="str">
        <f t="shared" si="24"/>
        <v>April</v>
      </c>
      <c r="E1560" t="s">
        <v>77</v>
      </c>
      <c r="F1560" t="s">
        <v>17</v>
      </c>
      <c r="G1560" t="s">
        <v>123</v>
      </c>
      <c r="H1560" t="s">
        <v>19</v>
      </c>
      <c r="I1560" t="s">
        <v>42</v>
      </c>
      <c r="J1560" t="s">
        <v>28</v>
      </c>
      <c r="K1560">
        <v>2</v>
      </c>
      <c r="L1560">
        <v>57855.44</v>
      </c>
      <c r="M1560">
        <v>5</v>
      </c>
      <c r="N1560">
        <v>109925.34</v>
      </c>
      <c r="O1560" t="s">
        <v>47</v>
      </c>
    </row>
    <row r="1561" spans="1:15" x14ac:dyDescent="0.3">
      <c r="A1561" t="s">
        <v>1629</v>
      </c>
      <c r="B1561" s="2">
        <v>46851</v>
      </c>
      <c r="C1561" t="s">
        <v>15</v>
      </c>
      <c r="D1561" t="str">
        <f t="shared" si="24"/>
        <v>April</v>
      </c>
      <c r="E1561" t="s">
        <v>52</v>
      </c>
      <c r="F1561" t="s">
        <v>40</v>
      </c>
      <c r="G1561" t="s">
        <v>115</v>
      </c>
      <c r="H1561" t="s">
        <v>45</v>
      </c>
      <c r="I1561" t="s">
        <v>42</v>
      </c>
      <c r="J1561" t="s">
        <v>35</v>
      </c>
      <c r="K1561">
        <v>5</v>
      </c>
      <c r="L1561">
        <v>6511.95</v>
      </c>
      <c r="M1561">
        <v>15</v>
      </c>
      <c r="N1561">
        <v>27675.79</v>
      </c>
      <c r="O1561" t="s">
        <v>47</v>
      </c>
    </row>
    <row r="1562" spans="1:15" x14ac:dyDescent="0.3">
      <c r="A1562" t="s">
        <v>1630</v>
      </c>
      <c r="B1562" s="2">
        <v>46852</v>
      </c>
      <c r="C1562" t="s">
        <v>58</v>
      </c>
      <c r="D1562" t="str">
        <f t="shared" si="24"/>
        <v>April</v>
      </c>
      <c r="E1562" t="s">
        <v>72</v>
      </c>
      <c r="F1562" t="s">
        <v>60</v>
      </c>
      <c r="G1562" t="s">
        <v>78</v>
      </c>
      <c r="H1562" t="s">
        <v>27</v>
      </c>
      <c r="I1562" t="s">
        <v>34</v>
      </c>
      <c r="J1562" t="s">
        <v>43</v>
      </c>
      <c r="K1562">
        <v>5</v>
      </c>
      <c r="L1562">
        <v>35364.050000000003</v>
      </c>
      <c r="M1562">
        <v>10</v>
      </c>
      <c r="N1562">
        <v>159138.22</v>
      </c>
      <c r="O1562" t="s">
        <v>47</v>
      </c>
    </row>
    <row r="1563" spans="1:15" x14ac:dyDescent="0.3">
      <c r="A1563" t="s">
        <v>1631</v>
      </c>
      <c r="B1563" s="2">
        <v>46853</v>
      </c>
      <c r="C1563" t="s">
        <v>15</v>
      </c>
      <c r="D1563" t="str">
        <f t="shared" si="24"/>
        <v>April</v>
      </c>
      <c r="E1563" t="s">
        <v>16</v>
      </c>
      <c r="F1563" t="s">
        <v>17</v>
      </c>
      <c r="G1563" t="s">
        <v>63</v>
      </c>
      <c r="H1563" t="s">
        <v>19</v>
      </c>
      <c r="I1563" t="s">
        <v>34</v>
      </c>
      <c r="J1563" t="s">
        <v>35</v>
      </c>
      <c r="K1563">
        <v>5</v>
      </c>
      <c r="L1563">
        <v>48977.15</v>
      </c>
      <c r="M1563">
        <v>15</v>
      </c>
      <c r="N1563">
        <v>208152.89</v>
      </c>
      <c r="O1563" t="s">
        <v>22</v>
      </c>
    </row>
    <row r="1564" spans="1:15" x14ac:dyDescent="0.3">
      <c r="A1564" t="s">
        <v>1632</v>
      </c>
      <c r="B1564" s="2">
        <v>46854</v>
      </c>
      <c r="C1564" t="s">
        <v>38</v>
      </c>
      <c r="D1564" t="str">
        <f t="shared" si="24"/>
        <v>April</v>
      </c>
      <c r="E1564" t="s">
        <v>16</v>
      </c>
      <c r="F1564" t="s">
        <v>17</v>
      </c>
      <c r="G1564" t="s">
        <v>63</v>
      </c>
      <c r="H1564" t="s">
        <v>33</v>
      </c>
      <c r="I1564" t="s">
        <v>34</v>
      </c>
      <c r="J1564" t="s">
        <v>21</v>
      </c>
      <c r="K1564">
        <v>3</v>
      </c>
      <c r="L1564">
        <v>57391.53</v>
      </c>
      <c r="M1564">
        <v>5</v>
      </c>
      <c r="N1564">
        <v>163565.87</v>
      </c>
      <c r="O1564" t="s">
        <v>47</v>
      </c>
    </row>
    <row r="1565" spans="1:15" x14ac:dyDescent="0.3">
      <c r="A1565" t="s">
        <v>1633</v>
      </c>
      <c r="B1565" s="2">
        <v>46855</v>
      </c>
      <c r="C1565" t="s">
        <v>15</v>
      </c>
      <c r="D1565" t="str">
        <f t="shared" si="24"/>
        <v>April</v>
      </c>
      <c r="E1565" t="s">
        <v>52</v>
      </c>
      <c r="F1565" t="s">
        <v>60</v>
      </c>
      <c r="G1565" t="s">
        <v>78</v>
      </c>
      <c r="H1565" t="s">
        <v>27</v>
      </c>
      <c r="I1565" t="s">
        <v>20</v>
      </c>
      <c r="J1565" t="s">
        <v>28</v>
      </c>
      <c r="K1565">
        <v>2</v>
      </c>
      <c r="L1565">
        <v>46693.8</v>
      </c>
      <c r="M1565">
        <v>15</v>
      </c>
      <c r="N1565">
        <v>79379.460000000006</v>
      </c>
      <c r="O1565" t="s">
        <v>47</v>
      </c>
    </row>
    <row r="1566" spans="1:15" x14ac:dyDescent="0.3">
      <c r="A1566" t="s">
        <v>1634</v>
      </c>
      <c r="B1566" s="2">
        <v>46856</v>
      </c>
      <c r="C1566" t="s">
        <v>58</v>
      </c>
      <c r="D1566" t="str">
        <f t="shared" si="24"/>
        <v>April</v>
      </c>
      <c r="E1566" t="s">
        <v>39</v>
      </c>
      <c r="F1566" t="s">
        <v>60</v>
      </c>
      <c r="G1566" t="s">
        <v>61</v>
      </c>
      <c r="H1566" t="s">
        <v>27</v>
      </c>
      <c r="I1566" t="s">
        <v>42</v>
      </c>
      <c r="J1566" t="s">
        <v>28</v>
      </c>
      <c r="K1566">
        <v>2</v>
      </c>
      <c r="L1566">
        <v>37501.54</v>
      </c>
      <c r="M1566">
        <v>15</v>
      </c>
      <c r="N1566">
        <v>63752.61</v>
      </c>
      <c r="O1566" t="s">
        <v>36</v>
      </c>
    </row>
    <row r="1567" spans="1:15" x14ac:dyDescent="0.3">
      <c r="A1567" t="s">
        <v>1635</v>
      </c>
      <c r="B1567" s="2">
        <v>46857</v>
      </c>
      <c r="C1567" t="s">
        <v>49</v>
      </c>
      <c r="D1567" t="str">
        <f t="shared" si="24"/>
        <v>April</v>
      </c>
      <c r="E1567" t="s">
        <v>50</v>
      </c>
      <c r="F1567" t="s">
        <v>17</v>
      </c>
      <c r="G1567" t="s">
        <v>63</v>
      </c>
      <c r="H1567" t="s">
        <v>45</v>
      </c>
      <c r="I1567" t="s">
        <v>34</v>
      </c>
      <c r="J1567" t="s">
        <v>28</v>
      </c>
      <c r="K1567">
        <v>1</v>
      </c>
      <c r="L1567">
        <v>69628.34</v>
      </c>
      <c r="M1567">
        <v>0</v>
      </c>
      <c r="N1567">
        <v>69628.34</v>
      </c>
      <c r="O1567" t="s">
        <v>22</v>
      </c>
    </row>
    <row r="1568" spans="1:15" x14ac:dyDescent="0.3">
      <c r="A1568" t="s">
        <v>1636</v>
      </c>
      <c r="B1568" s="2">
        <v>46858</v>
      </c>
      <c r="C1568" t="s">
        <v>58</v>
      </c>
      <c r="D1568" t="str">
        <f t="shared" si="24"/>
        <v>April</v>
      </c>
      <c r="E1568" t="s">
        <v>69</v>
      </c>
      <c r="F1568" t="s">
        <v>25</v>
      </c>
      <c r="G1568" t="s">
        <v>26</v>
      </c>
      <c r="H1568" t="s">
        <v>19</v>
      </c>
      <c r="I1568" t="s">
        <v>20</v>
      </c>
      <c r="J1568" t="s">
        <v>43</v>
      </c>
      <c r="K1568">
        <v>2</v>
      </c>
      <c r="L1568">
        <v>2705.61</v>
      </c>
      <c r="M1568">
        <v>5</v>
      </c>
      <c r="N1568">
        <v>5140.67</v>
      </c>
      <c r="O1568" t="s">
        <v>47</v>
      </c>
    </row>
    <row r="1569" spans="1:15" x14ac:dyDescent="0.3">
      <c r="A1569" t="s">
        <v>1637</v>
      </c>
      <c r="B1569" s="2">
        <v>46859</v>
      </c>
      <c r="C1569" t="s">
        <v>38</v>
      </c>
      <c r="D1569" t="str">
        <f t="shared" si="24"/>
        <v>April</v>
      </c>
      <c r="E1569" t="s">
        <v>32</v>
      </c>
      <c r="F1569" t="s">
        <v>53</v>
      </c>
      <c r="G1569" t="s">
        <v>129</v>
      </c>
      <c r="H1569" t="s">
        <v>27</v>
      </c>
      <c r="I1569" t="s">
        <v>34</v>
      </c>
      <c r="J1569" t="s">
        <v>21</v>
      </c>
      <c r="K1569">
        <v>5</v>
      </c>
      <c r="L1569">
        <v>31609.8</v>
      </c>
      <c r="M1569">
        <v>10</v>
      </c>
      <c r="N1569">
        <v>142244.12</v>
      </c>
      <c r="O1569" t="s">
        <v>47</v>
      </c>
    </row>
    <row r="1570" spans="1:15" x14ac:dyDescent="0.3">
      <c r="A1570" t="s">
        <v>1638</v>
      </c>
      <c r="B1570" s="2">
        <v>46860</v>
      </c>
      <c r="C1570" t="s">
        <v>38</v>
      </c>
      <c r="D1570" t="str">
        <f t="shared" si="24"/>
        <v>April</v>
      </c>
      <c r="E1570" t="s">
        <v>24</v>
      </c>
      <c r="F1570" t="s">
        <v>53</v>
      </c>
      <c r="G1570" t="s">
        <v>54</v>
      </c>
      <c r="H1570" t="s">
        <v>45</v>
      </c>
      <c r="I1570" t="s">
        <v>34</v>
      </c>
      <c r="J1570" t="s">
        <v>43</v>
      </c>
      <c r="K1570">
        <v>3</v>
      </c>
      <c r="L1570">
        <v>33431.449999999997</v>
      </c>
      <c r="M1570">
        <v>15</v>
      </c>
      <c r="N1570">
        <v>85250.19</v>
      </c>
      <c r="O1570" t="s">
        <v>29</v>
      </c>
    </row>
    <row r="1571" spans="1:15" x14ac:dyDescent="0.3">
      <c r="A1571" t="s">
        <v>1639</v>
      </c>
      <c r="B1571" s="2">
        <v>46861</v>
      </c>
      <c r="C1571" t="s">
        <v>15</v>
      </c>
      <c r="D1571" t="str">
        <f t="shared" si="24"/>
        <v>April</v>
      </c>
      <c r="E1571" t="s">
        <v>52</v>
      </c>
      <c r="F1571" t="s">
        <v>17</v>
      </c>
      <c r="G1571" t="s">
        <v>123</v>
      </c>
      <c r="H1571" t="s">
        <v>27</v>
      </c>
      <c r="I1571" t="s">
        <v>42</v>
      </c>
      <c r="J1571" t="s">
        <v>46</v>
      </c>
      <c r="K1571">
        <v>5</v>
      </c>
      <c r="L1571">
        <v>66533.929999999993</v>
      </c>
      <c r="M1571">
        <v>15</v>
      </c>
      <c r="N1571">
        <v>282769.19</v>
      </c>
      <c r="O1571" t="s">
        <v>29</v>
      </c>
    </row>
    <row r="1572" spans="1:15" x14ac:dyDescent="0.3">
      <c r="A1572" t="s">
        <v>1640</v>
      </c>
      <c r="B1572" s="2">
        <v>46862</v>
      </c>
      <c r="C1572" t="s">
        <v>31</v>
      </c>
      <c r="D1572" t="str">
        <f t="shared" si="24"/>
        <v>April</v>
      </c>
      <c r="E1572" t="s">
        <v>77</v>
      </c>
      <c r="F1572" t="s">
        <v>60</v>
      </c>
      <c r="G1572" t="s">
        <v>78</v>
      </c>
      <c r="H1572" t="s">
        <v>27</v>
      </c>
      <c r="I1572" t="s">
        <v>42</v>
      </c>
      <c r="J1572" t="s">
        <v>35</v>
      </c>
      <c r="K1572">
        <v>2</v>
      </c>
      <c r="L1572">
        <v>42492.04</v>
      </c>
      <c r="M1572">
        <v>5</v>
      </c>
      <c r="N1572">
        <v>80734.880000000005</v>
      </c>
      <c r="O1572" t="s">
        <v>47</v>
      </c>
    </row>
    <row r="1573" spans="1:15" x14ac:dyDescent="0.3">
      <c r="A1573" t="s">
        <v>1641</v>
      </c>
      <c r="B1573" s="2">
        <v>46863</v>
      </c>
      <c r="C1573" t="s">
        <v>15</v>
      </c>
      <c r="D1573" t="str">
        <f t="shared" si="24"/>
        <v>April</v>
      </c>
      <c r="E1573" t="s">
        <v>16</v>
      </c>
      <c r="F1573" t="s">
        <v>53</v>
      </c>
      <c r="G1573" t="s">
        <v>65</v>
      </c>
      <c r="H1573" t="s">
        <v>19</v>
      </c>
      <c r="I1573" t="s">
        <v>42</v>
      </c>
      <c r="J1573" t="s">
        <v>46</v>
      </c>
      <c r="K1573">
        <v>4</v>
      </c>
      <c r="L1573">
        <v>32037.9</v>
      </c>
      <c r="M1573">
        <v>0</v>
      </c>
      <c r="N1573">
        <v>128151.6</v>
      </c>
      <c r="O1573" t="s">
        <v>47</v>
      </c>
    </row>
    <row r="1574" spans="1:15" x14ac:dyDescent="0.3">
      <c r="A1574" t="s">
        <v>1642</v>
      </c>
      <c r="B1574" s="2">
        <v>46864</v>
      </c>
      <c r="C1574" t="s">
        <v>15</v>
      </c>
      <c r="D1574" t="str">
        <f t="shared" si="24"/>
        <v>April</v>
      </c>
      <c r="E1574" t="s">
        <v>77</v>
      </c>
      <c r="F1574" t="s">
        <v>17</v>
      </c>
      <c r="G1574" t="s">
        <v>18</v>
      </c>
      <c r="H1574" t="s">
        <v>27</v>
      </c>
      <c r="I1574" t="s">
        <v>42</v>
      </c>
      <c r="J1574" t="s">
        <v>46</v>
      </c>
      <c r="K1574">
        <v>3</v>
      </c>
      <c r="L1574">
        <v>48776.49</v>
      </c>
      <c r="M1574">
        <v>5</v>
      </c>
      <c r="N1574">
        <v>139012.98000000001</v>
      </c>
      <c r="O1574" t="s">
        <v>22</v>
      </c>
    </row>
    <row r="1575" spans="1:15" x14ac:dyDescent="0.3">
      <c r="A1575" t="s">
        <v>1643</v>
      </c>
      <c r="B1575" s="2">
        <v>46865</v>
      </c>
      <c r="C1575" t="s">
        <v>49</v>
      </c>
      <c r="D1575" t="str">
        <f t="shared" si="24"/>
        <v>April</v>
      </c>
      <c r="E1575" t="s">
        <v>39</v>
      </c>
      <c r="F1575" t="s">
        <v>60</v>
      </c>
      <c r="G1575" t="s">
        <v>78</v>
      </c>
      <c r="H1575" t="s">
        <v>27</v>
      </c>
      <c r="I1575" t="s">
        <v>34</v>
      </c>
      <c r="J1575" t="s">
        <v>46</v>
      </c>
      <c r="K1575">
        <v>2</v>
      </c>
      <c r="L1575">
        <v>44095.86</v>
      </c>
      <c r="M1575">
        <v>10</v>
      </c>
      <c r="N1575">
        <v>79372.55</v>
      </c>
      <c r="O1575" t="s">
        <v>47</v>
      </c>
    </row>
    <row r="1576" spans="1:15" x14ac:dyDescent="0.3">
      <c r="A1576" t="s">
        <v>1644</v>
      </c>
      <c r="B1576" s="2">
        <v>46866</v>
      </c>
      <c r="C1576" t="s">
        <v>49</v>
      </c>
      <c r="D1576" t="str">
        <f t="shared" si="24"/>
        <v>April</v>
      </c>
      <c r="E1576" t="s">
        <v>24</v>
      </c>
      <c r="F1576" t="s">
        <v>25</v>
      </c>
      <c r="G1576" t="s">
        <v>26</v>
      </c>
      <c r="H1576" t="s">
        <v>45</v>
      </c>
      <c r="I1576" t="s">
        <v>42</v>
      </c>
      <c r="J1576" t="s">
        <v>46</v>
      </c>
      <c r="K1576">
        <v>1</v>
      </c>
      <c r="L1576">
        <v>1949.77</v>
      </c>
      <c r="M1576">
        <v>5</v>
      </c>
      <c r="N1576">
        <v>1852.28</v>
      </c>
      <c r="O1576" t="s">
        <v>47</v>
      </c>
    </row>
    <row r="1577" spans="1:15" x14ac:dyDescent="0.3">
      <c r="A1577" t="s">
        <v>1645</v>
      </c>
      <c r="B1577" s="2">
        <v>46867</v>
      </c>
      <c r="C1577" t="s">
        <v>58</v>
      </c>
      <c r="D1577" t="str">
        <f t="shared" si="24"/>
        <v>April</v>
      </c>
      <c r="E1577" t="s">
        <v>77</v>
      </c>
      <c r="F1577" t="s">
        <v>53</v>
      </c>
      <c r="G1577" t="s">
        <v>65</v>
      </c>
      <c r="H1577" t="s">
        <v>19</v>
      </c>
      <c r="I1577" t="s">
        <v>42</v>
      </c>
      <c r="J1577" t="s">
        <v>35</v>
      </c>
      <c r="K1577">
        <v>5</v>
      </c>
      <c r="L1577">
        <v>27666.3</v>
      </c>
      <c r="M1577">
        <v>0</v>
      </c>
      <c r="N1577">
        <v>138331.51</v>
      </c>
      <c r="O1577" t="s">
        <v>47</v>
      </c>
    </row>
    <row r="1578" spans="1:15" x14ac:dyDescent="0.3">
      <c r="A1578" t="s">
        <v>1646</v>
      </c>
      <c r="B1578" s="2">
        <v>46868</v>
      </c>
      <c r="C1578" t="s">
        <v>58</v>
      </c>
      <c r="D1578" t="str">
        <f t="shared" si="24"/>
        <v>April</v>
      </c>
      <c r="E1578" t="s">
        <v>52</v>
      </c>
      <c r="F1578" t="s">
        <v>17</v>
      </c>
      <c r="G1578" t="s">
        <v>123</v>
      </c>
      <c r="H1578" t="s">
        <v>33</v>
      </c>
      <c r="I1578" t="s">
        <v>34</v>
      </c>
      <c r="J1578" t="s">
        <v>46</v>
      </c>
      <c r="K1578">
        <v>3</v>
      </c>
      <c r="L1578">
        <v>55901.45</v>
      </c>
      <c r="M1578">
        <v>10</v>
      </c>
      <c r="N1578">
        <v>150933.92000000001</v>
      </c>
      <c r="O1578" t="s">
        <v>22</v>
      </c>
    </row>
    <row r="1579" spans="1:15" x14ac:dyDescent="0.3">
      <c r="A1579" t="s">
        <v>1647</v>
      </c>
      <c r="B1579" s="2">
        <v>46869</v>
      </c>
      <c r="C1579" t="s">
        <v>15</v>
      </c>
      <c r="D1579" t="str">
        <f t="shared" si="24"/>
        <v>April</v>
      </c>
      <c r="E1579" t="s">
        <v>100</v>
      </c>
      <c r="F1579" t="s">
        <v>25</v>
      </c>
      <c r="G1579" t="s">
        <v>26</v>
      </c>
      <c r="H1579" t="s">
        <v>45</v>
      </c>
      <c r="I1579" t="s">
        <v>42</v>
      </c>
      <c r="J1579" t="s">
        <v>46</v>
      </c>
      <c r="K1579">
        <v>4</v>
      </c>
      <c r="L1579">
        <v>2971.28</v>
      </c>
      <c r="M1579">
        <v>5</v>
      </c>
      <c r="N1579">
        <v>11290.87</v>
      </c>
      <c r="O1579" t="s">
        <v>47</v>
      </c>
    </row>
    <row r="1580" spans="1:15" x14ac:dyDescent="0.3">
      <c r="A1580" t="s">
        <v>1648</v>
      </c>
      <c r="B1580" s="2">
        <v>46870</v>
      </c>
      <c r="C1580" t="s">
        <v>58</v>
      </c>
      <c r="D1580" t="str">
        <f t="shared" si="24"/>
        <v>April</v>
      </c>
      <c r="E1580" t="s">
        <v>77</v>
      </c>
      <c r="F1580" t="s">
        <v>25</v>
      </c>
      <c r="G1580" t="s">
        <v>81</v>
      </c>
      <c r="H1580" t="s">
        <v>27</v>
      </c>
      <c r="I1580" t="s">
        <v>20</v>
      </c>
      <c r="J1580" t="s">
        <v>46</v>
      </c>
      <c r="K1580">
        <v>1</v>
      </c>
      <c r="L1580">
        <v>2796.89</v>
      </c>
      <c r="M1580">
        <v>5</v>
      </c>
      <c r="N1580">
        <v>2657.04</v>
      </c>
      <c r="O1580" t="s">
        <v>47</v>
      </c>
    </row>
    <row r="1581" spans="1:15" x14ac:dyDescent="0.3">
      <c r="A1581" t="s">
        <v>1649</v>
      </c>
      <c r="B1581" s="2">
        <v>46871</v>
      </c>
      <c r="C1581" t="s">
        <v>31</v>
      </c>
      <c r="D1581" t="str">
        <f t="shared" si="24"/>
        <v>April</v>
      </c>
      <c r="E1581" t="s">
        <v>32</v>
      </c>
      <c r="F1581" t="s">
        <v>40</v>
      </c>
      <c r="G1581" t="s">
        <v>41</v>
      </c>
      <c r="H1581" t="s">
        <v>27</v>
      </c>
      <c r="I1581" t="s">
        <v>20</v>
      </c>
      <c r="J1581" t="s">
        <v>21</v>
      </c>
      <c r="K1581">
        <v>2</v>
      </c>
      <c r="L1581">
        <v>6766.4</v>
      </c>
      <c r="M1581">
        <v>20</v>
      </c>
      <c r="N1581">
        <v>10826.24</v>
      </c>
      <c r="O1581" t="s">
        <v>47</v>
      </c>
    </row>
    <row r="1582" spans="1:15" x14ac:dyDescent="0.3">
      <c r="A1582" t="s">
        <v>1650</v>
      </c>
      <c r="B1582" s="2">
        <v>46872</v>
      </c>
      <c r="C1582" t="s">
        <v>31</v>
      </c>
      <c r="D1582" t="str">
        <f t="shared" si="24"/>
        <v>April</v>
      </c>
      <c r="E1582" t="s">
        <v>32</v>
      </c>
      <c r="F1582" t="s">
        <v>40</v>
      </c>
      <c r="G1582" t="s">
        <v>75</v>
      </c>
      <c r="H1582" t="s">
        <v>27</v>
      </c>
      <c r="I1582" t="s">
        <v>42</v>
      </c>
      <c r="J1582" t="s">
        <v>43</v>
      </c>
      <c r="K1582">
        <v>5</v>
      </c>
      <c r="L1582">
        <v>6678.46</v>
      </c>
      <c r="M1582">
        <v>15</v>
      </c>
      <c r="N1582">
        <v>28383.439999999999</v>
      </c>
      <c r="O1582" t="s">
        <v>29</v>
      </c>
    </row>
    <row r="1583" spans="1:15" x14ac:dyDescent="0.3">
      <c r="A1583" t="s">
        <v>1651</v>
      </c>
      <c r="B1583" s="2">
        <v>46873</v>
      </c>
      <c r="C1583" t="s">
        <v>49</v>
      </c>
      <c r="D1583" t="str">
        <f t="shared" si="24"/>
        <v>April</v>
      </c>
      <c r="E1583" t="s">
        <v>24</v>
      </c>
      <c r="F1583" t="s">
        <v>17</v>
      </c>
      <c r="G1583" t="s">
        <v>18</v>
      </c>
      <c r="H1583" t="s">
        <v>19</v>
      </c>
      <c r="I1583" t="s">
        <v>34</v>
      </c>
      <c r="J1583" t="s">
        <v>43</v>
      </c>
      <c r="K1583">
        <v>1</v>
      </c>
      <c r="L1583">
        <v>62170.64</v>
      </c>
      <c r="M1583">
        <v>5</v>
      </c>
      <c r="N1583">
        <v>59062.11</v>
      </c>
      <c r="O1583" t="s">
        <v>47</v>
      </c>
    </row>
    <row r="1584" spans="1:15" x14ac:dyDescent="0.3">
      <c r="A1584" t="s">
        <v>1652</v>
      </c>
      <c r="B1584" s="2">
        <v>46874</v>
      </c>
      <c r="C1584" t="s">
        <v>58</v>
      </c>
      <c r="D1584" t="str">
        <f t="shared" si="24"/>
        <v>May</v>
      </c>
      <c r="E1584" t="s">
        <v>52</v>
      </c>
      <c r="F1584" t="s">
        <v>60</v>
      </c>
      <c r="G1584" t="s">
        <v>70</v>
      </c>
      <c r="H1584" t="s">
        <v>45</v>
      </c>
      <c r="I1584" t="s">
        <v>34</v>
      </c>
      <c r="J1584" t="s">
        <v>46</v>
      </c>
      <c r="K1584">
        <v>2</v>
      </c>
      <c r="L1584">
        <v>32753.23</v>
      </c>
      <c r="M1584">
        <v>5</v>
      </c>
      <c r="N1584">
        <v>62231.13</v>
      </c>
      <c r="O1584" t="s">
        <v>47</v>
      </c>
    </row>
    <row r="1585" spans="1:15" x14ac:dyDescent="0.3">
      <c r="A1585" t="s">
        <v>1653</v>
      </c>
      <c r="B1585" s="2">
        <v>46875</v>
      </c>
      <c r="C1585" t="s">
        <v>49</v>
      </c>
      <c r="D1585" t="str">
        <f t="shared" si="24"/>
        <v>May</v>
      </c>
      <c r="E1585" t="s">
        <v>39</v>
      </c>
      <c r="F1585" t="s">
        <v>53</v>
      </c>
      <c r="G1585" t="s">
        <v>65</v>
      </c>
      <c r="H1585" t="s">
        <v>33</v>
      </c>
      <c r="I1585" t="s">
        <v>42</v>
      </c>
      <c r="J1585" t="s">
        <v>46</v>
      </c>
      <c r="K1585">
        <v>2</v>
      </c>
      <c r="L1585">
        <v>30933.58</v>
      </c>
      <c r="M1585">
        <v>10</v>
      </c>
      <c r="N1585">
        <v>55680.45</v>
      </c>
      <c r="O1585" t="s">
        <v>47</v>
      </c>
    </row>
    <row r="1586" spans="1:15" x14ac:dyDescent="0.3">
      <c r="A1586" t="s">
        <v>1654</v>
      </c>
      <c r="B1586" s="2">
        <v>46876</v>
      </c>
      <c r="C1586" t="s">
        <v>31</v>
      </c>
      <c r="D1586" t="str">
        <f t="shared" si="24"/>
        <v>May</v>
      </c>
      <c r="E1586" t="s">
        <v>32</v>
      </c>
      <c r="F1586" t="s">
        <v>60</v>
      </c>
      <c r="G1586" t="s">
        <v>78</v>
      </c>
      <c r="H1586" t="s">
        <v>19</v>
      </c>
      <c r="I1586" t="s">
        <v>34</v>
      </c>
      <c r="J1586" t="s">
        <v>43</v>
      </c>
      <c r="K1586">
        <v>4</v>
      </c>
      <c r="L1586">
        <v>44241.78</v>
      </c>
      <c r="M1586">
        <v>0</v>
      </c>
      <c r="N1586">
        <v>176967.13</v>
      </c>
      <c r="O1586" t="s">
        <v>29</v>
      </c>
    </row>
    <row r="1587" spans="1:15" x14ac:dyDescent="0.3">
      <c r="A1587" t="s">
        <v>1655</v>
      </c>
      <c r="B1587" s="2">
        <v>46877</v>
      </c>
      <c r="C1587" t="s">
        <v>58</v>
      </c>
      <c r="D1587" t="str">
        <f t="shared" si="24"/>
        <v>May</v>
      </c>
      <c r="E1587" t="s">
        <v>69</v>
      </c>
      <c r="F1587" t="s">
        <v>53</v>
      </c>
      <c r="G1587" t="s">
        <v>105</v>
      </c>
      <c r="H1587" t="s">
        <v>33</v>
      </c>
      <c r="I1587" t="s">
        <v>20</v>
      </c>
      <c r="J1587" t="s">
        <v>46</v>
      </c>
      <c r="K1587">
        <v>2</v>
      </c>
      <c r="L1587">
        <v>37842.769999999997</v>
      </c>
      <c r="M1587">
        <v>15</v>
      </c>
      <c r="N1587">
        <v>64332.71</v>
      </c>
      <c r="O1587" t="s">
        <v>29</v>
      </c>
    </row>
    <row r="1588" spans="1:15" x14ac:dyDescent="0.3">
      <c r="A1588" t="s">
        <v>1656</v>
      </c>
      <c r="B1588" s="2">
        <v>46878</v>
      </c>
      <c r="C1588" t="s">
        <v>58</v>
      </c>
      <c r="D1588" t="str">
        <f t="shared" si="24"/>
        <v>May</v>
      </c>
      <c r="E1588" t="s">
        <v>52</v>
      </c>
      <c r="F1588" t="s">
        <v>17</v>
      </c>
      <c r="G1588" t="s">
        <v>18</v>
      </c>
      <c r="H1588" t="s">
        <v>45</v>
      </c>
      <c r="I1588" t="s">
        <v>42</v>
      </c>
      <c r="J1588" t="s">
        <v>21</v>
      </c>
      <c r="K1588">
        <v>1</v>
      </c>
      <c r="L1588">
        <v>52189.95</v>
      </c>
      <c r="M1588">
        <v>15</v>
      </c>
      <c r="N1588">
        <v>44361.46</v>
      </c>
      <c r="O1588" t="s">
        <v>36</v>
      </c>
    </row>
    <row r="1589" spans="1:15" x14ac:dyDescent="0.3">
      <c r="A1589" t="s">
        <v>1657</v>
      </c>
      <c r="B1589" s="2">
        <v>46879</v>
      </c>
      <c r="C1589" t="s">
        <v>31</v>
      </c>
      <c r="D1589" t="str">
        <f t="shared" si="24"/>
        <v>May</v>
      </c>
      <c r="E1589" t="s">
        <v>24</v>
      </c>
      <c r="F1589" t="s">
        <v>17</v>
      </c>
      <c r="G1589" t="s">
        <v>18</v>
      </c>
      <c r="H1589" t="s">
        <v>19</v>
      </c>
      <c r="I1589" t="s">
        <v>34</v>
      </c>
      <c r="J1589" t="s">
        <v>43</v>
      </c>
      <c r="K1589">
        <v>2</v>
      </c>
      <c r="L1589">
        <v>49280.67</v>
      </c>
      <c r="M1589">
        <v>5</v>
      </c>
      <c r="N1589">
        <v>93633.279999999999</v>
      </c>
      <c r="O1589" t="s">
        <v>29</v>
      </c>
    </row>
    <row r="1590" spans="1:15" x14ac:dyDescent="0.3">
      <c r="A1590" t="s">
        <v>1658</v>
      </c>
      <c r="B1590" s="2">
        <v>46880</v>
      </c>
      <c r="C1590" t="s">
        <v>58</v>
      </c>
      <c r="D1590" t="str">
        <f t="shared" si="24"/>
        <v>May</v>
      </c>
      <c r="E1590" t="s">
        <v>77</v>
      </c>
      <c r="F1590" t="s">
        <v>53</v>
      </c>
      <c r="G1590" t="s">
        <v>105</v>
      </c>
      <c r="H1590" t="s">
        <v>33</v>
      </c>
      <c r="I1590" t="s">
        <v>42</v>
      </c>
      <c r="J1590" t="s">
        <v>35</v>
      </c>
      <c r="K1590">
        <v>1</v>
      </c>
      <c r="L1590">
        <v>29168.75</v>
      </c>
      <c r="M1590">
        <v>10</v>
      </c>
      <c r="N1590">
        <v>26251.87</v>
      </c>
      <c r="O1590" t="s">
        <v>47</v>
      </c>
    </row>
    <row r="1591" spans="1:15" x14ac:dyDescent="0.3">
      <c r="A1591" t="s">
        <v>1659</v>
      </c>
      <c r="B1591" s="2">
        <v>46881</v>
      </c>
      <c r="C1591" t="s">
        <v>58</v>
      </c>
      <c r="D1591" t="str">
        <f t="shared" si="24"/>
        <v>May</v>
      </c>
      <c r="E1591" t="s">
        <v>50</v>
      </c>
      <c r="F1591" t="s">
        <v>17</v>
      </c>
      <c r="G1591" t="s">
        <v>63</v>
      </c>
      <c r="H1591" t="s">
        <v>19</v>
      </c>
      <c r="I1591" t="s">
        <v>34</v>
      </c>
      <c r="J1591" t="s">
        <v>43</v>
      </c>
      <c r="K1591">
        <v>2</v>
      </c>
      <c r="L1591">
        <v>61265.53</v>
      </c>
      <c r="M1591">
        <v>5</v>
      </c>
      <c r="N1591">
        <v>116404.51</v>
      </c>
      <c r="O1591" t="s">
        <v>29</v>
      </c>
    </row>
    <row r="1592" spans="1:15" x14ac:dyDescent="0.3">
      <c r="A1592" t="s">
        <v>1660</v>
      </c>
      <c r="B1592" s="2">
        <v>46882</v>
      </c>
      <c r="C1592" t="s">
        <v>49</v>
      </c>
      <c r="D1592" t="str">
        <f t="shared" si="24"/>
        <v>May</v>
      </c>
      <c r="E1592" t="s">
        <v>39</v>
      </c>
      <c r="F1592" t="s">
        <v>40</v>
      </c>
      <c r="G1592" t="s">
        <v>75</v>
      </c>
      <c r="H1592" t="s">
        <v>45</v>
      </c>
      <c r="I1592" t="s">
        <v>20</v>
      </c>
      <c r="J1592" t="s">
        <v>35</v>
      </c>
      <c r="K1592">
        <v>3</v>
      </c>
      <c r="L1592">
        <v>6959.16</v>
      </c>
      <c r="M1592">
        <v>0</v>
      </c>
      <c r="N1592">
        <v>20877.490000000002</v>
      </c>
      <c r="O1592" t="s">
        <v>36</v>
      </c>
    </row>
    <row r="1593" spans="1:15" x14ac:dyDescent="0.3">
      <c r="A1593" t="s">
        <v>1661</v>
      </c>
      <c r="B1593" s="2">
        <v>46883</v>
      </c>
      <c r="C1593" t="s">
        <v>58</v>
      </c>
      <c r="D1593" t="str">
        <f t="shared" si="24"/>
        <v>May</v>
      </c>
      <c r="E1593" t="s">
        <v>24</v>
      </c>
      <c r="F1593" t="s">
        <v>53</v>
      </c>
      <c r="G1593" t="s">
        <v>65</v>
      </c>
      <c r="H1593" t="s">
        <v>19</v>
      </c>
      <c r="I1593" t="s">
        <v>42</v>
      </c>
      <c r="J1593" t="s">
        <v>28</v>
      </c>
      <c r="K1593">
        <v>3</v>
      </c>
      <c r="L1593">
        <v>32163.72</v>
      </c>
      <c r="M1593">
        <v>0</v>
      </c>
      <c r="N1593">
        <v>96491.15</v>
      </c>
      <c r="O1593" t="s">
        <v>47</v>
      </c>
    </row>
    <row r="1594" spans="1:15" x14ac:dyDescent="0.3">
      <c r="A1594" t="s">
        <v>1662</v>
      </c>
      <c r="B1594" s="2">
        <v>46884</v>
      </c>
      <c r="C1594" t="s">
        <v>49</v>
      </c>
      <c r="D1594" t="str">
        <f t="shared" si="24"/>
        <v>May</v>
      </c>
      <c r="E1594" t="s">
        <v>77</v>
      </c>
      <c r="F1594" t="s">
        <v>25</v>
      </c>
      <c r="G1594" t="s">
        <v>92</v>
      </c>
      <c r="H1594" t="s">
        <v>45</v>
      </c>
      <c r="I1594" t="s">
        <v>20</v>
      </c>
      <c r="J1594" t="s">
        <v>46</v>
      </c>
      <c r="K1594">
        <v>2</v>
      </c>
      <c r="L1594">
        <v>1989.54</v>
      </c>
      <c r="M1594">
        <v>5</v>
      </c>
      <c r="N1594">
        <v>3780.14</v>
      </c>
      <c r="O1594" t="s">
        <v>47</v>
      </c>
    </row>
    <row r="1595" spans="1:15" x14ac:dyDescent="0.3">
      <c r="A1595" t="s">
        <v>1663</v>
      </c>
      <c r="B1595" s="2">
        <v>46885</v>
      </c>
      <c r="C1595" t="s">
        <v>38</v>
      </c>
      <c r="D1595" t="str">
        <f t="shared" si="24"/>
        <v>May</v>
      </c>
      <c r="E1595" t="s">
        <v>39</v>
      </c>
      <c r="F1595" t="s">
        <v>17</v>
      </c>
      <c r="G1595" t="s">
        <v>18</v>
      </c>
      <c r="H1595" t="s">
        <v>27</v>
      </c>
      <c r="I1595" t="s">
        <v>42</v>
      </c>
      <c r="J1595" t="s">
        <v>28</v>
      </c>
      <c r="K1595">
        <v>3</v>
      </c>
      <c r="L1595">
        <v>67098.259999999995</v>
      </c>
      <c r="M1595">
        <v>15</v>
      </c>
      <c r="N1595">
        <v>171100.56</v>
      </c>
      <c r="O1595" t="s">
        <v>47</v>
      </c>
    </row>
    <row r="1596" spans="1:15" x14ac:dyDescent="0.3">
      <c r="A1596" t="s">
        <v>1664</v>
      </c>
      <c r="B1596" s="2">
        <v>46886</v>
      </c>
      <c r="C1596" t="s">
        <v>15</v>
      </c>
      <c r="D1596" t="str">
        <f t="shared" si="24"/>
        <v>May</v>
      </c>
      <c r="E1596" t="s">
        <v>72</v>
      </c>
      <c r="F1596" t="s">
        <v>17</v>
      </c>
      <c r="G1596" t="s">
        <v>63</v>
      </c>
      <c r="H1596" t="s">
        <v>45</v>
      </c>
      <c r="I1596" t="s">
        <v>42</v>
      </c>
      <c r="J1596" t="s">
        <v>21</v>
      </c>
      <c r="K1596">
        <v>3</v>
      </c>
      <c r="L1596">
        <v>57122</v>
      </c>
      <c r="M1596">
        <v>20</v>
      </c>
      <c r="N1596">
        <v>137092.79</v>
      </c>
      <c r="O1596" t="s">
        <v>47</v>
      </c>
    </row>
    <row r="1597" spans="1:15" x14ac:dyDescent="0.3">
      <c r="A1597" t="s">
        <v>1665</v>
      </c>
      <c r="B1597" s="2">
        <v>46887</v>
      </c>
      <c r="C1597" t="s">
        <v>31</v>
      </c>
      <c r="D1597" t="str">
        <f t="shared" si="24"/>
        <v>May</v>
      </c>
      <c r="E1597" t="s">
        <v>50</v>
      </c>
      <c r="F1597" t="s">
        <v>53</v>
      </c>
      <c r="G1597" t="s">
        <v>105</v>
      </c>
      <c r="H1597" t="s">
        <v>33</v>
      </c>
      <c r="I1597" t="s">
        <v>20</v>
      </c>
      <c r="J1597" t="s">
        <v>35</v>
      </c>
      <c r="K1597">
        <v>1</v>
      </c>
      <c r="L1597">
        <v>33288.51</v>
      </c>
      <c r="M1597">
        <v>10</v>
      </c>
      <c r="N1597">
        <v>29959.66</v>
      </c>
      <c r="O1597" t="s">
        <v>22</v>
      </c>
    </row>
    <row r="1598" spans="1:15" x14ac:dyDescent="0.3">
      <c r="A1598" t="s">
        <v>1666</v>
      </c>
      <c r="B1598" s="2">
        <v>46888</v>
      </c>
      <c r="C1598" t="s">
        <v>58</v>
      </c>
      <c r="D1598" t="str">
        <f t="shared" si="24"/>
        <v>May</v>
      </c>
      <c r="E1598" t="s">
        <v>72</v>
      </c>
      <c r="F1598" t="s">
        <v>60</v>
      </c>
      <c r="G1598" t="s">
        <v>61</v>
      </c>
      <c r="H1598" t="s">
        <v>27</v>
      </c>
      <c r="I1598" t="s">
        <v>34</v>
      </c>
      <c r="J1598" t="s">
        <v>35</v>
      </c>
      <c r="K1598">
        <v>2</v>
      </c>
      <c r="L1598">
        <v>44650.15</v>
      </c>
      <c r="M1598">
        <v>15</v>
      </c>
      <c r="N1598">
        <v>75905.25</v>
      </c>
      <c r="O1598" t="s">
        <v>36</v>
      </c>
    </row>
    <row r="1599" spans="1:15" x14ac:dyDescent="0.3">
      <c r="A1599" t="s">
        <v>1667</v>
      </c>
      <c r="B1599" s="2">
        <v>46889</v>
      </c>
      <c r="C1599" t="s">
        <v>38</v>
      </c>
      <c r="D1599" t="str">
        <f t="shared" si="24"/>
        <v>May</v>
      </c>
      <c r="E1599" t="s">
        <v>100</v>
      </c>
      <c r="F1599" t="s">
        <v>60</v>
      </c>
      <c r="G1599" t="s">
        <v>61</v>
      </c>
      <c r="H1599" t="s">
        <v>19</v>
      </c>
      <c r="I1599" t="s">
        <v>20</v>
      </c>
      <c r="J1599" t="s">
        <v>28</v>
      </c>
      <c r="K1599">
        <v>1</v>
      </c>
      <c r="L1599">
        <v>39486.769999999997</v>
      </c>
      <c r="M1599">
        <v>0</v>
      </c>
      <c r="N1599">
        <v>39486.769999999997</v>
      </c>
      <c r="O1599" t="s">
        <v>47</v>
      </c>
    </row>
    <row r="1600" spans="1:15" x14ac:dyDescent="0.3">
      <c r="A1600" t="s">
        <v>1668</v>
      </c>
      <c r="B1600" s="2">
        <v>46890</v>
      </c>
      <c r="C1600" t="s">
        <v>31</v>
      </c>
      <c r="D1600" t="str">
        <f t="shared" si="24"/>
        <v>May</v>
      </c>
      <c r="E1600" t="s">
        <v>100</v>
      </c>
      <c r="F1600" t="s">
        <v>25</v>
      </c>
      <c r="G1600" t="s">
        <v>81</v>
      </c>
      <c r="H1600" t="s">
        <v>45</v>
      </c>
      <c r="I1600" t="s">
        <v>34</v>
      </c>
      <c r="J1600" t="s">
        <v>43</v>
      </c>
      <c r="K1600">
        <v>5</v>
      </c>
      <c r="L1600">
        <v>2373.5700000000002</v>
      </c>
      <c r="M1600">
        <v>0</v>
      </c>
      <c r="N1600">
        <v>11867.86</v>
      </c>
      <c r="O1600" t="s">
        <v>29</v>
      </c>
    </row>
    <row r="1601" spans="1:15" x14ac:dyDescent="0.3">
      <c r="A1601" t="s">
        <v>1669</v>
      </c>
      <c r="B1601" s="2">
        <v>46891</v>
      </c>
      <c r="C1601" t="s">
        <v>15</v>
      </c>
      <c r="D1601" t="str">
        <f t="shared" si="24"/>
        <v>May</v>
      </c>
      <c r="E1601" t="s">
        <v>32</v>
      </c>
      <c r="F1601" t="s">
        <v>53</v>
      </c>
      <c r="G1601" t="s">
        <v>54</v>
      </c>
      <c r="H1601" t="s">
        <v>19</v>
      </c>
      <c r="I1601" t="s">
        <v>34</v>
      </c>
      <c r="J1601" t="s">
        <v>28</v>
      </c>
      <c r="K1601">
        <v>1</v>
      </c>
      <c r="L1601">
        <v>27870.73</v>
      </c>
      <c r="M1601">
        <v>15</v>
      </c>
      <c r="N1601">
        <v>23690.12</v>
      </c>
      <c r="O1601" t="s">
        <v>29</v>
      </c>
    </row>
    <row r="1602" spans="1:15" x14ac:dyDescent="0.3">
      <c r="A1602" t="s">
        <v>1670</v>
      </c>
      <c r="B1602" s="2">
        <v>46892</v>
      </c>
      <c r="C1602" t="s">
        <v>58</v>
      </c>
      <c r="D1602" t="str">
        <f t="shared" si="24"/>
        <v>May</v>
      </c>
      <c r="E1602" t="s">
        <v>50</v>
      </c>
      <c r="F1602" t="s">
        <v>25</v>
      </c>
      <c r="G1602" t="s">
        <v>81</v>
      </c>
      <c r="H1602" t="s">
        <v>33</v>
      </c>
      <c r="I1602" t="s">
        <v>34</v>
      </c>
      <c r="J1602" t="s">
        <v>46</v>
      </c>
      <c r="K1602">
        <v>4</v>
      </c>
      <c r="L1602">
        <v>2822.47</v>
      </c>
      <c r="M1602">
        <v>5</v>
      </c>
      <c r="N1602">
        <v>10725.39</v>
      </c>
      <c r="O1602" t="s">
        <v>47</v>
      </c>
    </row>
    <row r="1603" spans="1:15" x14ac:dyDescent="0.3">
      <c r="A1603" t="s">
        <v>1671</v>
      </c>
      <c r="B1603" s="2">
        <v>46893</v>
      </c>
      <c r="C1603" t="s">
        <v>15</v>
      </c>
      <c r="D1603" t="str">
        <f t="shared" ref="D1603:D1666" si="25">TEXT(B1603,"mmmm")</f>
        <v>May</v>
      </c>
      <c r="E1603" t="s">
        <v>50</v>
      </c>
      <c r="F1603" t="s">
        <v>40</v>
      </c>
      <c r="G1603" t="s">
        <v>41</v>
      </c>
      <c r="H1603" t="s">
        <v>19</v>
      </c>
      <c r="I1603" t="s">
        <v>34</v>
      </c>
      <c r="J1603" t="s">
        <v>46</v>
      </c>
      <c r="K1603">
        <v>2</v>
      </c>
      <c r="L1603">
        <v>5657.03</v>
      </c>
      <c r="M1603">
        <v>15</v>
      </c>
      <c r="N1603">
        <v>9616.9599999999991</v>
      </c>
      <c r="O1603" t="s">
        <v>47</v>
      </c>
    </row>
    <row r="1604" spans="1:15" x14ac:dyDescent="0.3">
      <c r="A1604" t="s">
        <v>1672</v>
      </c>
      <c r="B1604" s="2">
        <v>46894</v>
      </c>
      <c r="C1604" t="s">
        <v>49</v>
      </c>
      <c r="D1604" t="str">
        <f t="shared" si="25"/>
        <v>May</v>
      </c>
      <c r="E1604" t="s">
        <v>100</v>
      </c>
      <c r="F1604" t="s">
        <v>40</v>
      </c>
      <c r="G1604" t="s">
        <v>41</v>
      </c>
      <c r="H1604" t="s">
        <v>33</v>
      </c>
      <c r="I1604" t="s">
        <v>34</v>
      </c>
      <c r="J1604" t="s">
        <v>21</v>
      </c>
      <c r="K1604">
        <v>1</v>
      </c>
      <c r="L1604">
        <v>7429.12</v>
      </c>
      <c r="M1604">
        <v>15</v>
      </c>
      <c r="N1604">
        <v>6314.75</v>
      </c>
      <c r="O1604" t="s">
        <v>47</v>
      </c>
    </row>
    <row r="1605" spans="1:15" x14ac:dyDescent="0.3">
      <c r="A1605" t="s">
        <v>1673</v>
      </c>
      <c r="B1605" s="2">
        <v>46895</v>
      </c>
      <c r="C1605" t="s">
        <v>38</v>
      </c>
      <c r="D1605" t="str">
        <f t="shared" si="25"/>
        <v>May</v>
      </c>
      <c r="E1605" t="s">
        <v>50</v>
      </c>
      <c r="F1605" t="s">
        <v>53</v>
      </c>
      <c r="G1605" t="s">
        <v>54</v>
      </c>
      <c r="H1605" t="s">
        <v>33</v>
      </c>
      <c r="I1605" t="s">
        <v>20</v>
      </c>
      <c r="J1605" t="s">
        <v>28</v>
      </c>
      <c r="K1605">
        <v>1</v>
      </c>
      <c r="L1605">
        <v>38228.67</v>
      </c>
      <c r="M1605">
        <v>0</v>
      </c>
      <c r="N1605">
        <v>38228.67</v>
      </c>
      <c r="O1605" t="s">
        <v>22</v>
      </c>
    </row>
    <row r="1606" spans="1:15" x14ac:dyDescent="0.3">
      <c r="A1606" t="s">
        <v>1674</v>
      </c>
      <c r="B1606" s="2">
        <v>46896</v>
      </c>
      <c r="C1606" t="s">
        <v>49</v>
      </c>
      <c r="D1606" t="str">
        <f t="shared" si="25"/>
        <v>May</v>
      </c>
      <c r="E1606" t="s">
        <v>52</v>
      </c>
      <c r="F1606" t="s">
        <v>60</v>
      </c>
      <c r="G1606" t="s">
        <v>70</v>
      </c>
      <c r="H1606" t="s">
        <v>19</v>
      </c>
      <c r="I1606" t="s">
        <v>20</v>
      </c>
      <c r="J1606" t="s">
        <v>21</v>
      </c>
      <c r="K1606">
        <v>3</v>
      </c>
      <c r="L1606">
        <v>41805.53</v>
      </c>
      <c r="M1606">
        <v>20</v>
      </c>
      <c r="N1606">
        <v>100333.26</v>
      </c>
      <c r="O1606" t="s">
        <v>22</v>
      </c>
    </row>
    <row r="1607" spans="1:15" x14ac:dyDescent="0.3">
      <c r="A1607" t="s">
        <v>1675</v>
      </c>
      <c r="B1607" s="2">
        <v>46897</v>
      </c>
      <c r="C1607" t="s">
        <v>49</v>
      </c>
      <c r="D1607" t="str">
        <f t="shared" si="25"/>
        <v>May</v>
      </c>
      <c r="E1607" t="s">
        <v>77</v>
      </c>
      <c r="F1607" t="s">
        <v>17</v>
      </c>
      <c r="G1607" t="s">
        <v>67</v>
      </c>
      <c r="H1607" t="s">
        <v>19</v>
      </c>
      <c r="I1607" t="s">
        <v>20</v>
      </c>
      <c r="J1607" t="s">
        <v>21</v>
      </c>
      <c r="K1607">
        <v>2</v>
      </c>
      <c r="L1607">
        <v>67913.22</v>
      </c>
      <c r="M1607">
        <v>5</v>
      </c>
      <c r="N1607">
        <v>129035.13</v>
      </c>
      <c r="O1607" t="s">
        <v>47</v>
      </c>
    </row>
    <row r="1608" spans="1:15" x14ac:dyDescent="0.3">
      <c r="A1608" t="s">
        <v>1676</v>
      </c>
      <c r="B1608" s="2">
        <v>46898</v>
      </c>
      <c r="C1608" t="s">
        <v>49</v>
      </c>
      <c r="D1608" t="str">
        <f t="shared" si="25"/>
        <v>May</v>
      </c>
      <c r="E1608" t="s">
        <v>52</v>
      </c>
      <c r="F1608" t="s">
        <v>17</v>
      </c>
      <c r="G1608" t="s">
        <v>63</v>
      </c>
      <c r="H1608" t="s">
        <v>27</v>
      </c>
      <c r="I1608" t="s">
        <v>42</v>
      </c>
      <c r="J1608" t="s">
        <v>28</v>
      </c>
      <c r="K1608">
        <v>4</v>
      </c>
      <c r="L1608">
        <v>64950.32</v>
      </c>
      <c r="M1608">
        <v>10</v>
      </c>
      <c r="N1608">
        <v>233821.17</v>
      </c>
      <c r="O1608" t="s">
        <v>47</v>
      </c>
    </row>
    <row r="1609" spans="1:15" x14ac:dyDescent="0.3">
      <c r="A1609" t="s">
        <v>1677</v>
      </c>
      <c r="B1609" s="2">
        <v>46899</v>
      </c>
      <c r="C1609" t="s">
        <v>49</v>
      </c>
      <c r="D1609" t="str">
        <f t="shared" si="25"/>
        <v>May</v>
      </c>
      <c r="E1609" t="s">
        <v>24</v>
      </c>
      <c r="F1609" t="s">
        <v>40</v>
      </c>
      <c r="G1609" t="s">
        <v>115</v>
      </c>
      <c r="H1609" t="s">
        <v>27</v>
      </c>
      <c r="I1609" t="s">
        <v>34</v>
      </c>
      <c r="J1609" t="s">
        <v>43</v>
      </c>
      <c r="K1609">
        <v>5</v>
      </c>
      <c r="L1609">
        <v>4919.1400000000003</v>
      </c>
      <c r="M1609">
        <v>10</v>
      </c>
      <c r="N1609">
        <v>22136.13</v>
      </c>
      <c r="O1609" t="s">
        <v>47</v>
      </c>
    </row>
    <row r="1610" spans="1:15" x14ac:dyDescent="0.3">
      <c r="A1610" t="s">
        <v>1678</v>
      </c>
      <c r="B1610" s="2">
        <v>46900</v>
      </c>
      <c r="C1610" t="s">
        <v>38</v>
      </c>
      <c r="D1610" t="str">
        <f t="shared" si="25"/>
        <v>May</v>
      </c>
      <c r="E1610" t="s">
        <v>32</v>
      </c>
      <c r="F1610" t="s">
        <v>17</v>
      </c>
      <c r="G1610" t="s">
        <v>67</v>
      </c>
      <c r="H1610" t="s">
        <v>19</v>
      </c>
      <c r="I1610" t="s">
        <v>42</v>
      </c>
      <c r="J1610" t="s">
        <v>28</v>
      </c>
      <c r="K1610">
        <v>4</v>
      </c>
      <c r="L1610">
        <v>48829.8</v>
      </c>
      <c r="M1610">
        <v>10</v>
      </c>
      <c r="N1610">
        <v>175787.29</v>
      </c>
      <c r="O1610" t="s">
        <v>22</v>
      </c>
    </row>
    <row r="1611" spans="1:15" x14ac:dyDescent="0.3">
      <c r="A1611" t="s">
        <v>1679</v>
      </c>
      <c r="B1611" s="2">
        <v>46901</v>
      </c>
      <c r="C1611" t="s">
        <v>58</v>
      </c>
      <c r="D1611" t="str">
        <f t="shared" si="25"/>
        <v>May</v>
      </c>
      <c r="E1611" t="s">
        <v>32</v>
      </c>
      <c r="F1611" t="s">
        <v>60</v>
      </c>
      <c r="G1611" t="s">
        <v>61</v>
      </c>
      <c r="H1611" t="s">
        <v>19</v>
      </c>
      <c r="I1611" t="s">
        <v>42</v>
      </c>
      <c r="J1611" t="s">
        <v>35</v>
      </c>
      <c r="K1611">
        <v>1</v>
      </c>
      <c r="L1611">
        <v>40842.18</v>
      </c>
      <c r="M1611">
        <v>0</v>
      </c>
      <c r="N1611">
        <v>40842.18</v>
      </c>
      <c r="O1611" t="s">
        <v>47</v>
      </c>
    </row>
    <row r="1612" spans="1:15" x14ac:dyDescent="0.3">
      <c r="A1612" t="s">
        <v>1680</v>
      </c>
      <c r="B1612" s="2">
        <v>46902</v>
      </c>
      <c r="C1612" t="s">
        <v>58</v>
      </c>
      <c r="D1612" t="str">
        <f t="shared" si="25"/>
        <v>May</v>
      </c>
      <c r="E1612" t="s">
        <v>32</v>
      </c>
      <c r="F1612" t="s">
        <v>17</v>
      </c>
      <c r="G1612" t="s">
        <v>67</v>
      </c>
      <c r="H1612" t="s">
        <v>27</v>
      </c>
      <c r="I1612" t="s">
        <v>20</v>
      </c>
      <c r="J1612" t="s">
        <v>21</v>
      </c>
      <c r="K1612">
        <v>1</v>
      </c>
      <c r="L1612">
        <v>71685.45</v>
      </c>
      <c r="M1612">
        <v>0</v>
      </c>
      <c r="N1612">
        <v>71685.45</v>
      </c>
      <c r="O1612" t="s">
        <v>29</v>
      </c>
    </row>
    <row r="1613" spans="1:15" x14ac:dyDescent="0.3">
      <c r="A1613" t="s">
        <v>1681</v>
      </c>
      <c r="B1613" s="2">
        <v>46903</v>
      </c>
      <c r="C1613" t="s">
        <v>31</v>
      </c>
      <c r="D1613" t="str">
        <f t="shared" si="25"/>
        <v>May</v>
      </c>
      <c r="E1613" t="s">
        <v>100</v>
      </c>
      <c r="F1613" t="s">
        <v>25</v>
      </c>
      <c r="G1613" t="s">
        <v>92</v>
      </c>
      <c r="H1613" t="s">
        <v>33</v>
      </c>
      <c r="I1613" t="s">
        <v>20</v>
      </c>
      <c r="J1613" t="s">
        <v>35</v>
      </c>
      <c r="K1613">
        <v>1</v>
      </c>
      <c r="L1613">
        <v>2729.44</v>
      </c>
      <c r="M1613">
        <v>5</v>
      </c>
      <c r="N1613">
        <v>2592.9699999999998</v>
      </c>
      <c r="O1613" t="s">
        <v>29</v>
      </c>
    </row>
    <row r="1614" spans="1:15" x14ac:dyDescent="0.3">
      <c r="A1614" t="s">
        <v>1682</v>
      </c>
      <c r="B1614" s="2">
        <v>46904</v>
      </c>
      <c r="C1614" t="s">
        <v>49</v>
      </c>
      <c r="D1614" t="str">
        <f t="shared" si="25"/>
        <v>May</v>
      </c>
      <c r="E1614" t="s">
        <v>52</v>
      </c>
      <c r="F1614" t="s">
        <v>25</v>
      </c>
      <c r="G1614" t="s">
        <v>56</v>
      </c>
      <c r="H1614" t="s">
        <v>45</v>
      </c>
      <c r="I1614" t="s">
        <v>34</v>
      </c>
      <c r="J1614" t="s">
        <v>46</v>
      </c>
      <c r="K1614">
        <v>2</v>
      </c>
      <c r="L1614">
        <v>2996.93</v>
      </c>
      <c r="M1614">
        <v>0</v>
      </c>
      <c r="N1614">
        <v>5993.86</v>
      </c>
      <c r="O1614" t="s">
        <v>22</v>
      </c>
    </row>
    <row r="1615" spans="1:15" x14ac:dyDescent="0.3">
      <c r="A1615" t="s">
        <v>1683</v>
      </c>
      <c r="B1615" s="2">
        <v>46905</v>
      </c>
      <c r="C1615" t="s">
        <v>15</v>
      </c>
      <c r="D1615" t="str">
        <f t="shared" si="25"/>
        <v>June</v>
      </c>
      <c r="E1615" t="s">
        <v>50</v>
      </c>
      <c r="F1615" t="s">
        <v>17</v>
      </c>
      <c r="G1615" t="s">
        <v>63</v>
      </c>
      <c r="H1615" t="s">
        <v>27</v>
      </c>
      <c r="I1615" t="s">
        <v>34</v>
      </c>
      <c r="J1615" t="s">
        <v>35</v>
      </c>
      <c r="K1615">
        <v>5</v>
      </c>
      <c r="L1615">
        <v>49670.99</v>
      </c>
      <c r="M1615">
        <v>20</v>
      </c>
      <c r="N1615">
        <v>198683.96</v>
      </c>
      <c r="O1615" t="s">
        <v>47</v>
      </c>
    </row>
    <row r="1616" spans="1:15" x14ac:dyDescent="0.3">
      <c r="A1616" t="s">
        <v>1684</v>
      </c>
      <c r="B1616" s="2">
        <v>46906</v>
      </c>
      <c r="C1616" t="s">
        <v>49</v>
      </c>
      <c r="D1616" t="str">
        <f t="shared" si="25"/>
        <v>June</v>
      </c>
      <c r="E1616" t="s">
        <v>32</v>
      </c>
      <c r="F1616" t="s">
        <v>53</v>
      </c>
      <c r="G1616" t="s">
        <v>105</v>
      </c>
      <c r="H1616" t="s">
        <v>45</v>
      </c>
      <c r="I1616" t="s">
        <v>34</v>
      </c>
      <c r="J1616" t="s">
        <v>43</v>
      </c>
      <c r="K1616">
        <v>1</v>
      </c>
      <c r="L1616">
        <v>24629.38</v>
      </c>
      <c r="M1616">
        <v>5</v>
      </c>
      <c r="N1616">
        <v>23397.91</v>
      </c>
      <c r="O1616" t="s">
        <v>47</v>
      </c>
    </row>
    <row r="1617" spans="1:15" x14ac:dyDescent="0.3">
      <c r="A1617" t="s">
        <v>1685</v>
      </c>
      <c r="B1617" s="2">
        <v>46907</v>
      </c>
      <c r="C1617" t="s">
        <v>31</v>
      </c>
      <c r="D1617" t="str">
        <f t="shared" si="25"/>
        <v>June</v>
      </c>
      <c r="E1617" t="s">
        <v>50</v>
      </c>
      <c r="F1617" t="s">
        <v>40</v>
      </c>
      <c r="G1617" t="s">
        <v>75</v>
      </c>
      <c r="H1617" t="s">
        <v>19</v>
      </c>
      <c r="I1617" t="s">
        <v>42</v>
      </c>
      <c r="J1617" t="s">
        <v>46</v>
      </c>
      <c r="K1617">
        <v>5</v>
      </c>
      <c r="L1617">
        <v>7312.57</v>
      </c>
      <c r="M1617">
        <v>5</v>
      </c>
      <c r="N1617">
        <v>34734.69</v>
      </c>
      <c r="O1617" t="s">
        <v>36</v>
      </c>
    </row>
    <row r="1618" spans="1:15" x14ac:dyDescent="0.3">
      <c r="A1618" t="s">
        <v>1686</v>
      </c>
      <c r="B1618" s="2">
        <v>46908</v>
      </c>
      <c r="C1618" t="s">
        <v>31</v>
      </c>
      <c r="D1618" t="str">
        <f t="shared" si="25"/>
        <v>June</v>
      </c>
      <c r="E1618" t="s">
        <v>32</v>
      </c>
      <c r="F1618" t="s">
        <v>25</v>
      </c>
      <c r="G1618" t="s">
        <v>81</v>
      </c>
      <c r="H1618" t="s">
        <v>33</v>
      </c>
      <c r="I1618" t="s">
        <v>20</v>
      </c>
      <c r="J1618" t="s">
        <v>46</v>
      </c>
      <c r="K1618">
        <v>2</v>
      </c>
      <c r="L1618">
        <v>2861.31</v>
      </c>
      <c r="M1618">
        <v>15</v>
      </c>
      <c r="N1618">
        <v>4864.2299999999996</v>
      </c>
      <c r="O1618" t="s">
        <v>22</v>
      </c>
    </row>
    <row r="1619" spans="1:15" x14ac:dyDescent="0.3">
      <c r="A1619" t="s">
        <v>1687</v>
      </c>
      <c r="B1619" s="2">
        <v>46909</v>
      </c>
      <c r="C1619" t="s">
        <v>15</v>
      </c>
      <c r="D1619" t="str">
        <f t="shared" si="25"/>
        <v>June</v>
      </c>
      <c r="E1619" t="s">
        <v>69</v>
      </c>
      <c r="F1619" t="s">
        <v>40</v>
      </c>
      <c r="G1619" t="s">
        <v>115</v>
      </c>
      <c r="H1619" t="s">
        <v>45</v>
      </c>
      <c r="I1619" t="s">
        <v>42</v>
      </c>
      <c r="J1619" t="s">
        <v>35</v>
      </c>
      <c r="K1619">
        <v>4</v>
      </c>
      <c r="L1619">
        <v>5116.97</v>
      </c>
      <c r="M1619">
        <v>5</v>
      </c>
      <c r="N1619">
        <v>19444.47</v>
      </c>
      <c r="O1619" t="s">
        <v>47</v>
      </c>
    </row>
    <row r="1620" spans="1:15" x14ac:dyDescent="0.3">
      <c r="A1620" t="s">
        <v>1688</v>
      </c>
      <c r="B1620" s="2">
        <v>46910</v>
      </c>
      <c r="C1620" t="s">
        <v>38</v>
      </c>
      <c r="D1620" t="str">
        <f t="shared" si="25"/>
        <v>June</v>
      </c>
      <c r="E1620" t="s">
        <v>32</v>
      </c>
      <c r="F1620" t="s">
        <v>60</v>
      </c>
      <c r="G1620" t="s">
        <v>70</v>
      </c>
      <c r="H1620" t="s">
        <v>33</v>
      </c>
      <c r="I1620" t="s">
        <v>34</v>
      </c>
      <c r="J1620" t="s">
        <v>28</v>
      </c>
      <c r="K1620">
        <v>3</v>
      </c>
      <c r="L1620">
        <v>35042.83</v>
      </c>
      <c r="M1620">
        <v>0</v>
      </c>
      <c r="N1620">
        <v>105128.48</v>
      </c>
      <c r="O1620" t="s">
        <v>47</v>
      </c>
    </row>
    <row r="1621" spans="1:15" x14ac:dyDescent="0.3">
      <c r="A1621" t="s">
        <v>1689</v>
      </c>
      <c r="B1621" s="2">
        <v>46911</v>
      </c>
      <c r="C1621" t="s">
        <v>38</v>
      </c>
      <c r="D1621" t="str">
        <f t="shared" si="25"/>
        <v>June</v>
      </c>
      <c r="E1621" t="s">
        <v>16</v>
      </c>
      <c r="F1621" t="s">
        <v>25</v>
      </c>
      <c r="G1621" t="s">
        <v>56</v>
      </c>
      <c r="H1621" t="s">
        <v>33</v>
      </c>
      <c r="I1621" t="s">
        <v>34</v>
      </c>
      <c r="J1621" t="s">
        <v>28</v>
      </c>
      <c r="K1621">
        <v>5</v>
      </c>
      <c r="L1621">
        <v>1876.75</v>
      </c>
      <c r="M1621">
        <v>15</v>
      </c>
      <c r="N1621">
        <v>7976.17</v>
      </c>
      <c r="O1621" t="s">
        <v>36</v>
      </c>
    </row>
    <row r="1622" spans="1:15" x14ac:dyDescent="0.3">
      <c r="A1622" t="s">
        <v>1690</v>
      </c>
      <c r="B1622" s="2">
        <v>46912</v>
      </c>
      <c r="C1622" t="s">
        <v>15</v>
      </c>
      <c r="D1622" t="str">
        <f t="shared" si="25"/>
        <v>June</v>
      </c>
      <c r="E1622" t="s">
        <v>72</v>
      </c>
      <c r="F1622" t="s">
        <v>60</v>
      </c>
      <c r="G1622" t="s">
        <v>61</v>
      </c>
      <c r="H1622" t="s">
        <v>45</v>
      </c>
      <c r="I1622" t="s">
        <v>34</v>
      </c>
      <c r="J1622" t="s">
        <v>21</v>
      </c>
      <c r="K1622">
        <v>3</v>
      </c>
      <c r="L1622">
        <v>32839.19</v>
      </c>
      <c r="M1622">
        <v>20</v>
      </c>
      <c r="N1622">
        <v>78814.05</v>
      </c>
      <c r="O1622" t="s">
        <v>47</v>
      </c>
    </row>
    <row r="1623" spans="1:15" x14ac:dyDescent="0.3">
      <c r="A1623" t="s">
        <v>1691</v>
      </c>
      <c r="B1623" s="2">
        <v>46913</v>
      </c>
      <c r="C1623" t="s">
        <v>38</v>
      </c>
      <c r="D1623" t="str">
        <f t="shared" si="25"/>
        <v>June</v>
      </c>
      <c r="E1623" t="s">
        <v>100</v>
      </c>
      <c r="F1623" t="s">
        <v>25</v>
      </c>
      <c r="G1623" t="s">
        <v>81</v>
      </c>
      <c r="H1623" t="s">
        <v>19</v>
      </c>
      <c r="I1623" t="s">
        <v>42</v>
      </c>
      <c r="J1623" t="s">
        <v>46</v>
      </c>
      <c r="K1623">
        <v>1</v>
      </c>
      <c r="L1623">
        <v>2559.25</v>
      </c>
      <c r="M1623">
        <v>0</v>
      </c>
      <c r="N1623">
        <v>2559.25</v>
      </c>
      <c r="O1623" t="s">
        <v>47</v>
      </c>
    </row>
    <row r="1624" spans="1:15" x14ac:dyDescent="0.3">
      <c r="A1624" t="s">
        <v>1692</v>
      </c>
      <c r="B1624" s="2">
        <v>46914</v>
      </c>
      <c r="C1624" t="s">
        <v>38</v>
      </c>
      <c r="D1624" t="str">
        <f t="shared" si="25"/>
        <v>June</v>
      </c>
      <c r="E1624" t="s">
        <v>100</v>
      </c>
      <c r="F1624" t="s">
        <v>60</v>
      </c>
      <c r="G1624" t="s">
        <v>70</v>
      </c>
      <c r="H1624" t="s">
        <v>33</v>
      </c>
      <c r="I1624" t="s">
        <v>34</v>
      </c>
      <c r="J1624" t="s">
        <v>21</v>
      </c>
      <c r="K1624">
        <v>5</v>
      </c>
      <c r="L1624">
        <v>46753.59</v>
      </c>
      <c r="M1624">
        <v>5</v>
      </c>
      <c r="N1624">
        <v>222079.55</v>
      </c>
      <c r="O1624" t="s">
        <v>47</v>
      </c>
    </row>
    <row r="1625" spans="1:15" x14ac:dyDescent="0.3">
      <c r="A1625" t="s">
        <v>1693</v>
      </c>
      <c r="B1625" s="2">
        <v>46915</v>
      </c>
      <c r="C1625" t="s">
        <v>31</v>
      </c>
      <c r="D1625" t="str">
        <f t="shared" si="25"/>
        <v>June</v>
      </c>
      <c r="E1625" t="s">
        <v>39</v>
      </c>
      <c r="F1625" t="s">
        <v>53</v>
      </c>
      <c r="G1625" t="s">
        <v>129</v>
      </c>
      <c r="H1625" t="s">
        <v>45</v>
      </c>
      <c r="I1625" t="s">
        <v>42</v>
      </c>
      <c r="J1625" t="s">
        <v>28</v>
      </c>
      <c r="K1625">
        <v>4</v>
      </c>
      <c r="L1625">
        <v>29789.42</v>
      </c>
      <c r="M1625">
        <v>20</v>
      </c>
      <c r="N1625">
        <v>95326.15</v>
      </c>
      <c r="O1625" t="s">
        <v>22</v>
      </c>
    </row>
    <row r="1626" spans="1:15" x14ac:dyDescent="0.3">
      <c r="A1626" t="s">
        <v>1694</v>
      </c>
      <c r="B1626" s="2">
        <v>46916</v>
      </c>
      <c r="C1626" t="s">
        <v>15</v>
      </c>
      <c r="D1626" t="str">
        <f t="shared" si="25"/>
        <v>June</v>
      </c>
      <c r="E1626" t="s">
        <v>32</v>
      </c>
      <c r="F1626" t="s">
        <v>53</v>
      </c>
      <c r="G1626" t="s">
        <v>65</v>
      </c>
      <c r="H1626" t="s">
        <v>33</v>
      </c>
      <c r="I1626" t="s">
        <v>20</v>
      </c>
      <c r="J1626" t="s">
        <v>21</v>
      </c>
      <c r="K1626">
        <v>3</v>
      </c>
      <c r="L1626">
        <v>34124.730000000003</v>
      </c>
      <c r="M1626">
        <v>0</v>
      </c>
      <c r="N1626">
        <v>102374.2</v>
      </c>
      <c r="O1626" t="s">
        <v>47</v>
      </c>
    </row>
    <row r="1627" spans="1:15" x14ac:dyDescent="0.3">
      <c r="A1627" t="s">
        <v>1695</v>
      </c>
      <c r="B1627" s="2">
        <v>46917</v>
      </c>
      <c r="C1627" t="s">
        <v>38</v>
      </c>
      <c r="D1627" t="str">
        <f t="shared" si="25"/>
        <v>June</v>
      </c>
      <c r="E1627" t="s">
        <v>100</v>
      </c>
      <c r="F1627" t="s">
        <v>53</v>
      </c>
      <c r="G1627" t="s">
        <v>129</v>
      </c>
      <c r="H1627" t="s">
        <v>27</v>
      </c>
      <c r="I1627" t="s">
        <v>20</v>
      </c>
      <c r="J1627" t="s">
        <v>35</v>
      </c>
      <c r="K1627">
        <v>2</v>
      </c>
      <c r="L1627">
        <v>37520.07</v>
      </c>
      <c r="M1627">
        <v>0</v>
      </c>
      <c r="N1627">
        <v>75040.13</v>
      </c>
      <c r="O1627" t="s">
        <v>36</v>
      </c>
    </row>
    <row r="1628" spans="1:15" x14ac:dyDescent="0.3">
      <c r="A1628" t="s">
        <v>1696</v>
      </c>
      <c r="B1628" s="2">
        <v>46918</v>
      </c>
      <c r="C1628" t="s">
        <v>49</v>
      </c>
      <c r="D1628" t="str">
        <f t="shared" si="25"/>
        <v>June</v>
      </c>
      <c r="E1628" t="s">
        <v>72</v>
      </c>
      <c r="F1628" t="s">
        <v>60</v>
      </c>
      <c r="G1628" t="s">
        <v>61</v>
      </c>
      <c r="H1628" t="s">
        <v>27</v>
      </c>
      <c r="I1628" t="s">
        <v>34</v>
      </c>
      <c r="J1628" t="s">
        <v>46</v>
      </c>
      <c r="K1628">
        <v>1</v>
      </c>
      <c r="L1628">
        <v>50817.16</v>
      </c>
      <c r="M1628">
        <v>0</v>
      </c>
      <c r="N1628">
        <v>50817.16</v>
      </c>
      <c r="O1628" t="s">
        <v>36</v>
      </c>
    </row>
    <row r="1629" spans="1:15" x14ac:dyDescent="0.3">
      <c r="A1629" t="s">
        <v>1697</v>
      </c>
      <c r="B1629" s="2">
        <v>46919</v>
      </c>
      <c r="C1629" t="s">
        <v>31</v>
      </c>
      <c r="D1629" t="str">
        <f t="shared" si="25"/>
        <v>June</v>
      </c>
      <c r="E1629" t="s">
        <v>24</v>
      </c>
      <c r="F1629" t="s">
        <v>25</v>
      </c>
      <c r="G1629" t="s">
        <v>26</v>
      </c>
      <c r="H1629" t="s">
        <v>19</v>
      </c>
      <c r="I1629" t="s">
        <v>20</v>
      </c>
      <c r="J1629" t="s">
        <v>21</v>
      </c>
      <c r="K1629">
        <v>5</v>
      </c>
      <c r="L1629">
        <v>2560.66</v>
      </c>
      <c r="M1629">
        <v>0</v>
      </c>
      <c r="N1629">
        <v>12803.32</v>
      </c>
      <c r="O1629" t="s">
        <v>47</v>
      </c>
    </row>
    <row r="1630" spans="1:15" x14ac:dyDescent="0.3">
      <c r="A1630" t="s">
        <v>1698</v>
      </c>
      <c r="B1630" s="2">
        <v>46920</v>
      </c>
      <c r="C1630" t="s">
        <v>15</v>
      </c>
      <c r="D1630" t="str">
        <f t="shared" si="25"/>
        <v>June</v>
      </c>
      <c r="E1630" t="s">
        <v>100</v>
      </c>
      <c r="F1630" t="s">
        <v>17</v>
      </c>
      <c r="G1630" t="s">
        <v>123</v>
      </c>
      <c r="H1630" t="s">
        <v>27</v>
      </c>
      <c r="I1630" t="s">
        <v>20</v>
      </c>
      <c r="J1630" t="s">
        <v>21</v>
      </c>
      <c r="K1630">
        <v>2</v>
      </c>
      <c r="L1630">
        <v>57804.91</v>
      </c>
      <c r="M1630">
        <v>0</v>
      </c>
      <c r="N1630">
        <v>115609.82</v>
      </c>
      <c r="O1630" t="s">
        <v>29</v>
      </c>
    </row>
    <row r="1631" spans="1:15" x14ac:dyDescent="0.3">
      <c r="A1631" t="s">
        <v>1699</v>
      </c>
      <c r="B1631" s="2">
        <v>46921</v>
      </c>
      <c r="C1631" t="s">
        <v>31</v>
      </c>
      <c r="D1631" t="str">
        <f t="shared" si="25"/>
        <v>June</v>
      </c>
      <c r="E1631" t="s">
        <v>50</v>
      </c>
      <c r="F1631" t="s">
        <v>25</v>
      </c>
      <c r="G1631" t="s">
        <v>81</v>
      </c>
      <c r="H1631" t="s">
        <v>19</v>
      </c>
      <c r="I1631" t="s">
        <v>42</v>
      </c>
      <c r="J1631" t="s">
        <v>21</v>
      </c>
      <c r="K1631">
        <v>3</v>
      </c>
      <c r="L1631">
        <v>2201</v>
      </c>
      <c r="M1631">
        <v>0</v>
      </c>
      <c r="N1631">
        <v>6603</v>
      </c>
      <c r="O1631" t="s">
        <v>36</v>
      </c>
    </row>
    <row r="1632" spans="1:15" x14ac:dyDescent="0.3">
      <c r="A1632" t="s">
        <v>1700</v>
      </c>
      <c r="B1632" s="2">
        <v>46922</v>
      </c>
      <c r="C1632" t="s">
        <v>38</v>
      </c>
      <c r="D1632" t="str">
        <f t="shared" si="25"/>
        <v>June</v>
      </c>
      <c r="E1632" t="s">
        <v>16</v>
      </c>
      <c r="F1632" t="s">
        <v>60</v>
      </c>
      <c r="G1632" t="s">
        <v>70</v>
      </c>
      <c r="H1632" t="s">
        <v>27</v>
      </c>
      <c r="I1632" t="s">
        <v>34</v>
      </c>
      <c r="J1632" t="s">
        <v>43</v>
      </c>
      <c r="K1632">
        <v>5</v>
      </c>
      <c r="L1632">
        <v>48592.46</v>
      </c>
      <c r="M1632">
        <v>5</v>
      </c>
      <c r="N1632">
        <v>230814.19</v>
      </c>
      <c r="O1632" t="s">
        <v>47</v>
      </c>
    </row>
    <row r="1633" spans="1:15" x14ac:dyDescent="0.3">
      <c r="A1633" t="s">
        <v>1701</v>
      </c>
      <c r="B1633" s="2">
        <v>46923</v>
      </c>
      <c r="C1633" t="s">
        <v>31</v>
      </c>
      <c r="D1633" t="str">
        <f t="shared" si="25"/>
        <v>June</v>
      </c>
      <c r="E1633" t="s">
        <v>72</v>
      </c>
      <c r="F1633" t="s">
        <v>40</v>
      </c>
      <c r="G1633" t="s">
        <v>118</v>
      </c>
      <c r="H1633" t="s">
        <v>19</v>
      </c>
      <c r="I1633" t="s">
        <v>34</v>
      </c>
      <c r="J1633" t="s">
        <v>43</v>
      </c>
      <c r="K1633">
        <v>3</v>
      </c>
      <c r="L1633">
        <v>6581.41</v>
      </c>
      <c r="M1633">
        <v>10</v>
      </c>
      <c r="N1633">
        <v>17769.8</v>
      </c>
      <c r="O1633" t="s">
        <v>36</v>
      </c>
    </row>
    <row r="1634" spans="1:15" x14ac:dyDescent="0.3">
      <c r="A1634" t="s">
        <v>1702</v>
      </c>
      <c r="B1634" s="2">
        <v>46924</v>
      </c>
      <c r="C1634" t="s">
        <v>31</v>
      </c>
      <c r="D1634" t="str">
        <f t="shared" si="25"/>
        <v>June</v>
      </c>
      <c r="E1634" t="s">
        <v>72</v>
      </c>
      <c r="F1634" t="s">
        <v>17</v>
      </c>
      <c r="G1634" t="s">
        <v>123</v>
      </c>
      <c r="H1634" t="s">
        <v>19</v>
      </c>
      <c r="I1634" t="s">
        <v>42</v>
      </c>
      <c r="J1634" t="s">
        <v>46</v>
      </c>
      <c r="K1634">
        <v>2</v>
      </c>
      <c r="L1634">
        <v>68940.740000000005</v>
      </c>
      <c r="M1634">
        <v>0</v>
      </c>
      <c r="N1634">
        <v>137881.48000000001</v>
      </c>
      <c r="O1634" t="s">
        <v>36</v>
      </c>
    </row>
    <row r="1635" spans="1:15" x14ac:dyDescent="0.3">
      <c r="A1635" t="s">
        <v>1703</v>
      </c>
      <c r="B1635" s="2">
        <v>46925</v>
      </c>
      <c r="C1635" t="s">
        <v>49</v>
      </c>
      <c r="D1635" t="str">
        <f t="shared" si="25"/>
        <v>June</v>
      </c>
      <c r="E1635" t="s">
        <v>77</v>
      </c>
      <c r="F1635" t="s">
        <v>17</v>
      </c>
      <c r="G1635" t="s">
        <v>123</v>
      </c>
      <c r="H1635" t="s">
        <v>19</v>
      </c>
      <c r="I1635" t="s">
        <v>20</v>
      </c>
      <c r="J1635" t="s">
        <v>35</v>
      </c>
      <c r="K1635">
        <v>5</v>
      </c>
      <c r="L1635">
        <v>49881.48</v>
      </c>
      <c r="M1635">
        <v>20</v>
      </c>
      <c r="N1635">
        <v>199525.9</v>
      </c>
      <c r="O1635" t="s">
        <v>29</v>
      </c>
    </row>
    <row r="1636" spans="1:15" x14ac:dyDescent="0.3">
      <c r="A1636" t="s">
        <v>1704</v>
      </c>
      <c r="B1636" s="2">
        <v>46926</v>
      </c>
      <c r="C1636" t="s">
        <v>49</v>
      </c>
      <c r="D1636" t="str">
        <f t="shared" si="25"/>
        <v>June</v>
      </c>
      <c r="E1636" t="s">
        <v>32</v>
      </c>
      <c r="F1636" t="s">
        <v>60</v>
      </c>
      <c r="G1636" t="s">
        <v>70</v>
      </c>
      <c r="H1636" t="s">
        <v>19</v>
      </c>
      <c r="I1636" t="s">
        <v>34</v>
      </c>
      <c r="J1636" t="s">
        <v>21</v>
      </c>
      <c r="K1636">
        <v>3</v>
      </c>
      <c r="L1636">
        <v>45206.47</v>
      </c>
      <c r="M1636">
        <v>5</v>
      </c>
      <c r="N1636">
        <v>128838.44</v>
      </c>
      <c r="O1636" t="s">
        <v>47</v>
      </c>
    </row>
    <row r="1637" spans="1:15" x14ac:dyDescent="0.3">
      <c r="A1637" t="s">
        <v>1705</v>
      </c>
      <c r="B1637" s="2">
        <v>46927</v>
      </c>
      <c r="C1637" t="s">
        <v>49</v>
      </c>
      <c r="D1637" t="str">
        <f t="shared" si="25"/>
        <v>June</v>
      </c>
      <c r="E1637" t="s">
        <v>52</v>
      </c>
      <c r="F1637" t="s">
        <v>40</v>
      </c>
      <c r="G1637" t="s">
        <v>118</v>
      </c>
      <c r="H1637" t="s">
        <v>45</v>
      </c>
      <c r="I1637" t="s">
        <v>42</v>
      </c>
      <c r="J1637" t="s">
        <v>43</v>
      </c>
      <c r="K1637">
        <v>1</v>
      </c>
      <c r="L1637">
        <v>7414.96</v>
      </c>
      <c r="M1637">
        <v>0</v>
      </c>
      <c r="N1637">
        <v>7414.96</v>
      </c>
      <c r="O1637" t="s">
        <v>22</v>
      </c>
    </row>
    <row r="1638" spans="1:15" x14ac:dyDescent="0.3">
      <c r="A1638" t="s">
        <v>1706</v>
      </c>
      <c r="B1638" s="2">
        <v>46928</v>
      </c>
      <c r="C1638" t="s">
        <v>49</v>
      </c>
      <c r="D1638" t="str">
        <f t="shared" si="25"/>
        <v>June</v>
      </c>
      <c r="E1638" t="s">
        <v>32</v>
      </c>
      <c r="F1638" t="s">
        <v>17</v>
      </c>
      <c r="G1638" t="s">
        <v>63</v>
      </c>
      <c r="H1638" t="s">
        <v>33</v>
      </c>
      <c r="I1638" t="s">
        <v>42</v>
      </c>
      <c r="J1638" t="s">
        <v>43</v>
      </c>
      <c r="K1638">
        <v>4</v>
      </c>
      <c r="L1638">
        <v>67368.039999999994</v>
      </c>
      <c r="M1638">
        <v>15</v>
      </c>
      <c r="N1638">
        <v>229051.35</v>
      </c>
      <c r="O1638" t="s">
        <v>47</v>
      </c>
    </row>
    <row r="1639" spans="1:15" x14ac:dyDescent="0.3">
      <c r="A1639" t="s">
        <v>1707</v>
      </c>
      <c r="B1639" s="2">
        <v>46929</v>
      </c>
      <c r="C1639" t="s">
        <v>31</v>
      </c>
      <c r="D1639" t="str">
        <f t="shared" si="25"/>
        <v>June</v>
      </c>
      <c r="E1639" t="s">
        <v>39</v>
      </c>
      <c r="F1639" t="s">
        <v>60</v>
      </c>
      <c r="G1639" t="s">
        <v>78</v>
      </c>
      <c r="H1639" t="s">
        <v>19</v>
      </c>
      <c r="I1639" t="s">
        <v>34</v>
      </c>
      <c r="J1639" t="s">
        <v>28</v>
      </c>
      <c r="K1639">
        <v>3</v>
      </c>
      <c r="L1639">
        <v>42363.86</v>
      </c>
      <c r="M1639">
        <v>0</v>
      </c>
      <c r="N1639">
        <v>127091.57</v>
      </c>
      <c r="O1639" t="s">
        <v>47</v>
      </c>
    </row>
    <row r="1640" spans="1:15" x14ac:dyDescent="0.3">
      <c r="A1640" t="s">
        <v>1708</v>
      </c>
      <c r="B1640" s="2">
        <v>46930</v>
      </c>
      <c r="C1640" t="s">
        <v>31</v>
      </c>
      <c r="D1640" t="str">
        <f t="shared" si="25"/>
        <v>June</v>
      </c>
      <c r="E1640" t="s">
        <v>52</v>
      </c>
      <c r="F1640" t="s">
        <v>53</v>
      </c>
      <c r="G1640" t="s">
        <v>65</v>
      </c>
      <c r="H1640" t="s">
        <v>27</v>
      </c>
      <c r="I1640" t="s">
        <v>20</v>
      </c>
      <c r="J1640" t="s">
        <v>28</v>
      </c>
      <c r="K1640">
        <v>2</v>
      </c>
      <c r="L1640">
        <v>34806.769999999997</v>
      </c>
      <c r="M1640">
        <v>0</v>
      </c>
      <c r="N1640">
        <v>69613.539999999994</v>
      </c>
      <c r="O1640" t="s">
        <v>29</v>
      </c>
    </row>
    <row r="1641" spans="1:15" x14ac:dyDescent="0.3">
      <c r="A1641" t="s">
        <v>1709</v>
      </c>
      <c r="B1641" s="2">
        <v>46931</v>
      </c>
      <c r="C1641" t="s">
        <v>15</v>
      </c>
      <c r="D1641" t="str">
        <f t="shared" si="25"/>
        <v>June</v>
      </c>
      <c r="E1641" t="s">
        <v>39</v>
      </c>
      <c r="F1641" t="s">
        <v>53</v>
      </c>
      <c r="G1641" t="s">
        <v>65</v>
      </c>
      <c r="H1641" t="s">
        <v>45</v>
      </c>
      <c r="I1641" t="s">
        <v>42</v>
      </c>
      <c r="J1641" t="s">
        <v>35</v>
      </c>
      <c r="K1641">
        <v>1</v>
      </c>
      <c r="L1641">
        <v>27959.74</v>
      </c>
      <c r="M1641">
        <v>0</v>
      </c>
      <c r="N1641">
        <v>27959.74</v>
      </c>
      <c r="O1641" t="s">
        <v>36</v>
      </c>
    </row>
    <row r="1642" spans="1:15" x14ac:dyDescent="0.3">
      <c r="A1642" t="s">
        <v>1710</v>
      </c>
      <c r="B1642" s="2">
        <v>46932</v>
      </c>
      <c r="C1642" t="s">
        <v>38</v>
      </c>
      <c r="D1642" t="str">
        <f t="shared" si="25"/>
        <v>June</v>
      </c>
      <c r="E1642" t="s">
        <v>72</v>
      </c>
      <c r="F1642" t="s">
        <v>25</v>
      </c>
      <c r="G1642" t="s">
        <v>26</v>
      </c>
      <c r="H1642" t="s">
        <v>19</v>
      </c>
      <c r="I1642" t="s">
        <v>34</v>
      </c>
      <c r="J1642" t="s">
        <v>46</v>
      </c>
      <c r="K1642">
        <v>5</v>
      </c>
      <c r="L1642">
        <v>2558.15</v>
      </c>
      <c r="M1642">
        <v>0</v>
      </c>
      <c r="N1642">
        <v>12790.75</v>
      </c>
      <c r="O1642" t="s">
        <v>47</v>
      </c>
    </row>
    <row r="1643" spans="1:15" x14ac:dyDescent="0.3">
      <c r="A1643" t="s">
        <v>1711</v>
      </c>
      <c r="B1643" s="2">
        <v>46933</v>
      </c>
      <c r="C1643" t="s">
        <v>31</v>
      </c>
      <c r="D1643" t="str">
        <f t="shared" si="25"/>
        <v>June</v>
      </c>
      <c r="E1643" t="s">
        <v>39</v>
      </c>
      <c r="F1643" t="s">
        <v>40</v>
      </c>
      <c r="G1643" t="s">
        <v>75</v>
      </c>
      <c r="H1643" t="s">
        <v>27</v>
      </c>
      <c r="I1643" t="s">
        <v>20</v>
      </c>
      <c r="J1643" t="s">
        <v>46</v>
      </c>
      <c r="K1643">
        <v>5</v>
      </c>
      <c r="L1643">
        <v>7616.82</v>
      </c>
      <c r="M1643">
        <v>0</v>
      </c>
      <c r="N1643">
        <v>38084.120000000003</v>
      </c>
      <c r="O1643" t="s">
        <v>47</v>
      </c>
    </row>
    <row r="1644" spans="1:15" x14ac:dyDescent="0.3">
      <c r="A1644" t="s">
        <v>1712</v>
      </c>
      <c r="B1644" s="2">
        <v>46934</v>
      </c>
      <c r="C1644" t="s">
        <v>31</v>
      </c>
      <c r="D1644" t="str">
        <f t="shared" si="25"/>
        <v>June</v>
      </c>
      <c r="E1644" t="s">
        <v>52</v>
      </c>
      <c r="F1644" t="s">
        <v>40</v>
      </c>
      <c r="G1644" t="s">
        <v>41</v>
      </c>
      <c r="H1644" t="s">
        <v>19</v>
      </c>
      <c r="I1644" t="s">
        <v>20</v>
      </c>
      <c r="J1644" t="s">
        <v>43</v>
      </c>
      <c r="K1644">
        <v>5</v>
      </c>
      <c r="L1644">
        <v>7546.19</v>
      </c>
      <c r="M1644">
        <v>15</v>
      </c>
      <c r="N1644">
        <v>32071.31</v>
      </c>
      <c r="O1644" t="s">
        <v>22</v>
      </c>
    </row>
    <row r="1645" spans="1:15" x14ac:dyDescent="0.3">
      <c r="A1645" t="s">
        <v>1713</v>
      </c>
      <c r="B1645" s="2">
        <v>46935</v>
      </c>
      <c r="C1645" t="s">
        <v>38</v>
      </c>
      <c r="D1645" t="str">
        <f t="shared" si="25"/>
        <v>July</v>
      </c>
      <c r="E1645" t="s">
        <v>50</v>
      </c>
      <c r="F1645" t="s">
        <v>60</v>
      </c>
      <c r="G1645" t="s">
        <v>78</v>
      </c>
      <c r="H1645" t="s">
        <v>27</v>
      </c>
      <c r="I1645" t="s">
        <v>42</v>
      </c>
      <c r="J1645" t="s">
        <v>35</v>
      </c>
      <c r="K1645">
        <v>1</v>
      </c>
      <c r="L1645">
        <v>44706.19</v>
      </c>
      <c r="M1645">
        <v>0</v>
      </c>
      <c r="N1645">
        <v>44706.19</v>
      </c>
      <c r="O1645" t="s">
        <v>22</v>
      </c>
    </row>
    <row r="1646" spans="1:15" x14ac:dyDescent="0.3">
      <c r="A1646" t="s">
        <v>1714</v>
      </c>
      <c r="B1646" s="2">
        <v>46936</v>
      </c>
      <c r="C1646" t="s">
        <v>49</v>
      </c>
      <c r="D1646" t="str">
        <f t="shared" si="25"/>
        <v>July</v>
      </c>
      <c r="E1646" t="s">
        <v>69</v>
      </c>
      <c r="F1646" t="s">
        <v>53</v>
      </c>
      <c r="G1646" t="s">
        <v>54</v>
      </c>
      <c r="H1646" t="s">
        <v>19</v>
      </c>
      <c r="I1646" t="s">
        <v>20</v>
      </c>
      <c r="J1646" t="s">
        <v>28</v>
      </c>
      <c r="K1646">
        <v>4</v>
      </c>
      <c r="L1646">
        <v>39568.769999999997</v>
      </c>
      <c r="M1646">
        <v>10</v>
      </c>
      <c r="N1646">
        <v>142447.56</v>
      </c>
      <c r="O1646" t="s">
        <v>47</v>
      </c>
    </row>
    <row r="1647" spans="1:15" x14ac:dyDescent="0.3">
      <c r="A1647" t="s">
        <v>1715</v>
      </c>
      <c r="B1647" s="2">
        <v>46937</v>
      </c>
      <c r="C1647" t="s">
        <v>38</v>
      </c>
      <c r="D1647" t="str">
        <f t="shared" si="25"/>
        <v>July</v>
      </c>
      <c r="E1647" t="s">
        <v>72</v>
      </c>
      <c r="F1647" t="s">
        <v>40</v>
      </c>
      <c r="G1647" t="s">
        <v>118</v>
      </c>
      <c r="H1647" t="s">
        <v>45</v>
      </c>
      <c r="I1647" t="s">
        <v>20</v>
      </c>
      <c r="J1647" t="s">
        <v>28</v>
      </c>
      <c r="K1647">
        <v>3</v>
      </c>
      <c r="L1647">
        <v>6661.64</v>
      </c>
      <c r="M1647">
        <v>5</v>
      </c>
      <c r="N1647">
        <v>18985.689999999999</v>
      </c>
      <c r="O1647" t="s">
        <v>36</v>
      </c>
    </row>
    <row r="1648" spans="1:15" x14ac:dyDescent="0.3">
      <c r="A1648" t="s">
        <v>1716</v>
      </c>
      <c r="B1648" s="2">
        <v>46938</v>
      </c>
      <c r="C1648" t="s">
        <v>15</v>
      </c>
      <c r="D1648" t="str">
        <f t="shared" si="25"/>
        <v>July</v>
      </c>
      <c r="E1648" t="s">
        <v>72</v>
      </c>
      <c r="F1648" t="s">
        <v>40</v>
      </c>
      <c r="G1648" t="s">
        <v>115</v>
      </c>
      <c r="H1648" t="s">
        <v>45</v>
      </c>
      <c r="I1648" t="s">
        <v>34</v>
      </c>
      <c r="J1648" t="s">
        <v>35</v>
      </c>
      <c r="K1648">
        <v>1</v>
      </c>
      <c r="L1648">
        <v>7054.73</v>
      </c>
      <c r="M1648">
        <v>5</v>
      </c>
      <c r="N1648">
        <v>6702</v>
      </c>
      <c r="O1648" t="s">
        <v>29</v>
      </c>
    </row>
    <row r="1649" spans="1:15" x14ac:dyDescent="0.3">
      <c r="A1649" t="s">
        <v>1717</v>
      </c>
      <c r="B1649" s="2">
        <v>46939</v>
      </c>
      <c r="C1649" t="s">
        <v>15</v>
      </c>
      <c r="D1649" t="str">
        <f t="shared" si="25"/>
        <v>July</v>
      </c>
      <c r="E1649" t="s">
        <v>16</v>
      </c>
      <c r="F1649" t="s">
        <v>40</v>
      </c>
      <c r="G1649" t="s">
        <v>41</v>
      </c>
      <c r="H1649" t="s">
        <v>45</v>
      </c>
      <c r="I1649" t="s">
        <v>20</v>
      </c>
      <c r="J1649" t="s">
        <v>43</v>
      </c>
      <c r="K1649">
        <v>2</v>
      </c>
      <c r="L1649">
        <v>5635.05</v>
      </c>
      <c r="M1649">
        <v>0</v>
      </c>
      <c r="N1649">
        <v>11270.09</v>
      </c>
      <c r="O1649" t="s">
        <v>36</v>
      </c>
    </row>
    <row r="1650" spans="1:15" x14ac:dyDescent="0.3">
      <c r="A1650" t="s">
        <v>1718</v>
      </c>
      <c r="B1650" s="2">
        <v>46940</v>
      </c>
      <c r="C1650" t="s">
        <v>49</v>
      </c>
      <c r="D1650" t="str">
        <f t="shared" si="25"/>
        <v>July</v>
      </c>
      <c r="E1650" t="s">
        <v>69</v>
      </c>
      <c r="F1650" t="s">
        <v>53</v>
      </c>
      <c r="G1650" t="s">
        <v>54</v>
      </c>
      <c r="H1650" t="s">
        <v>33</v>
      </c>
      <c r="I1650" t="s">
        <v>34</v>
      </c>
      <c r="J1650" t="s">
        <v>35</v>
      </c>
      <c r="K1650">
        <v>5</v>
      </c>
      <c r="L1650">
        <v>31024.69</v>
      </c>
      <c r="M1650">
        <v>0</v>
      </c>
      <c r="N1650">
        <v>155123.43</v>
      </c>
      <c r="O1650" t="s">
        <v>36</v>
      </c>
    </row>
    <row r="1651" spans="1:15" x14ac:dyDescent="0.3">
      <c r="A1651" t="s">
        <v>1719</v>
      </c>
      <c r="B1651" s="2">
        <v>46941</v>
      </c>
      <c r="C1651" t="s">
        <v>15</v>
      </c>
      <c r="D1651" t="str">
        <f t="shared" si="25"/>
        <v>July</v>
      </c>
      <c r="E1651" t="s">
        <v>50</v>
      </c>
      <c r="F1651" t="s">
        <v>17</v>
      </c>
      <c r="G1651" t="s">
        <v>123</v>
      </c>
      <c r="H1651" t="s">
        <v>19</v>
      </c>
      <c r="I1651" t="s">
        <v>20</v>
      </c>
      <c r="J1651" t="s">
        <v>35</v>
      </c>
      <c r="K1651">
        <v>4</v>
      </c>
      <c r="L1651">
        <v>67929.100000000006</v>
      </c>
      <c r="M1651">
        <v>0</v>
      </c>
      <c r="N1651">
        <v>271716.40000000002</v>
      </c>
      <c r="O1651" t="s">
        <v>22</v>
      </c>
    </row>
    <row r="1652" spans="1:15" x14ac:dyDescent="0.3">
      <c r="A1652" t="s">
        <v>1720</v>
      </c>
      <c r="B1652" s="2">
        <v>46942</v>
      </c>
      <c r="C1652" t="s">
        <v>15</v>
      </c>
      <c r="D1652" t="str">
        <f t="shared" si="25"/>
        <v>July</v>
      </c>
      <c r="E1652" t="s">
        <v>50</v>
      </c>
      <c r="F1652" t="s">
        <v>17</v>
      </c>
      <c r="G1652" t="s">
        <v>18</v>
      </c>
      <c r="H1652" t="s">
        <v>45</v>
      </c>
      <c r="I1652" t="s">
        <v>42</v>
      </c>
      <c r="J1652" t="s">
        <v>28</v>
      </c>
      <c r="K1652">
        <v>2</v>
      </c>
      <c r="L1652">
        <v>59298.239999999998</v>
      </c>
      <c r="M1652">
        <v>15</v>
      </c>
      <c r="N1652">
        <v>100807</v>
      </c>
      <c r="O1652" t="s">
        <v>36</v>
      </c>
    </row>
    <row r="1653" spans="1:15" x14ac:dyDescent="0.3">
      <c r="A1653" t="s">
        <v>1721</v>
      </c>
      <c r="B1653" s="2">
        <v>46943</v>
      </c>
      <c r="C1653" t="s">
        <v>31</v>
      </c>
      <c r="D1653" t="str">
        <f t="shared" si="25"/>
        <v>July</v>
      </c>
      <c r="E1653" t="s">
        <v>72</v>
      </c>
      <c r="F1653" t="s">
        <v>60</v>
      </c>
      <c r="G1653" t="s">
        <v>61</v>
      </c>
      <c r="H1653" t="s">
        <v>27</v>
      </c>
      <c r="I1653" t="s">
        <v>20</v>
      </c>
      <c r="J1653" t="s">
        <v>35</v>
      </c>
      <c r="K1653">
        <v>2</v>
      </c>
      <c r="L1653">
        <v>41693.51</v>
      </c>
      <c r="M1653">
        <v>15</v>
      </c>
      <c r="N1653">
        <v>70878.97</v>
      </c>
      <c r="O1653" t="s">
        <v>47</v>
      </c>
    </row>
    <row r="1654" spans="1:15" x14ac:dyDescent="0.3">
      <c r="A1654" t="s">
        <v>1722</v>
      </c>
      <c r="B1654" s="2">
        <v>46944</v>
      </c>
      <c r="C1654" t="s">
        <v>58</v>
      </c>
      <c r="D1654" t="str">
        <f t="shared" si="25"/>
        <v>July</v>
      </c>
      <c r="E1654" t="s">
        <v>50</v>
      </c>
      <c r="F1654" t="s">
        <v>17</v>
      </c>
      <c r="G1654" t="s">
        <v>18</v>
      </c>
      <c r="H1654" t="s">
        <v>45</v>
      </c>
      <c r="I1654" t="s">
        <v>20</v>
      </c>
      <c r="J1654" t="s">
        <v>43</v>
      </c>
      <c r="K1654">
        <v>5</v>
      </c>
      <c r="L1654">
        <v>67786.600000000006</v>
      </c>
      <c r="M1654">
        <v>5</v>
      </c>
      <c r="N1654">
        <v>321986.36</v>
      </c>
      <c r="O1654" t="s">
        <v>36</v>
      </c>
    </row>
    <row r="1655" spans="1:15" x14ac:dyDescent="0.3">
      <c r="A1655" t="s">
        <v>1723</v>
      </c>
      <c r="B1655" s="2">
        <v>46945</v>
      </c>
      <c r="C1655" t="s">
        <v>38</v>
      </c>
      <c r="D1655" t="str">
        <f t="shared" si="25"/>
        <v>July</v>
      </c>
      <c r="E1655" t="s">
        <v>39</v>
      </c>
      <c r="F1655" t="s">
        <v>60</v>
      </c>
      <c r="G1655" t="s">
        <v>73</v>
      </c>
      <c r="H1655" t="s">
        <v>33</v>
      </c>
      <c r="I1655" t="s">
        <v>34</v>
      </c>
      <c r="J1655" t="s">
        <v>43</v>
      </c>
      <c r="K1655">
        <v>1</v>
      </c>
      <c r="L1655">
        <v>40234.46</v>
      </c>
      <c r="M1655">
        <v>10</v>
      </c>
      <c r="N1655">
        <v>36211.01</v>
      </c>
      <c r="O1655" t="s">
        <v>47</v>
      </c>
    </row>
    <row r="1656" spans="1:15" x14ac:dyDescent="0.3">
      <c r="A1656" t="s">
        <v>1724</v>
      </c>
      <c r="B1656" s="2">
        <v>46946</v>
      </c>
      <c r="C1656" t="s">
        <v>38</v>
      </c>
      <c r="D1656" t="str">
        <f t="shared" si="25"/>
        <v>July</v>
      </c>
      <c r="E1656" t="s">
        <v>69</v>
      </c>
      <c r="F1656" t="s">
        <v>17</v>
      </c>
      <c r="G1656" t="s">
        <v>63</v>
      </c>
      <c r="H1656" t="s">
        <v>45</v>
      </c>
      <c r="I1656" t="s">
        <v>42</v>
      </c>
      <c r="J1656" t="s">
        <v>43</v>
      </c>
      <c r="K1656">
        <v>2</v>
      </c>
      <c r="L1656">
        <v>55749.71</v>
      </c>
      <c r="M1656">
        <v>10</v>
      </c>
      <c r="N1656">
        <v>100349.48</v>
      </c>
      <c r="O1656" t="s">
        <v>47</v>
      </c>
    </row>
    <row r="1657" spans="1:15" x14ac:dyDescent="0.3">
      <c r="A1657" t="s">
        <v>1725</v>
      </c>
      <c r="B1657" s="2">
        <v>46947</v>
      </c>
      <c r="C1657" t="s">
        <v>31</v>
      </c>
      <c r="D1657" t="str">
        <f t="shared" si="25"/>
        <v>July</v>
      </c>
      <c r="E1657" t="s">
        <v>32</v>
      </c>
      <c r="F1657" t="s">
        <v>40</v>
      </c>
      <c r="G1657" t="s">
        <v>118</v>
      </c>
      <c r="H1657" t="s">
        <v>45</v>
      </c>
      <c r="I1657" t="s">
        <v>42</v>
      </c>
      <c r="J1657" t="s">
        <v>43</v>
      </c>
      <c r="K1657">
        <v>3</v>
      </c>
      <c r="L1657">
        <v>6837.38</v>
      </c>
      <c r="M1657">
        <v>0</v>
      </c>
      <c r="N1657">
        <v>20512.150000000001</v>
      </c>
      <c r="O1657" t="s">
        <v>47</v>
      </c>
    </row>
    <row r="1658" spans="1:15" x14ac:dyDescent="0.3">
      <c r="A1658" t="s">
        <v>1726</v>
      </c>
      <c r="B1658" s="2">
        <v>46948</v>
      </c>
      <c r="C1658" t="s">
        <v>49</v>
      </c>
      <c r="D1658" t="str">
        <f t="shared" si="25"/>
        <v>July</v>
      </c>
      <c r="E1658" t="s">
        <v>50</v>
      </c>
      <c r="F1658" t="s">
        <v>25</v>
      </c>
      <c r="G1658" t="s">
        <v>92</v>
      </c>
      <c r="H1658" t="s">
        <v>33</v>
      </c>
      <c r="I1658" t="s">
        <v>34</v>
      </c>
      <c r="J1658" t="s">
        <v>21</v>
      </c>
      <c r="K1658">
        <v>5</v>
      </c>
      <c r="L1658">
        <v>2248.16</v>
      </c>
      <c r="M1658">
        <v>10</v>
      </c>
      <c r="N1658">
        <v>10116.700000000001</v>
      </c>
      <c r="O1658" t="s">
        <v>29</v>
      </c>
    </row>
    <row r="1659" spans="1:15" x14ac:dyDescent="0.3">
      <c r="A1659" t="s">
        <v>1727</v>
      </c>
      <c r="B1659" s="2">
        <v>46949</v>
      </c>
      <c r="C1659" t="s">
        <v>49</v>
      </c>
      <c r="D1659" t="str">
        <f t="shared" si="25"/>
        <v>July</v>
      </c>
      <c r="E1659" t="s">
        <v>50</v>
      </c>
      <c r="F1659" t="s">
        <v>53</v>
      </c>
      <c r="G1659" t="s">
        <v>54</v>
      </c>
      <c r="H1659" t="s">
        <v>19</v>
      </c>
      <c r="I1659" t="s">
        <v>34</v>
      </c>
      <c r="J1659" t="s">
        <v>21</v>
      </c>
      <c r="K1659">
        <v>3</v>
      </c>
      <c r="L1659">
        <v>24450.9</v>
      </c>
      <c r="M1659">
        <v>5</v>
      </c>
      <c r="N1659">
        <v>69685.08</v>
      </c>
      <c r="O1659" t="s">
        <v>29</v>
      </c>
    </row>
    <row r="1660" spans="1:15" x14ac:dyDescent="0.3">
      <c r="A1660" t="s">
        <v>1728</v>
      </c>
      <c r="B1660" s="2">
        <v>46950</v>
      </c>
      <c r="C1660" t="s">
        <v>58</v>
      </c>
      <c r="D1660" t="str">
        <f t="shared" si="25"/>
        <v>July</v>
      </c>
      <c r="E1660" t="s">
        <v>32</v>
      </c>
      <c r="F1660" t="s">
        <v>17</v>
      </c>
      <c r="G1660" t="s">
        <v>123</v>
      </c>
      <c r="H1660" t="s">
        <v>45</v>
      </c>
      <c r="I1660" t="s">
        <v>20</v>
      </c>
      <c r="J1660" t="s">
        <v>43</v>
      </c>
      <c r="K1660">
        <v>2</v>
      </c>
      <c r="L1660">
        <v>64327.57</v>
      </c>
      <c r="M1660">
        <v>10</v>
      </c>
      <c r="N1660">
        <v>115789.62</v>
      </c>
      <c r="O1660" t="s">
        <v>29</v>
      </c>
    </row>
    <row r="1661" spans="1:15" x14ac:dyDescent="0.3">
      <c r="A1661" t="s">
        <v>1729</v>
      </c>
      <c r="B1661" s="2">
        <v>46951</v>
      </c>
      <c r="C1661" t="s">
        <v>58</v>
      </c>
      <c r="D1661" t="str">
        <f t="shared" si="25"/>
        <v>July</v>
      </c>
      <c r="E1661" t="s">
        <v>69</v>
      </c>
      <c r="F1661" t="s">
        <v>17</v>
      </c>
      <c r="G1661" t="s">
        <v>123</v>
      </c>
      <c r="H1661" t="s">
        <v>45</v>
      </c>
      <c r="I1661" t="s">
        <v>20</v>
      </c>
      <c r="J1661" t="s">
        <v>35</v>
      </c>
      <c r="K1661">
        <v>3</v>
      </c>
      <c r="L1661">
        <v>51540.67</v>
      </c>
      <c r="M1661">
        <v>10</v>
      </c>
      <c r="N1661">
        <v>139159.81</v>
      </c>
      <c r="O1661" t="s">
        <v>47</v>
      </c>
    </row>
    <row r="1662" spans="1:15" x14ac:dyDescent="0.3">
      <c r="A1662" t="s">
        <v>1730</v>
      </c>
      <c r="B1662" s="2">
        <v>46952</v>
      </c>
      <c r="C1662" t="s">
        <v>49</v>
      </c>
      <c r="D1662" t="str">
        <f t="shared" si="25"/>
        <v>July</v>
      </c>
      <c r="E1662" t="s">
        <v>24</v>
      </c>
      <c r="F1662" t="s">
        <v>17</v>
      </c>
      <c r="G1662" t="s">
        <v>18</v>
      </c>
      <c r="H1662" t="s">
        <v>45</v>
      </c>
      <c r="I1662" t="s">
        <v>42</v>
      </c>
      <c r="J1662" t="s">
        <v>28</v>
      </c>
      <c r="K1662">
        <v>4</v>
      </c>
      <c r="L1662">
        <v>53102.16</v>
      </c>
      <c r="M1662">
        <v>15</v>
      </c>
      <c r="N1662">
        <v>180547.33</v>
      </c>
      <c r="O1662" t="s">
        <v>47</v>
      </c>
    </row>
    <row r="1663" spans="1:15" x14ac:dyDescent="0.3">
      <c r="A1663" t="s">
        <v>1731</v>
      </c>
      <c r="B1663" s="2">
        <v>46953</v>
      </c>
      <c r="C1663" t="s">
        <v>58</v>
      </c>
      <c r="D1663" t="str">
        <f t="shared" si="25"/>
        <v>July</v>
      </c>
      <c r="E1663" t="s">
        <v>100</v>
      </c>
      <c r="F1663" t="s">
        <v>53</v>
      </c>
      <c r="G1663" t="s">
        <v>105</v>
      </c>
      <c r="H1663" t="s">
        <v>27</v>
      </c>
      <c r="I1663" t="s">
        <v>20</v>
      </c>
      <c r="J1663" t="s">
        <v>43</v>
      </c>
      <c r="K1663">
        <v>1</v>
      </c>
      <c r="L1663">
        <v>28499.94</v>
      </c>
      <c r="M1663">
        <v>0</v>
      </c>
      <c r="N1663">
        <v>28499.94</v>
      </c>
      <c r="O1663" t="s">
        <v>36</v>
      </c>
    </row>
    <row r="1664" spans="1:15" x14ac:dyDescent="0.3">
      <c r="A1664" t="s">
        <v>1732</v>
      </c>
      <c r="B1664" s="2">
        <v>46954</v>
      </c>
      <c r="C1664" t="s">
        <v>49</v>
      </c>
      <c r="D1664" t="str">
        <f t="shared" si="25"/>
        <v>July</v>
      </c>
      <c r="E1664" t="s">
        <v>52</v>
      </c>
      <c r="F1664" t="s">
        <v>25</v>
      </c>
      <c r="G1664" t="s">
        <v>81</v>
      </c>
      <c r="H1664" t="s">
        <v>45</v>
      </c>
      <c r="I1664" t="s">
        <v>20</v>
      </c>
      <c r="J1664" t="s">
        <v>46</v>
      </c>
      <c r="K1664">
        <v>2</v>
      </c>
      <c r="L1664">
        <v>2886.54</v>
      </c>
      <c r="M1664">
        <v>10</v>
      </c>
      <c r="N1664">
        <v>5195.7700000000004</v>
      </c>
      <c r="O1664" t="s">
        <v>47</v>
      </c>
    </row>
    <row r="1665" spans="1:15" x14ac:dyDescent="0.3">
      <c r="A1665" t="s">
        <v>1733</v>
      </c>
      <c r="B1665" s="2">
        <v>46955</v>
      </c>
      <c r="C1665" t="s">
        <v>49</v>
      </c>
      <c r="D1665" t="str">
        <f t="shared" si="25"/>
        <v>July</v>
      </c>
      <c r="E1665" t="s">
        <v>16</v>
      </c>
      <c r="F1665" t="s">
        <v>53</v>
      </c>
      <c r="G1665" t="s">
        <v>54</v>
      </c>
      <c r="H1665" t="s">
        <v>19</v>
      </c>
      <c r="I1665" t="s">
        <v>20</v>
      </c>
      <c r="J1665" t="s">
        <v>46</v>
      </c>
      <c r="K1665">
        <v>1</v>
      </c>
      <c r="L1665">
        <v>29246.74</v>
      </c>
      <c r="M1665">
        <v>0</v>
      </c>
      <c r="N1665">
        <v>29246.74</v>
      </c>
      <c r="O1665" t="s">
        <v>47</v>
      </c>
    </row>
    <row r="1666" spans="1:15" x14ac:dyDescent="0.3">
      <c r="A1666" t="s">
        <v>1734</v>
      </c>
      <c r="B1666" s="2">
        <v>46956</v>
      </c>
      <c r="C1666" t="s">
        <v>49</v>
      </c>
      <c r="D1666" t="str">
        <f t="shared" si="25"/>
        <v>July</v>
      </c>
      <c r="E1666" t="s">
        <v>52</v>
      </c>
      <c r="F1666" t="s">
        <v>17</v>
      </c>
      <c r="G1666" t="s">
        <v>63</v>
      </c>
      <c r="H1666" t="s">
        <v>33</v>
      </c>
      <c r="I1666" t="s">
        <v>42</v>
      </c>
      <c r="J1666" t="s">
        <v>35</v>
      </c>
      <c r="K1666">
        <v>2</v>
      </c>
      <c r="L1666">
        <v>63478.03</v>
      </c>
      <c r="M1666">
        <v>5</v>
      </c>
      <c r="N1666">
        <v>120608.26</v>
      </c>
      <c r="O1666" t="s">
        <v>47</v>
      </c>
    </row>
    <row r="1667" spans="1:15" x14ac:dyDescent="0.3">
      <c r="A1667" t="s">
        <v>1735</v>
      </c>
      <c r="B1667" s="2">
        <v>46957</v>
      </c>
      <c r="C1667" t="s">
        <v>31</v>
      </c>
      <c r="D1667" t="str">
        <f t="shared" ref="D1667:D1730" si="26">TEXT(B1667,"mmmm")</f>
        <v>July</v>
      </c>
      <c r="E1667" t="s">
        <v>100</v>
      </c>
      <c r="F1667" t="s">
        <v>40</v>
      </c>
      <c r="G1667" t="s">
        <v>41</v>
      </c>
      <c r="H1667" t="s">
        <v>27</v>
      </c>
      <c r="I1667" t="s">
        <v>34</v>
      </c>
      <c r="J1667" t="s">
        <v>21</v>
      </c>
      <c r="K1667">
        <v>3</v>
      </c>
      <c r="L1667">
        <v>7488.62</v>
      </c>
      <c r="M1667">
        <v>15</v>
      </c>
      <c r="N1667">
        <v>19095.990000000002</v>
      </c>
      <c r="O1667" t="s">
        <v>47</v>
      </c>
    </row>
    <row r="1668" spans="1:15" x14ac:dyDescent="0.3">
      <c r="A1668" t="s">
        <v>1736</v>
      </c>
      <c r="B1668" s="2">
        <v>46958</v>
      </c>
      <c r="C1668" t="s">
        <v>31</v>
      </c>
      <c r="D1668" t="str">
        <f t="shared" si="26"/>
        <v>July</v>
      </c>
      <c r="E1668" t="s">
        <v>50</v>
      </c>
      <c r="F1668" t="s">
        <v>53</v>
      </c>
      <c r="G1668" t="s">
        <v>105</v>
      </c>
      <c r="H1668" t="s">
        <v>27</v>
      </c>
      <c r="I1668" t="s">
        <v>20</v>
      </c>
      <c r="J1668" t="s">
        <v>28</v>
      </c>
      <c r="K1668">
        <v>4</v>
      </c>
      <c r="L1668">
        <v>38795.919999999998</v>
      </c>
      <c r="M1668">
        <v>0</v>
      </c>
      <c r="N1668">
        <v>155183.66</v>
      </c>
      <c r="O1668" t="s">
        <v>22</v>
      </c>
    </row>
    <row r="1669" spans="1:15" x14ac:dyDescent="0.3">
      <c r="A1669" t="s">
        <v>1737</v>
      </c>
      <c r="B1669" s="2">
        <v>46959</v>
      </c>
      <c r="C1669" t="s">
        <v>15</v>
      </c>
      <c r="D1669" t="str">
        <f t="shared" si="26"/>
        <v>July</v>
      </c>
      <c r="E1669" t="s">
        <v>77</v>
      </c>
      <c r="F1669" t="s">
        <v>53</v>
      </c>
      <c r="G1669" t="s">
        <v>54</v>
      </c>
      <c r="H1669" t="s">
        <v>33</v>
      </c>
      <c r="I1669" t="s">
        <v>20</v>
      </c>
      <c r="J1669" t="s">
        <v>28</v>
      </c>
      <c r="K1669">
        <v>5</v>
      </c>
      <c r="L1669">
        <v>37090.44</v>
      </c>
      <c r="M1669">
        <v>5</v>
      </c>
      <c r="N1669">
        <v>176179.59</v>
      </c>
      <c r="O1669" t="s">
        <v>47</v>
      </c>
    </row>
    <row r="1670" spans="1:15" x14ac:dyDescent="0.3">
      <c r="A1670" t="s">
        <v>1738</v>
      </c>
      <c r="B1670" s="2">
        <v>46960</v>
      </c>
      <c r="C1670" t="s">
        <v>15</v>
      </c>
      <c r="D1670" t="str">
        <f t="shared" si="26"/>
        <v>July</v>
      </c>
      <c r="E1670" t="s">
        <v>32</v>
      </c>
      <c r="F1670" t="s">
        <v>40</v>
      </c>
      <c r="G1670" t="s">
        <v>41</v>
      </c>
      <c r="H1670" t="s">
        <v>27</v>
      </c>
      <c r="I1670" t="s">
        <v>34</v>
      </c>
      <c r="J1670" t="s">
        <v>21</v>
      </c>
      <c r="K1670">
        <v>1</v>
      </c>
      <c r="L1670">
        <v>5798.15</v>
      </c>
      <c r="M1670">
        <v>10</v>
      </c>
      <c r="N1670">
        <v>5218.33</v>
      </c>
      <c r="O1670" t="s">
        <v>36</v>
      </c>
    </row>
    <row r="1671" spans="1:15" x14ac:dyDescent="0.3">
      <c r="A1671" t="s">
        <v>1739</v>
      </c>
      <c r="B1671" s="2">
        <v>46961</v>
      </c>
      <c r="C1671" t="s">
        <v>38</v>
      </c>
      <c r="D1671" t="str">
        <f t="shared" si="26"/>
        <v>July</v>
      </c>
      <c r="E1671" t="s">
        <v>24</v>
      </c>
      <c r="F1671" t="s">
        <v>25</v>
      </c>
      <c r="G1671" t="s">
        <v>56</v>
      </c>
      <c r="H1671" t="s">
        <v>45</v>
      </c>
      <c r="I1671" t="s">
        <v>20</v>
      </c>
      <c r="J1671" t="s">
        <v>43</v>
      </c>
      <c r="K1671">
        <v>4</v>
      </c>
      <c r="L1671">
        <v>2593.36</v>
      </c>
      <c r="M1671">
        <v>5</v>
      </c>
      <c r="N1671">
        <v>9854.75</v>
      </c>
      <c r="O1671" t="s">
        <v>22</v>
      </c>
    </row>
    <row r="1672" spans="1:15" x14ac:dyDescent="0.3">
      <c r="A1672" t="s">
        <v>1740</v>
      </c>
      <c r="B1672" s="2">
        <v>46962</v>
      </c>
      <c r="C1672" t="s">
        <v>15</v>
      </c>
      <c r="D1672" t="str">
        <f t="shared" si="26"/>
        <v>July</v>
      </c>
      <c r="E1672" t="s">
        <v>72</v>
      </c>
      <c r="F1672" t="s">
        <v>60</v>
      </c>
      <c r="G1672" t="s">
        <v>61</v>
      </c>
      <c r="H1672" t="s">
        <v>33</v>
      </c>
      <c r="I1672" t="s">
        <v>34</v>
      </c>
      <c r="J1672" t="s">
        <v>46</v>
      </c>
      <c r="K1672">
        <v>5</v>
      </c>
      <c r="L1672">
        <v>41430.93</v>
      </c>
      <c r="M1672">
        <v>0</v>
      </c>
      <c r="N1672">
        <v>207154.64</v>
      </c>
      <c r="O1672" t="s">
        <v>36</v>
      </c>
    </row>
    <row r="1673" spans="1:15" x14ac:dyDescent="0.3">
      <c r="A1673" t="s">
        <v>1741</v>
      </c>
      <c r="B1673" s="2">
        <v>46963</v>
      </c>
      <c r="C1673" t="s">
        <v>49</v>
      </c>
      <c r="D1673" t="str">
        <f t="shared" si="26"/>
        <v>July</v>
      </c>
      <c r="E1673" t="s">
        <v>52</v>
      </c>
      <c r="F1673" t="s">
        <v>25</v>
      </c>
      <c r="G1673" t="s">
        <v>92</v>
      </c>
      <c r="H1673" t="s">
        <v>33</v>
      </c>
      <c r="I1673" t="s">
        <v>42</v>
      </c>
      <c r="J1673" t="s">
        <v>28</v>
      </c>
      <c r="K1673">
        <v>4</v>
      </c>
      <c r="L1673">
        <v>2625.85</v>
      </c>
      <c r="M1673">
        <v>10</v>
      </c>
      <c r="N1673">
        <v>9453.07</v>
      </c>
      <c r="O1673" t="s">
        <v>47</v>
      </c>
    </row>
    <row r="1674" spans="1:15" x14ac:dyDescent="0.3">
      <c r="A1674" t="s">
        <v>1742</v>
      </c>
      <c r="B1674" s="2">
        <v>46964</v>
      </c>
      <c r="C1674" t="s">
        <v>38</v>
      </c>
      <c r="D1674" t="str">
        <f t="shared" si="26"/>
        <v>July</v>
      </c>
      <c r="E1674" t="s">
        <v>50</v>
      </c>
      <c r="F1674" t="s">
        <v>25</v>
      </c>
      <c r="G1674" t="s">
        <v>26</v>
      </c>
      <c r="H1674" t="s">
        <v>19</v>
      </c>
      <c r="I1674" t="s">
        <v>42</v>
      </c>
      <c r="J1674" t="s">
        <v>43</v>
      </c>
      <c r="K1674">
        <v>2</v>
      </c>
      <c r="L1674">
        <v>2672.81</v>
      </c>
      <c r="M1674">
        <v>10</v>
      </c>
      <c r="N1674">
        <v>4811.0600000000004</v>
      </c>
      <c r="O1674" t="s">
        <v>36</v>
      </c>
    </row>
    <row r="1675" spans="1:15" x14ac:dyDescent="0.3">
      <c r="A1675" t="s">
        <v>1743</v>
      </c>
      <c r="B1675" s="2">
        <v>46965</v>
      </c>
      <c r="C1675" t="s">
        <v>31</v>
      </c>
      <c r="D1675" t="str">
        <f t="shared" si="26"/>
        <v>July</v>
      </c>
      <c r="E1675" t="s">
        <v>39</v>
      </c>
      <c r="F1675" t="s">
        <v>25</v>
      </c>
      <c r="G1675" t="s">
        <v>81</v>
      </c>
      <c r="H1675" t="s">
        <v>33</v>
      </c>
      <c r="I1675" t="s">
        <v>42</v>
      </c>
      <c r="J1675" t="s">
        <v>43</v>
      </c>
      <c r="K1675">
        <v>2</v>
      </c>
      <c r="L1675">
        <v>2212.3200000000002</v>
      </c>
      <c r="M1675">
        <v>10</v>
      </c>
      <c r="N1675">
        <v>3982.17</v>
      </c>
      <c r="O1675" t="s">
        <v>22</v>
      </c>
    </row>
    <row r="1676" spans="1:15" x14ac:dyDescent="0.3">
      <c r="A1676" t="s">
        <v>1744</v>
      </c>
      <c r="B1676" s="2">
        <v>46966</v>
      </c>
      <c r="C1676" t="s">
        <v>58</v>
      </c>
      <c r="D1676" t="str">
        <f t="shared" si="26"/>
        <v>August</v>
      </c>
      <c r="E1676" t="s">
        <v>50</v>
      </c>
      <c r="F1676" t="s">
        <v>60</v>
      </c>
      <c r="G1676" t="s">
        <v>61</v>
      </c>
      <c r="H1676" t="s">
        <v>33</v>
      </c>
      <c r="I1676" t="s">
        <v>34</v>
      </c>
      <c r="J1676" t="s">
        <v>43</v>
      </c>
      <c r="K1676">
        <v>5</v>
      </c>
      <c r="L1676">
        <v>32448.65</v>
      </c>
      <c r="M1676">
        <v>10</v>
      </c>
      <c r="N1676">
        <v>146018.94</v>
      </c>
      <c r="O1676" t="s">
        <v>29</v>
      </c>
    </row>
    <row r="1677" spans="1:15" x14ac:dyDescent="0.3">
      <c r="A1677" t="s">
        <v>1745</v>
      </c>
      <c r="B1677" s="2">
        <v>46967</v>
      </c>
      <c r="C1677" t="s">
        <v>49</v>
      </c>
      <c r="D1677" t="str">
        <f t="shared" si="26"/>
        <v>August</v>
      </c>
      <c r="E1677" t="s">
        <v>72</v>
      </c>
      <c r="F1677" t="s">
        <v>60</v>
      </c>
      <c r="G1677" t="s">
        <v>70</v>
      </c>
      <c r="H1677" t="s">
        <v>19</v>
      </c>
      <c r="I1677" t="s">
        <v>20</v>
      </c>
      <c r="J1677" t="s">
        <v>35</v>
      </c>
      <c r="K1677">
        <v>4</v>
      </c>
      <c r="L1677">
        <v>33752.639999999999</v>
      </c>
      <c r="M1677">
        <v>5</v>
      </c>
      <c r="N1677">
        <v>128260.04</v>
      </c>
      <c r="O1677" t="s">
        <v>47</v>
      </c>
    </row>
    <row r="1678" spans="1:15" x14ac:dyDescent="0.3">
      <c r="A1678" t="s">
        <v>1746</v>
      </c>
      <c r="B1678" s="2">
        <v>46968</v>
      </c>
      <c r="C1678" t="s">
        <v>31</v>
      </c>
      <c r="D1678" t="str">
        <f t="shared" si="26"/>
        <v>August</v>
      </c>
      <c r="E1678" t="s">
        <v>39</v>
      </c>
      <c r="F1678" t="s">
        <v>60</v>
      </c>
      <c r="G1678" t="s">
        <v>73</v>
      </c>
      <c r="H1678" t="s">
        <v>33</v>
      </c>
      <c r="I1678" t="s">
        <v>20</v>
      </c>
      <c r="J1678" t="s">
        <v>35</v>
      </c>
      <c r="K1678">
        <v>2</v>
      </c>
      <c r="L1678">
        <v>43663.78</v>
      </c>
      <c r="M1678">
        <v>15</v>
      </c>
      <c r="N1678">
        <v>74228.429999999993</v>
      </c>
      <c r="O1678" t="s">
        <v>47</v>
      </c>
    </row>
    <row r="1679" spans="1:15" x14ac:dyDescent="0.3">
      <c r="A1679" t="s">
        <v>1747</v>
      </c>
      <c r="B1679" s="2">
        <v>46969</v>
      </c>
      <c r="C1679" t="s">
        <v>49</v>
      </c>
      <c r="D1679" t="str">
        <f t="shared" si="26"/>
        <v>August</v>
      </c>
      <c r="E1679" t="s">
        <v>39</v>
      </c>
      <c r="F1679" t="s">
        <v>17</v>
      </c>
      <c r="G1679" t="s">
        <v>18</v>
      </c>
      <c r="H1679" t="s">
        <v>33</v>
      </c>
      <c r="I1679" t="s">
        <v>34</v>
      </c>
      <c r="J1679" t="s">
        <v>43</v>
      </c>
      <c r="K1679">
        <v>2</v>
      </c>
      <c r="L1679">
        <v>57647.69</v>
      </c>
      <c r="M1679">
        <v>5</v>
      </c>
      <c r="N1679">
        <v>109530.61</v>
      </c>
      <c r="O1679" t="s">
        <v>22</v>
      </c>
    </row>
    <row r="1680" spans="1:15" x14ac:dyDescent="0.3">
      <c r="A1680" t="s">
        <v>1748</v>
      </c>
      <c r="B1680" s="2">
        <v>46970</v>
      </c>
      <c r="C1680" t="s">
        <v>49</v>
      </c>
      <c r="D1680" t="str">
        <f t="shared" si="26"/>
        <v>August</v>
      </c>
      <c r="E1680" t="s">
        <v>52</v>
      </c>
      <c r="F1680" t="s">
        <v>53</v>
      </c>
      <c r="G1680" t="s">
        <v>105</v>
      </c>
      <c r="H1680" t="s">
        <v>19</v>
      </c>
      <c r="I1680" t="s">
        <v>34</v>
      </c>
      <c r="J1680" t="s">
        <v>46</v>
      </c>
      <c r="K1680">
        <v>1</v>
      </c>
      <c r="L1680">
        <v>32389.94</v>
      </c>
      <c r="M1680">
        <v>15</v>
      </c>
      <c r="N1680">
        <v>27531.45</v>
      </c>
      <c r="O1680" t="s">
        <v>22</v>
      </c>
    </row>
    <row r="1681" spans="1:15" x14ac:dyDescent="0.3">
      <c r="A1681" t="s">
        <v>1749</v>
      </c>
      <c r="B1681" s="2">
        <v>46971</v>
      </c>
      <c r="C1681" t="s">
        <v>58</v>
      </c>
      <c r="D1681" t="str">
        <f t="shared" si="26"/>
        <v>August</v>
      </c>
      <c r="E1681" t="s">
        <v>24</v>
      </c>
      <c r="F1681" t="s">
        <v>25</v>
      </c>
      <c r="G1681" t="s">
        <v>81</v>
      </c>
      <c r="H1681" t="s">
        <v>33</v>
      </c>
      <c r="I1681" t="s">
        <v>34</v>
      </c>
      <c r="J1681" t="s">
        <v>46</v>
      </c>
      <c r="K1681">
        <v>5</v>
      </c>
      <c r="L1681">
        <v>3100.8</v>
      </c>
      <c r="M1681">
        <v>15</v>
      </c>
      <c r="N1681">
        <v>13178.39</v>
      </c>
      <c r="O1681" t="s">
        <v>47</v>
      </c>
    </row>
    <row r="1682" spans="1:15" x14ac:dyDescent="0.3">
      <c r="A1682" t="s">
        <v>1750</v>
      </c>
      <c r="B1682" s="2">
        <v>46972</v>
      </c>
      <c r="C1682" t="s">
        <v>58</v>
      </c>
      <c r="D1682" t="str">
        <f t="shared" si="26"/>
        <v>August</v>
      </c>
      <c r="E1682" t="s">
        <v>100</v>
      </c>
      <c r="F1682" t="s">
        <v>17</v>
      </c>
      <c r="G1682" t="s">
        <v>63</v>
      </c>
      <c r="H1682" t="s">
        <v>27</v>
      </c>
      <c r="I1682" t="s">
        <v>42</v>
      </c>
      <c r="J1682" t="s">
        <v>46</v>
      </c>
      <c r="K1682">
        <v>1</v>
      </c>
      <c r="L1682">
        <v>47398.37</v>
      </c>
      <c r="M1682">
        <v>20</v>
      </c>
      <c r="N1682">
        <v>37918.699999999997</v>
      </c>
      <c r="O1682" t="s">
        <v>22</v>
      </c>
    </row>
    <row r="1683" spans="1:15" x14ac:dyDescent="0.3">
      <c r="A1683" t="s">
        <v>1751</v>
      </c>
      <c r="B1683" s="2">
        <v>46973</v>
      </c>
      <c r="C1683" t="s">
        <v>31</v>
      </c>
      <c r="D1683" t="str">
        <f t="shared" si="26"/>
        <v>August</v>
      </c>
      <c r="E1683" t="s">
        <v>50</v>
      </c>
      <c r="F1683" t="s">
        <v>53</v>
      </c>
      <c r="G1683" t="s">
        <v>54</v>
      </c>
      <c r="H1683" t="s">
        <v>27</v>
      </c>
      <c r="I1683" t="s">
        <v>34</v>
      </c>
      <c r="J1683" t="s">
        <v>28</v>
      </c>
      <c r="K1683">
        <v>2</v>
      </c>
      <c r="L1683">
        <v>31115.25</v>
      </c>
      <c r="M1683">
        <v>15</v>
      </c>
      <c r="N1683">
        <v>52895.92</v>
      </c>
      <c r="O1683" t="s">
        <v>47</v>
      </c>
    </row>
    <row r="1684" spans="1:15" x14ac:dyDescent="0.3">
      <c r="A1684" t="s">
        <v>1752</v>
      </c>
      <c r="B1684" s="2">
        <v>46974</v>
      </c>
      <c r="C1684" t="s">
        <v>38</v>
      </c>
      <c r="D1684" t="str">
        <f t="shared" si="26"/>
        <v>August</v>
      </c>
      <c r="E1684" t="s">
        <v>72</v>
      </c>
      <c r="F1684" t="s">
        <v>25</v>
      </c>
      <c r="G1684" t="s">
        <v>56</v>
      </c>
      <c r="H1684" t="s">
        <v>45</v>
      </c>
      <c r="I1684" t="s">
        <v>42</v>
      </c>
      <c r="J1684" t="s">
        <v>43</v>
      </c>
      <c r="K1684">
        <v>5</v>
      </c>
      <c r="L1684">
        <v>2926.94</v>
      </c>
      <c r="M1684">
        <v>20</v>
      </c>
      <c r="N1684">
        <v>11707.76</v>
      </c>
      <c r="O1684" t="s">
        <v>47</v>
      </c>
    </row>
    <row r="1685" spans="1:15" x14ac:dyDescent="0.3">
      <c r="A1685" t="s">
        <v>1753</v>
      </c>
      <c r="B1685" s="2">
        <v>46975</v>
      </c>
      <c r="C1685" t="s">
        <v>15</v>
      </c>
      <c r="D1685" t="str">
        <f t="shared" si="26"/>
        <v>August</v>
      </c>
      <c r="E1685" t="s">
        <v>32</v>
      </c>
      <c r="F1685" t="s">
        <v>40</v>
      </c>
      <c r="G1685" t="s">
        <v>115</v>
      </c>
      <c r="H1685" t="s">
        <v>19</v>
      </c>
      <c r="I1685" t="s">
        <v>34</v>
      </c>
      <c r="J1685" t="s">
        <v>21</v>
      </c>
      <c r="K1685">
        <v>3</v>
      </c>
      <c r="L1685">
        <v>5445.93</v>
      </c>
      <c r="M1685">
        <v>5</v>
      </c>
      <c r="N1685">
        <v>15520.9</v>
      </c>
      <c r="O1685" t="s">
        <v>47</v>
      </c>
    </row>
    <row r="1686" spans="1:15" x14ac:dyDescent="0.3">
      <c r="A1686" t="s">
        <v>1754</v>
      </c>
      <c r="B1686" s="2">
        <v>46976</v>
      </c>
      <c r="C1686" t="s">
        <v>31</v>
      </c>
      <c r="D1686" t="str">
        <f t="shared" si="26"/>
        <v>August</v>
      </c>
      <c r="E1686" t="s">
        <v>24</v>
      </c>
      <c r="F1686" t="s">
        <v>17</v>
      </c>
      <c r="G1686" t="s">
        <v>63</v>
      </c>
      <c r="H1686" t="s">
        <v>19</v>
      </c>
      <c r="I1686" t="s">
        <v>20</v>
      </c>
      <c r="J1686" t="s">
        <v>43</v>
      </c>
      <c r="K1686">
        <v>5</v>
      </c>
      <c r="L1686">
        <v>49571.45</v>
      </c>
      <c r="M1686">
        <v>15</v>
      </c>
      <c r="N1686">
        <v>210678.67</v>
      </c>
      <c r="O1686" t="s">
        <v>47</v>
      </c>
    </row>
    <row r="1687" spans="1:15" x14ac:dyDescent="0.3">
      <c r="A1687" t="s">
        <v>1755</v>
      </c>
      <c r="B1687" s="2">
        <v>46977</v>
      </c>
      <c r="C1687" t="s">
        <v>49</v>
      </c>
      <c r="D1687" t="str">
        <f t="shared" si="26"/>
        <v>August</v>
      </c>
      <c r="E1687" t="s">
        <v>32</v>
      </c>
      <c r="F1687" t="s">
        <v>25</v>
      </c>
      <c r="G1687" t="s">
        <v>92</v>
      </c>
      <c r="H1687" t="s">
        <v>33</v>
      </c>
      <c r="I1687" t="s">
        <v>20</v>
      </c>
      <c r="J1687" t="s">
        <v>35</v>
      </c>
      <c r="K1687">
        <v>2</v>
      </c>
      <c r="L1687">
        <v>2281.0100000000002</v>
      </c>
      <c r="M1687">
        <v>0</v>
      </c>
      <c r="N1687">
        <v>4562.0200000000004</v>
      </c>
      <c r="O1687" t="s">
        <v>22</v>
      </c>
    </row>
    <row r="1688" spans="1:15" x14ac:dyDescent="0.3">
      <c r="A1688" t="s">
        <v>1756</v>
      </c>
      <c r="B1688" s="2">
        <v>46978</v>
      </c>
      <c r="C1688" t="s">
        <v>38</v>
      </c>
      <c r="D1688" t="str">
        <f t="shared" si="26"/>
        <v>August</v>
      </c>
      <c r="E1688" t="s">
        <v>69</v>
      </c>
      <c r="F1688" t="s">
        <v>25</v>
      </c>
      <c r="G1688" t="s">
        <v>56</v>
      </c>
      <c r="H1688" t="s">
        <v>19</v>
      </c>
      <c r="I1688" t="s">
        <v>42</v>
      </c>
      <c r="J1688" t="s">
        <v>46</v>
      </c>
      <c r="K1688">
        <v>1</v>
      </c>
      <c r="L1688">
        <v>2871.92</v>
      </c>
      <c r="M1688">
        <v>5</v>
      </c>
      <c r="N1688">
        <v>2728.32</v>
      </c>
      <c r="O1688" t="s">
        <v>22</v>
      </c>
    </row>
    <row r="1689" spans="1:15" x14ac:dyDescent="0.3">
      <c r="A1689" t="s">
        <v>1757</v>
      </c>
      <c r="B1689" s="2">
        <v>46979</v>
      </c>
      <c r="C1689" t="s">
        <v>38</v>
      </c>
      <c r="D1689" t="str">
        <f t="shared" si="26"/>
        <v>August</v>
      </c>
      <c r="E1689" t="s">
        <v>24</v>
      </c>
      <c r="F1689" t="s">
        <v>40</v>
      </c>
      <c r="G1689" t="s">
        <v>75</v>
      </c>
      <c r="H1689" t="s">
        <v>27</v>
      </c>
      <c r="I1689" t="s">
        <v>20</v>
      </c>
      <c r="J1689" t="s">
        <v>35</v>
      </c>
      <c r="K1689">
        <v>5</v>
      </c>
      <c r="L1689">
        <v>5527.81</v>
      </c>
      <c r="M1689">
        <v>0</v>
      </c>
      <c r="N1689">
        <v>27639.040000000001</v>
      </c>
      <c r="O1689" t="s">
        <v>47</v>
      </c>
    </row>
    <row r="1690" spans="1:15" x14ac:dyDescent="0.3">
      <c r="A1690" t="s">
        <v>1758</v>
      </c>
      <c r="B1690" s="2">
        <v>46980</v>
      </c>
      <c r="C1690" t="s">
        <v>31</v>
      </c>
      <c r="D1690" t="str">
        <f t="shared" si="26"/>
        <v>August</v>
      </c>
      <c r="E1690" t="s">
        <v>50</v>
      </c>
      <c r="F1690" t="s">
        <v>60</v>
      </c>
      <c r="G1690" t="s">
        <v>73</v>
      </c>
      <c r="H1690" t="s">
        <v>27</v>
      </c>
      <c r="I1690" t="s">
        <v>42</v>
      </c>
      <c r="J1690" t="s">
        <v>28</v>
      </c>
      <c r="K1690">
        <v>4</v>
      </c>
      <c r="L1690">
        <v>41734.49</v>
      </c>
      <c r="M1690">
        <v>5</v>
      </c>
      <c r="N1690">
        <v>158591.04000000001</v>
      </c>
      <c r="O1690" t="s">
        <v>47</v>
      </c>
    </row>
    <row r="1691" spans="1:15" x14ac:dyDescent="0.3">
      <c r="A1691" t="s">
        <v>1759</v>
      </c>
      <c r="B1691" s="2">
        <v>46981</v>
      </c>
      <c r="C1691" t="s">
        <v>38</v>
      </c>
      <c r="D1691" t="str">
        <f t="shared" si="26"/>
        <v>August</v>
      </c>
      <c r="E1691" t="s">
        <v>16</v>
      </c>
      <c r="F1691" t="s">
        <v>17</v>
      </c>
      <c r="G1691" t="s">
        <v>123</v>
      </c>
      <c r="H1691" t="s">
        <v>19</v>
      </c>
      <c r="I1691" t="s">
        <v>34</v>
      </c>
      <c r="J1691" t="s">
        <v>43</v>
      </c>
      <c r="K1691">
        <v>1</v>
      </c>
      <c r="L1691">
        <v>56227.86</v>
      </c>
      <c r="M1691">
        <v>0</v>
      </c>
      <c r="N1691">
        <v>56227.86</v>
      </c>
      <c r="O1691" t="s">
        <v>22</v>
      </c>
    </row>
    <row r="1692" spans="1:15" x14ac:dyDescent="0.3">
      <c r="A1692" t="s">
        <v>1760</v>
      </c>
      <c r="B1692" s="2">
        <v>46982</v>
      </c>
      <c r="C1692" t="s">
        <v>58</v>
      </c>
      <c r="D1692" t="str">
        <f t="shared" si="26"/>
        <v>August</v>
      </c>
      <c r="E1692" t="s">
        <v>24</v>
      </c>
      <c r="F1692" t="s">
        <v>60</v>
      </c>
      <c r="G1692" t="s">
        <v>70</v>
      </c>
      <c r="H1692" t="s">
        <v>33</v>
      </c>
      <c r="I1692" t="s">
        <v>42</v>
      </c>
      <c r="J1692" t="s">
        <v>28</v>
      </c>
      <c r="K1692">
        <v>1</v>
      </c>
      <c r="L1692">
        <v>45096.25</v>
      </c>
      <c r="M1692">
        <v>20</v>
      </c>
      <c r="N1692">
        <v>36077</v>
      </c>
      <c r="O1692" t="s">
        <v>29</v>
      </c>
    </row>
    <row r="1693" spans="1:15" x14ac:dyDescent="0.3">
      <c r="A1693" t="s">
        <v>1761</v>
      </c>
      <c r="B1693" s="2">
        <v>46983</v>
      </c>
      <c r="C1693" t="s">
        <v>58</v>
      </c>
      <c r="D1693" t="str">
        <f t="shared" si="26"/>
        <v>August</v>
      </c>
      <c r="E1693" t="s">
        <v>50</v>
      </c>
      <c r="F1693" t="s">
        <v>53</v>
      </c>
      <c r="G1693" t="s">
        <v>65</v>
      </c>
      <c r="H1693" t="s">
        <v>33</v>
      </c>
      <c r="I1693" t="s">
        <v>42</v>
      </c>
      <c r="J1693" t="s">
        <v>28</v>
      </c>
      <c r="K1693">
        <v>2</v>
      </c>
      <c r="L1693">
        <v>34354.78</v>
      </c>
      <c r="M1693">
        <v>10</v>
      </c>
      <c r="N1693">
        <v>61838.6</v>
      </c>
      <c r="O1693" t="s">
        <v>47</v>
      </c>
    </row>
    <row r="1694" spans="1:15" x14ac:dyDescent="0.3">
      <c r="A1694" t="s">
        <v>1762</v>
      </c>
      <c r="B1694" s="2">
        <v>46984</v>
      </c>
      <c r="C1694" t="s">
        <v>49</v>
      </c>
      <c r="D1694" t="str">
        <f t="shared" si="26"/>
        <v>August</v>
      </c>
      <c r="E1694" t="s">
        <v>77</v>
      </c>
      <c r="F1694" t="s">
        <v>40</v>
      </c>
      <c r="G1694" t="s">
        <v>118</v>
      </c>
      <c r="H1694" t="s">
        <v>19</v>
      </c>
      <c r="I1694" t="s">
        <v>20</v>
      </c>
      <c r="J1694" t="s">
        <v>21</v>
      </c>
      <c r="K1694">
        <v>1</v>
      </c>
      <c r="L1694">
        <v>5498.53</v>
      </c>
      <c r="M1694">
        <v>10</v>
      </c>
      <c r="N1694">
        <v>4948.68</v>
      </c>
      <c r="O1694" t="s">
        <v>22</v>
      </c>
    </row>
    <row r="1695" spans="1:15" x14ac:dyDescent="0.3">
      <c r="A1695" t="s">
        <v>1763</v>
      </c>
      <c r="B1695" s="2">
        <v>46985</v>
      </c>
      <c r="C1695" t="s">
        <v>58</v>
      </c>
      <c r="D1695" t="str">
        <f t="shared" si="26"/>
        <v>August</v>
      </c>
      <c r="E1695" t="s">
        <v>72</v>
      </c>
      <c r="F1695" t="s">
        <v>60</v>
      </c>
      <c r="G1695" t="s">
        <v>61</v>
      </c>
      <c r="H1695" t="s">
        <v>45</v>
      </c>
      <c r="I1695" t="s">
        <v>20</v>
      </c>
      <c r="J1695" t="s">
        <v>28</v>
      </c>
      <c r="K1695">
        <v>4</v>
      </c>
      <c r="L1695">
        <v>43709.64</v>
      </c>
      <c r="M1695">
        <v>5</v>
      </c>
      <c r="N1695">
        <v>166096.63</v>
      </c>
      <c r="O1695" t="s">
        <v>36</v>
      </c>
    </row>
    <row r="1696" spans="1:15" x14ac:dyDescent="0.3">
      <c r="A1696" t="s">
        <v>1764</v>
      </c>
      <c r="B1696" s="2">
        <v>46986</v>
      </c>
      <c r="C1696" t="s">
        <v>58</v>
      </c>
      <c r="D1696" t="str">
        <f t="shared" si="26"/>
        <v>August</v>
      </c>
      <c r="E1696" t="s">
        <v>50</v>
      </c>
      <c r="F1696" t="s">
        <v>60</v>
      </c>
      <c r="G1696" t="s">
        <v>61</v>
      </c>
      <c r="H1696" t="s">
        <v>45</v>
      </c>
      <c r="I1696" t="s">
        <v>42</v>
      </c>
      <c r="J1696" t="s">
        <v>46</v>
      </c>
      <c r="K1696">
        <v>4</v>
      </c>
      <c r="L1696">
        <v>34446.57</v>
      </c>
      <c r="M1696">
        <v>15</v>
      </c>
      <c r="N1696">
        <v>117118.33</v>
      </c>
      <c r="O1696" t="s">
        <v>36</v>
      </c>
    </row>
    <row r="1697" spans="1:15" x14ac:dyDescent="0.3">
      <c r="A1697" t="s">
        <v>1765</v>
      </c>
      <c r="B1697" s="2">
        <v>46987</v>
      </c>
      <c r="C1697" t="s">
        <v>38</v>
      </c>
      <c r="D1697" t="str">
        <f t="shared" si="26"/>
        <v>August</v>
      </c>
      <c r="E1697" t="s">
        <v>24</v>
      </c>
      <c r="F1697" t="s">
        <v>25</v>
      </c>
      <c r="G1697" t="s">
        <v>81</v>
      </c>
      <c r="H1697" t="s">
        <v>19</v>
      </c>
      <c r="I1697" t="s">
        <v>42</v>
      </c>
      <c r="J1697" t="s">
        <v>28</v>
      </c>
      <c r="K1697">
        <v>1</v>
      </c>
      <c r="L1697">
        <v>2081.96</v>
      </c>
      <c r="M1697">
        <v>0</v>
      </c>
      <c r="N1697">
        <v>2081.96</v>
      </c>
      <c r="O1697" t="s">
        <v>47</v>
      </c>
    </row>
    <row r="1698" spans="1:15" x14ac:dyDescent="0.3">
      <c r="A1698" t="s">
        <v>1766</v>
      </c>
      <c r="B1698" s="2">
        <v>46988</v>
      </c>
      <c r="C1698" t="s">
        <v>58</v>
      </c>
      <c r="D1698" t="str">
        <f t="shared" si="26"/>
        <v>August</v>
      </c>
      <c r="E1698" t="s">
        <v>77</v>
      </c>
      <c r="F1698" t="s">
        <v>25</v>
      </c>
      <c r="G1698" t="s">
        <v>81</v>
      </c>
      <c r="H1698" t="s">
        <v>33</v>
      </c>
      <c r="I1698" t="s">
        <v>42</v>
      </c>
      <c r="J1698" t="s">
        <v>43</v>
      </c>
      <c r="K1698">
        <v>3</v>
      </c>
      <c r="L1698">
        <v>2693.28</v>
      </c>
      <c r="M1698">
        <v>5</v>
      </c>
      <c r="N1698">
        <v>7675.83</v>
      </c>
      <c r="O1698" t="s">
        <v>29</v>
      </c>
    </row>
    <row r="1699" spans="1:15" x14ac:dyDescent="0.3">
      <c r="A1699" t="s">
        <v>1767</v>
      </c>
      <c r="B1699" s="2">
        <v>46989</v>
      </c>
      <c r="C1699" t="s">
        <v>58</v>
      </c>
      <c r="D1699" t="str">
        <f t="shared" si="26"/>
        <v>August</v>
      </c>
      <c r="E1699" t="s">
        <v>72</v>
      </c>
      <c r="F1699" t="s">
        <v>17</v>
      </c>
      <c r="G1699" t="s">
        <v>123</v>
      </c>
      <c r="H1699" t="s">
        <v>19</v>
      </c>
      <c r="I1699" t="s">
        <v>42</v>
      </c>
      <c r="J1699" t="s">
        <v>21</v>
      </c>
      <c r="K1699">
        <v>3</v>
      </c>
      <c r="L1699">
        <v>59196.99</v>
      </c>
      <c r="M1699">
        <v>20</v>
      </c>
      <c r="N1699">
        <v>142072.76999999999</v>
      </c>
      <c r="O1699" t="s">
        <v>47</v>
      </c>
    </row>
    <row r="1700" spans="1:15" x14ac:dyDescent="0.3">
      <c r="A1700" t="s">
        <v>1768</v>
      </c>
      <c r="B1700" s="2">
        <v>46990</v>
      </c>
      <c r="C1700" t="s">
        <v>49</v>
      </c>
      <c r="D1700" t="str">
        <f t="shared" si="26"/>
        <v>August</v>
      </c>
      <c r="E1700" t="s">
        <v>24</v>
      </c>
      <c r="F1700" t="s">
        <v>60</v>
      </c>
      <c r="G1700" t="s">
        <v>61</v>
      </c>
      <c r="H1700" t="s">
        <v>19</v>
      </c>
      <c r="I1700" t="s">
        <v>42</v>
      </c>
      <c r="J1700" t="s">
        <v>46</v>
      </c>
      <c r="K1700">
        <v>4</v>
      </c>
      <c r="L1700">
        <v>47647.64</v>
      </c>
      <c r="M1700">
        <v>15</v>
      </c>
      <c r="N1700">
        <v>162001.98000000001</v>
      </c>
      <c r="O1700" t="s">
        <v>36</v>
      </c>
    </row>
    <row r="1701" spans="1:15" x14ac:dyDescent="0.3">
      <c r="A1701" t="s">
        <v>1769</v>
      </c>
      <c r="B1701" s="2">
        <v>46991</v>
      </c>
      <c r="C1701" t="s">
        <v>49</v>
      </c>
      <c r="D1701" t="str">
        <f t="shared" si="26"/>
        <v>August</v>
      </c>
      <c r="E1701" t="s">
        <v>16</v>
      </c>
      <c r="F1701" t="s">
        <v>17</v>
      </c>
      <c r="G1701" t="s">
        <v>123</v>
      </c>
      <c r="H1701" t="s">
        <v>19</v>
      </c>
      <c r="I1701" t="s">
        <v>42</v>
      </c>
      <c r="J1701" t="s">
        <v>46</v>
      </c>
      <c r="K1701">
        <v>2</v>
      </c>
      <c r="L1701">
        <v>66844.53</v>
      </c>
      <c r="M1701">
        <v>10</v>
      </c>
      <c r="N1701">
        <v>120320.16</v>
      </c>
      <c r="O1701" t="s">
        <v>47</v>
      </c>
    </row>
    <row r="1702" spans="1:15" x14ac:dyDescent="0.3">
      <c r="A1702" t="s">
        <v>1770</v>
      </c>
      <c r="B1702" s="2">
        <v>46992</v>
      </c>
      <c r="C1702" t="s">
        <v>15</v>
      </c>
      <c r="D1702" t="str">
        <f t="shared" si="26"/>
        <v>August</v>
      </c>
      <c r="E1702" t="s">
        <v>50</v>
      </c>
      <c r="F1702" t="s">
        <v>17</v>
      </c>
      <c r="G1702" t="s">
        <v>63</v>
      </c>
      <c r="H1702" t="s">
        <v>45</v>
      </c>
      <c r="I1702" t="s">
        <v>34</v>
      </c>
      <c r="J1702" t="s">
        <v>21</v>
      </c>
      <c r="K1702">
        <v>5</v>
      </c>
      <c r="L1702">
        <v>65580.33</v>
      </c>
      <c r="M1702">
        <v>10</v>
      </c>
      <c r="N1702">
        <v>295111.51</v>
      </c>
      <c r="O1702" t="s">
        <v>47</v>
      </c>
    </row>
    <row r="1703" spans="1:15" x14ac:dyDescent="0.3">
      <c r="A1703" t="s">
        <v>1771</v>
      </c>
      <c r="B1703" s="2">
        <v>46993</v>
      </c>
      <c r="C1703" t="s">
        <v>38</v>
      </c>
      <c r="D1703" t="str">
        <f t="shared" si="26"/>
        <v>August</v>
      </c>
      <c r="E1703" t="s">
        <v>100</v>
      </c>
      <c r="F1703" t="s">
        <v>53</v>
      </c>
      <c r="G1703" t="s">
        <v>65</v>
      </c>
      <c r="H1703" t="s">
        <v>45</v>
      </c>
      <c r="I1703" t="s">
        <v>34</v>
      </c>
      <c r="J1703" t="s">
        <v>46</v>
      </c>
      <c r="K1703">
        <v>2</v>
      </c>
      <c r="L1703">
        <v>24269.63</v>
      </c>
      <c r="M1703">
        <v>0</v>
      </c>
      <c r="N1703">
        <v>48539.25</v>
      </c>
      <c r="O1703" t="s">
        <v>22</v>
      </c>
    </row>
    <row r="1704" spans="1:15" x14ac:dyDescent="0.3">
      <c r="A1704" t="s">
        <v>1772</v>
      </c>
      <c r="B1704" s="2">
        <v>46994</v>
      </c>
      <c r="C1704" t="s">
        <v>15</v>
      </c>
      <c r="D1704" t="str">
        <f t="shared" si="26"/>
        <v>August</v>
      </c>
      <c r="E1704" t="s">
        <v>16</v>
      </c>
      <c r="F1704" t="s">
        <v>17</v>
      </c>
      <c r="G1704" t="s">
        <v>123</v>
      </c>
      <c r="H1704" t="s">
        <v>19</v>
      </c>
      <c r="I1704" t="s">
        <v>34</v>
      </c>
      <c r="J1704" t="s">
        <v>35</v>
      </c>
      <c r="K1704">
        <v>1</v>
      </c>
      <c r="L1704">
        <v>51961.45</v>
      </c>
      <c r="M1704">
        <v>5</v>
      </c>
      <c r="N1704">
        <v>49363.38</v>
      </c>
      <c r="O1704" t="s">
        <v>47</v>
      </c>
    </row>
    <row r="1705" spans="1:15" x14ac:dyDescent="0.3">
      <c r="A1705" t="s">
        <v>1773</v>
      </c>
      <c r="B1705" s="2">
        <v>46995</v>
      </c>
      <c r="C1705" t="s">
        <v>38</v>
      </c>
      <c r="D1705" t="str">
        <f t="shared" si="26"/>
        <v>August</v>
      </c>
      <c r="E1705" t="s">
        <v>69</v>
      </c>
      <c r="F1705" t="s">
        <v>53</v>
      </c>
      <c r="G1705" t="s">
        <v>65</v>
      </c>
      <c r="H1705" t="s">
        <v>45</v>
      </c>
      <c r="I1705" t="s">
        <v>20</v>
      </c>
      <c r="J1705" t="s">
        <v>28</v>
      </c>
      <c r="K1705">
        <v>1</v>
      </c>
      <c r="L1705">
        <v>38591.74</v>
      </c>
      <c r="M1705">
        <v>15</v>
      </c>
      <c r="N1705">
        <v>32802.980000000003</v>
      </c>
      <c r="O1705" t="s">
        <v>47</v>
      </c>
    </row>
    <row r="1706" spans="1:15" x14ac:dyDescent="0.3">
      <c r="A1706" t="s">
        <v>1774</v>
      </c>
      <c r="B1706" s="2">
        <v>46996</v>
      </c>
      <c r="C1706" t="s">
        <v>58</v>
      </c>
      <c r="D1706" t="str">
        <f t="shared" si="26"/>
        <v>August</v>
      </c>
      <c r="E1706" t="s">
        <v>52</v>
      </c>
      <c r="F1706" t="s">
        <v>25</v>
      </c>
      <c r="G1706" t="s">
        <v>26</v>
      </c>
      <c r="H1706" t="s">
        <v>27</v>
      </c>
      <c r="I1706" t="s">
        <v>20</v>
      </c>
      <c r="J1706" t="s">
        <v>35</v>
      </c>
      <c r="K1706">
        <v>1</v>
      </c>
      <c r="L1706">
        <v>2532.84</v>
      </c>
      <c r="M1706">
        <v>0</v>
      </c>
      <c r="N1706">
        <v>2532.84</v>
      </c>
      <c r="O1706" t="s">
        <v>47</v>
      </c>
    </row>
    <row r="1707" spans="1:15" x14ac:dyDescent="0.3">
      <c r="A1707" t="s">
        <v>1775</v>
      </c>
      <c r="B1707" s="2">
        <v>46997</v>
      </c>
      <c r="C1707" t="s">
        <v>31</v>
      </c>
      <c r="D1707" t="str">
        <f t="shared" si="26"/>
        <v>September</v>
      </c>
      <c r="E1707" t="s">
        <v>100</v>
      </c>
      <c r="F1707" t="s">
        <v>17</v>
      </c>
      <c r="G1707" t="s">
        <v>18</v>
      </c>
      <c r="H1707" t="s">
        <v>45</v>
      </c>
      <c r="I1707" t="s">
        <v>34</v>
      </c>
      <c r="J1707" t="s">
        <v>46</v>
      </c>
      <c r="K1707">
        <v>3</v>
      </c>
      <c r="L1707">
        <v>53827.17</v>
      </c>
      <c r="M1707">
        <v>5</v>
      </c>
      <c r="N1707">
        <v>153407.43</v>
      </c>
      <c r="O1707" t="s">
        <v>47</v>
      </c>
    </row>
    <row r="1708" spans="1:15" x14ac:dyDescent="0.3">
      <c r="A1708" t="s">
        <v>1776</v>
      </c>
      <c r="B1708" s="2">
        <v>46998</v>
      </c>
      <c r="C1708" t="s">
        <v>15</v>
      </c>
      <c r="D1708" t="str">
        <f t="shared" si="26"/>
        <v>September</v>
      </c>
      <c r="E1708" t="s">
        <v>77</v>
      </c>
      <c r="F1708" t="s">
        <v>25</v>
      </c>
      <c r="G1708" t="s">
        <v>56</v>
      </c>
      <c r="H1708" t="s">
        <v>19</v>
      </c>
      <c r="I1708" t="s">
        <v>42</v>
      </c>
      <c r="J1708" t="s">
        <v>21</v>
      </c>
      <c r="K1708">
        <v>3</v>
      </c>
      <c r="L1708">
        <v>2455.56</v>
      </c>
      <c r="M1708">
        <v>10</v>
      </c>
      <c r="N1708">
        <v>6630</v>
      </c>
      <c r="O1708" t="s">
        <v>47</v>
      </c>
    </row>
    <row r="1709" spans="1:15" x14ac:dyDescent="0.3">
      <c r="A1709" t="s">
        <v>1777</v>
      </c>
      <c r="B1709" s="2">
        <v>46999</v>
      </c>
      <c r="C1709" t="s">
        <v>31</v>
      </c>
      <c r="D1709" t="str">
        <f t="shared" si="26"/>
        <v>September</v>
      </c>
      <c r="E1709" t="s">
        <v>69</v>
      </c>
      <c r="F1709" t="s">
        <v>25</v>
      </c>
      <c r="G1709" t="s">
        <v>81</v>
      </c>
      <c r="H1709" t="s">
        <v>45</v>
      </c>
      <c r="I1709" t="s">
        <v>34</v>
      </c>
      <c r="J1709" t="s">
        <v>21</v>
      </c>
      <c r="K1709">
        <v>1</v>
      </c>
      <c r="L1709">
        <v>2893.4</v>
      </c>
      <c r="M1709">
        <v>10</v>
      </c>
      <c r="N1709">
        <v>2604.06</v>
      </c>
      <c r="O1709" t="s">
        <v>29</v>
      </c>
    </row>
    <row r="1710" spans="1:15" x14ac:dyDescent="0.3">
      <c r="A1710" t="s">
        <v>1778</v>
      </c>
      <c r="B1710" s="2">
        <v>47000</v>
      </c>
      <c r="C1710" t="s">
        <v>38</v>
      </c>
      <c r="D1710" t="str">
        <f t="shared" si="26"/>
        <v>September</v>
      </c>
      <c r="E1710" t="s">
        <v>100</v>
      </c>
      <c r="F1710" t="s">
        <v>25</v>
      </c>
      <c r="G1710" t="s">
        <v>26</v>
      </c>
      <c r="H1710" t="s">
        <v>19</v>
      </c>
      <c r="I1710" t="s">
        <v>34</v>
      </c>
      <c r="J1710" t="s">
        <v>28</v>
      </c>
      <c r="K1710">
        <v>1</v>
      </c>
      <c r="L1710">
        <v>3037.6</v>
      </c>
      <c r="M1710">
        <v>5</v>
      </c>
      <c r="N1710">
        <v>2885.72</v>
      </c>
      <c r="O1710" t="s">
        <v>22</v>
      </c>
    </row>
    <row r="1711" spans="1:15" x14ac:dyDescent="0.3">
      <c r="A1711" t="s">
        <v>1779</v>
      </c>
      <c r="B1711" s="2">
        <v>47001</v>
      </c>
      <c r="C1711" t="s">
        <v>31</v>
      </c>
      <c r="D1711" t="str">
        <f t="shared" si="26"/>
        <v>September</v>
      </c>
      <c r="E1711" t="s">
        <v>69</v>
      </c>
      <c r="F1711" t="s">
        <v>53</v>
      </c>
      <c r="G1711" t="s">
        <v>65</v>
      </c>
      <c r="H1711" t="s">
        <v>45</v>
      </c>
      <c r="I1711" t="s">
        <v>34</v>
      </c>
      <c r="J1711" t="s">
        <v>35</v>
      </c>
      <c r="K1711">
        <v>4</v>
      </c>
      <c r="L1711">
        <v>28842.94</v>
      </c>
      <c r="M1711">
        <v>20</v>
      </c>
      <c r="N1711">
        <v>92297.42</v>
      </c>
      <c r="O1711" t="s">
        <v>47</v>
      </c>
    </row>
    <row r="1712" spans="1:15" x14ac:dyDescent="0.3">
      <c r="A1712" t="s">
        <v>1780</v>
      </c>
      <c r="B1712" s="2">
        <v>47002</v>
      </c>
      <c r="C1712" t="s">
        <v>58</v>
      </c>
      <c r="D1712" t="str">
        <f t="shared" si="26"/>
        <v>September</v>
      </c>
      <c r="E1712" t="s">
        <v>24</v>
      </c>
      <c r="F1712" t="s">
        <v>25</v>
      </c>
      <c r="G1712" t="s">
        <v>26</v>
      </c>
      <c r="H1712" t="s">
        <v>33</v>
      </c>
      <c r="I1712" t="s">
        <v>34</v>
      </c>
      <c r="J1712" t="s">
        <v>43</v>
      </c>
      <c r="K1712">
        <v>2</v>
      </c>
      <c r="L1712">
        <v>2945.42</v>
      </c>
      <c r="M1712">
        <v>15</v>
      </c>
      <c r="N1712">
        <v>5007.22</v>
      </c>
      <c r="O1712" t="s">
        <v>47</v>
      </c>
    </row>
    <row r="1713" spans="1:15" x14ac:dyDescent="0.3">
      <c r="A1713" t="s">
        <v>1781</v>
      </c>
      <c r="B1713" s="2">
        <v>47003</v>
      </c>
      <c r="C1713" t="s">
        <v>15</v>
      </c>
      <c r="D1713" t="str">
        <f t="shared" si="26"/>
        <v>September</v>
      </c>
      <c r="E1713" t="s">
        <v>100</v>
      </c>
      <c r="F1713" t="s">
        <v>25</v>
      </c>
      <c r="G1713" t="s">
        <v>26</v>
      </c>
      <c r="H1713" t="s">
        <v>27</v>
      </c>
      <c r="I1713" t="s">
        <v>20</v>
      </c>
      <c r="J1713" t="s">
        <v>35</v>
      </c>
      <c r="K1713">
        <v>2</v>
      </c>
      <c r="L1713">
        <v>2579.9299999999998</v>
      </c>
      <c r="M1713">
        <v>0</v>
      </c>
      <c r="N1713">
        <v>5159.8500000000004</v>
      </c>
      <c r="O1713" t="s">
        <v>22</v>
      </c>
    </row>
    <row r="1714" spans="1:15" x14ac:dyDescent="0.3">
      <c r="A1714" t="s">
        <v>1782</v>
      </c>
      <c r="B1714" s="2">
        <v>47004</v>
      </c>
      <c r="C1714" t="s">
        <v>15</v>
      </c>
      <c r="D1714" t="str">
        <f t="shared" si="26"/>
        <v>September</v>
      </c>
      <c r="E1714" t="s">
        <v>69</v>
      </c>
      <c r="F1714" t="s">
        <v>60</v>
      </c>
      <c r="G1714" t="s">
        <v>73</v>
      </c>
      <c r="H1714" t="s">
        <v>27</v>
      </c>
      <c r="I1714" t="s">
        <v>34</v>
      </c>
      <c r="J1714" t="s">
        <v>46</v>
      </c>
      <c r="K1714">
        <v>5</v>
      </c>
      <c r="L1714">
        <v>51159.839999999997</v>
      </c>
      <c r="M1714">
        <v>10</v>
      </c>
      <c r="N1714">
        <v>230219.28</v>
      </c>
      <c r="O1714" t="s">
        <v>47</v>
      </c>
    </row>
    <row r="1715" spans="1:15" x14ac:dyDescent="0.3">
      <c r="A1715" t="s">
        <v>1783</v>
      </c>
      <c r="B1715" s="2">
        <v>47005</v>
      </c>
      <c r="C1715" t="s">
        <v>31</v>
      </c>
      <c r="D1715" t="str">
        <f t="shared" si="26"/>
        <v>September</v>
      </c>
      <c r="E1715" t="s">
        <v>24</v>
      </c>
      <c r="F1715" t="s">
        <v>53</v>
      </c>
      <c r="G1715" t="s">
        <v>105</v>
      </c>
      <c r="H1715" t="s">
        <v>27</v>
      </c>
      <c r="I1715" t="s">
        <v>34</v>
      </c>
      <c r="J1715" t="s">
        <v>46</v>
      </c>
      <c r="K1715">
        <v>5</v>
      </c>
      <c r="L1715">
        <v>33525.81</v>
      </c>
      <c r="M1715">
        <v>5</v>
      </c>
      <c r="N1715">
        <v>159247.60999999999</v>
      </c>
      <c r="O1715" t="s">
        <v>47</v>
      </c>
    </row>
    <row r="1716" spans="1:15" x14ac:dyDescent="0.3">
      <c r="A1716" t="s">
        <v>1784</v>
      </c>
      <c r="B1716" s="2">
        <v>47006</v>
      </c>
      <c r="C1716" t="s">
        <v>15</v>
      </c>
      <c r="D1716" t="str">
        <f t="shared" si="26"/>
        <v>September</v>
      </c>
      <c r="E1716" t="s">
        <v>100</v>
      </c>
      <c r="F1716" t="s">
        <v>53</v>
      </c>
      <c r="G1716" t="s">
        <v>54</v>
      </c>
      <c r="H1716" t="s">
        <v>19</v>
      </c>
      <c r="I1716" t="s">
        <v>42</v>
      </c>
      <c r="J1716" t="s">
        <v>28</v>
      </c>
      <c r="K1716">
        <v>4</v>
      </c>
      <c r="L1716">
        <v>39526.910000000003</v>
      </c>
      <c r="M1716">
        <v>0</v>
      </c>
      <c r="N1716">
        <v>158107.63</v>
      </c>
      <c r="O1716" t="s">
        <v>29</v>
      </c>
    </row>
    <row r="1717" spans="1:15" x14ac:dyDescent="0.3">
      <c r="A1717" t="s">
        <v>1785</v>
      </c>
      <c r="B1717" s="2">
        <v>47007</v>
      </c>
      <c r="C1717" t="s">
        <v>15</v>
      </c>
      <c r="D1717" t="str">
        <f t="shared" si="26"/>
        <v>September</v>
      </c>
      <c r="E1717" t="s">
        <v>32</v>
      </c>
      <c r="F1717" t="s">
        <v>17</v>
      </c>
      <c r="G1717" t="s">
        <v>63</v>
      </c>
      <c r="H1717" t="s">
        <v>19</v>
      </c>
      <c r="I1717" t="s">
        <v>42</v>
      </c>
      <c r="J1717" t="s">
        <v>21</v>
      </c>
      <c r="K1717">
        <v>4</v>
      </c>
      <c r="L1717">
        <v>61821.64</v>
      </c>
      <c r="M1717">
        <v>10</v>
      </c>
      <c r="N1717">
        <v>222557.9</v>
      </c>
      <c r="O1717" t="s">
        <v>47</v>
      </c>
    </row>
    <row r="1718" spans="1:15" x14ac:dyDescent="0.3">
      <c r="A1718" t="s">
        <v>1786</v>
      </c>
      <c r="B1718" s="2">
        <v>47008</v>
      </c>
      <c r="C1718" t="s">
        <v>31</v>
      </c>
      <c r="D1718" t="str">
        <f t="shared" si="26"/>
        <v>September</v>
      </c>
      <c r="E1718" t="s">
        <v>32</v>
      </c>
      <c r="F1718" t="s">
        <v>40</v>
      </c>
      <c r="G1718" t="s">
        <v>41</v>
      </c>
      <c r="H1718" t="s">
        <v>45</v>
      </c>
      <c r="I1718" t="s">
        <v>42</v>
      </c>
      <c r="J1718" t="s">
        <v>43</v>
      </c>
      <c r="K1718">
        <v>3</v>
      </c>
      <c r="L1718">
        <v>5185.91</v>
      </c>
      <c r="M1718">
        <v>20</v>
      </c>
      <c r="N1718">
        <v>12446.19</v>
      </c>
      <c r="O1718" t="s">
        <v>22</v>
      </c>
    </row>
    <row r="1719" spans="1:15" x14ac:dyDescent="0.3">
      <c r="A1719" t="s">
        <v>1787</v>
      </c>
      <c r="B1719" s="2">
        <v>47009</v>
      </c>
      <c r="C1719" t="s">
        <v>38</v>
      </c>
      <c r="D1719" t="str">
        <f t="shared" si="26"/>
        <v>September</v>
      </c>
      <c r="E1719" t="s">
        <v>39</v>
      </c>
      <c r="F1719" t="s">
        <v>25</v>
      </c>
      <c r="G1719" t="s">
        <v>26</v>
      </c>
      <c r="H1719" t="s">
        <v>45</v>
      </c>
      <c r="I1719" t="s">
        <v>34</v>
      </c>
      <c r="J1719" t="s">
        <v>35</v>
      </c>
      <c r="K1719">
        <v>3</v>
      </c>
      <c r="L1719">
        <v>2138.5700000000002</v>
      </c>
      <c r="M1719">
        <v>5</v>
      </c>
      <c r="N1719">
        <v>6094.92</v>
      </c>
      <c r="O1719" t="s">
        <v>29</v>
      </c>
    </row>
    <row r="1720" spans="1:15" x14ac:dyDescent="0.3">
      <c r="A1720" t="s">
        <v>1788</v>
      </c>
      <c r="B1720" s="2">
        <v>47010</v>
      </c>
      <c r="C1720" t="s">
        <v>31</v>
      </c>
      <c r="D1720" t="str">
        <f t="shared" si="26"/>
        <v>September</v>
      </c>
      <c r="E1720" t="s">
        <v>16</v>
      </c>
      <c r="F1720" t="s">
        <v>25</v>
      </c>
      <c r="G1720" t="s">
        <v>26</v>
      </c>
      <c r="H1720" t="s">
        <v>45</v>
      </c>
      <c r="I1720" t="s">
        <v>34</v>
      </c>
      <c r="J1720" t="s">
        <v>46</v>
      </c>
      <c r="K1720">
        <v>4</v>
      </c>
      <c r="L1720">
        <v>2278.23</v>
      </c>
      <c r="M1720">
        <v>0</v>
      </c>
      <c r="N1720">
        <v>9112.9</v>
      </c>
      <c r="O1720" t="s">
        <v>47</v>
      </c>
    </row>
    <row r="1721" spans="1:15" x14ac:dyDescent="0.3">
      <c r="A1721" t="s">
        <v>1789</v>
      </c>
      <c r="B1721" s="2">
        <v>47011</v>
      </c>
      <c r="C1721" t="s">
        <v>38</v>
      </c>
      <c r="D1721" t="str">
        <f t="shared" si="26"/>
        <v>September</v>
      </c>
      <c r="E1721" t="s">
        <v>39</v>
      </c>
      <c r="F1721" t="s">
        <v>60</v>
      </c>
      <c r="G1721" t="s">
        <v>61</v>
      </c>
      <c r="H1721" t="s">
        <v>33</v>
      </c>
      <c r="I1721" t="s">
        <v>42</v>
      </c>
      <c r="J1721" t="s">
        <v>46</v>
      </c>
      <c r="K1721">
        <v>5</v>
      </c>
      <c r="L1721">
        <v>39277.300000000003</v>
      </c>
      <c r="M1721">
        <v>0</v>
      </c>
      <c r="N1721">
        <v>196386.5</v>
      </c>
      <c r="O1721" t="s">
        <v>29</v>
      </c>
    </row>
    <row r="1722" spans="1:15" x14ac:dyDescent="0.3">
      <c r="A1722" t="s">
        <v>1790</v>
      </c>
      <c r="B1722" s="2">
        <v>47012</v>
      </c>
      <c r="C1722" t="s">
        <v>49</v>
      </c>
      <c r="D1722" t="str">
        <f t="shared" si="26"/>
        <v>September</v>
      </c>
      <c r="E1722" t="s">
        <v>69</v>
      </c>
      <c r="F1722" t="s">
        <v>40</v>
      </c>
      <c r="G1722" t="s">
        <v>41</v>
      </c>
      <c r="H1722" t="s">
        <v>19</v>
      </c>
      <c r="I1722" t="s">
        <v>20</v>
      </c>
      <c r="J1722" t="s">
        <v>46</v>
      </c>
      <c r="K1722">
        <v>1</v>
      </c>
      <c r="L1722">
        <v>5247.29</v>
      </c>
      <c r="M1722">
        <v>5</v>
      </c>
      <c r="N1722">
        <v>4984.92</v>
      </c>
      <c r="O1722" t="s">
        <v>47</v>
      </c>
    </row>
    <row r="1723" spans="1:15" x14ac:dyDescent="0.3">
      <c r="A1723" t="s">
        <v>1791</v>
      </c>
      <c r="B1723" s="2">
        <v>47013</v>
      </c>
      <c r="C1723" t="s">
        <v>15</v>
      </c>
      <c r="D1723" t="str">
        <f t="shared" si="26"/>
        <v>September</v>
      </c>
      <c r="E1723" t="s">
        <v>72</v>
      </c>
      <c r="F1723" t="s">
        <v>40</v>
      </c>
      <c r="G1723" t="s">
        <v>41</v>
      </c>
      <c r="H1723" t="s">
        <v>27</v>
      </c>
      <c r="I1723" t="s">
        <v>42</v>
      </c>
      <c r="J1723" t="s">
        <v>28</v>
      </c>
      <c r="K1723">
        <v>2</v>
      </c>
      <c r="L1723">
        <v>6069.27</v>
      </c>
      <c r="M1723">
        <v>10</v>
      </c>
      <c r="N1723">
        <v>10924.68</v>
      </c>
      <c r="O1723" t="s">
        <v>22</v>
      </c>
    </row>
    <row r="1724" spans="1:15" x14ac:dyDescent="0.3">
      <c r="A1724" t="s">
        <v>1792</v>
      </c>
      <c r="B1724" s="2">
        <v>47014</v>
      </c>
      <c r="C1724" t="s">
        <v>58</v>
      </c>
      <c r="D1724" t="str">
        <f t="shared" si="26"/>
        <v>September</v>
      </c>
      <c r="E1724" t="s">
        <v>77</v>
      </c>
      <c r="F1724" t="s">
        <v>53</v>
      </c>
      <c r="G1724" t="s">
        <v>105</v>
      </c>
      <c r="H1724" t="s">
        <v>27</v>
      </c>
      <c r="I1724" t="s">
        <v>42</v>
      </c>
      <c r="J1724" t="s">
        <v>43</v>
      </c>
      <c r="K1724">
        <v>4</v>
      </c>
      <c r="L1724">
        <v>25068.66</v>
      </c>
      <c r="M1724">
        <v>5</v>
      </c>
      <c r="N1724">
        <v>95260.93</v>
      </c>
      <c r="O1724" t="s">
        <v>22</v>
      </c>
    </row>
    <row r="1725" spans="1:15" x14ac:dyDescent="0.3">
      <c r="A1725" t="s">
        <v>1793</v>
      </c>
      <c r="B1725" s="2">
        <v>47015</v>
      </c>
      <c r="C1725" t="s">
        <v>58</v>
      </c>
      <c r="D1725" t="str">
        <f t="shared" si="26"/>
        <v>September</v>
      </c>
      <c r="E1725" t="s">
        <v>16</v>
      </c>
      <c r="F1725" t="s">
        <v>17</v>
      </c>
      <c r="G1725" t="s">
        <v>63</v>
      </c>
      <c r="H1725" t="s">
        <v>27</v>
      </c>
      <c r="I1725" t="s">
        <v>34</v>
      </c>
      <c r="J1725" t="s">
        <v>43</v>
      </c>
      <c r="K1725">
        <v>1</v>
      </c>
      <c r="L1725">
        <v>44269.37</v>
      </c>
      <c r="M1725">
        <v>10</v>
      </c>
      <c r="N1725">
        <v>39842.44</v>
      </c>
      <c r="O1725" t="s">
        <v>47</v>
      </c>
    </row>
    <row r="1726" spans="1:15" x14ac:dyDescent="0.3">
      <c r="A1726" t="s">
        <v>1794</v>
      </c>
      <c r="B1726" s="2">
        <v>47016</v>
      </c>
      <c r="C1726" t="s">
        <v>31</v>
      </c>
      <c r="D1726" t="str">
        <f t="shared" si="26"/>
        <v>September</v>
      </c>
      <c r="E1726" t="s">
        <v>77</v>
      </c>
      <c r="F1726" t="s">
        <v>40</v>
      </c>
      <c r="G1726" t="s">
        <v>75</v>
      </c>
      <c r="H1726" t="s">
        <v>27</v>
      </c>
      <c r="I1726" t="s">
        <v>34</v>
      </c>
      <c r="J1726" t="s">
        <v>35</v>
      </c>
      <c r="K1726">
        <v>2</v>
      </c>
      <c r="L1726">
        <v>5697.22</v>
      </c>
      <c r="M1726">
        <v>5</v>
      </c>
      <c r="N1726">
        <v>10824.72</v>
      </c>
      <c r="O1726" t="s">
        <v>47</v>
      </c>
    </row>
    <row r="1727" spans="1:15" x14ac:dyDescent="0.3">
      <c r="A1727" t="s">
        <v>1795</v>
      </c>
      <c r="B1727" s="2">
        <v>47017</v>
      </c>
      <c r="C1727" t="s">
        <v>49</v>
      </c>
      <c r="D1727" t="str">
        <f t="shared" si="26"/>
        <v>September</v>
      </c>
      <c r="E1727" t="s">
        <v>77</v>
      </c>
      <c r="F1727" t="s">
        <v>40</v>
      </c>
      <c r="G1727" t="s">
        <v>118</v>
      </c>
      <c r="H1727" t="s">
        <v>19</v>
      </c>
      <c r="I1727" t="s">
        <v>34</v>
      </c>
      <c r="J1727" t="s">
        <v>46</v>
      </c>
      <c r="K1727">
        <v>2</v>
      </c>
      <c r="L1727">
        <v>5306.87</v>
      </c>
      <c r="M1727">
        <v>15</v>
      </c>
      <c r="N1727">
        <v>9021.67</v>
      </c>
      <c r="O1727" t="s">
        <v>22</v>
      </c>
    </row>
    <row r="1728" spans="1:15" x14ac:dyDescent="0.3">
      <c r="A1728" t="s">
        <v>1796</v>
      </c>
      <c r="B1728" s="2">
        <v>47018</v>
      </c>
      <c r="C1728" t="s">
        <v>58</v>
      </c>
      <c r="D1728" t="str">
        <f t="shared" si="26"/>
        <v>September</v>
      </c>
      <c r="E1728" t="s">
        <v>24</v>
      </c>
      <c r="F1728" t="s">
        <v>60</v>
      </c>
      <c r="G1728" t="s">
        <v>61</v>
      </c>
      <c r="H1728" t="s">
        <v>45</v>
      </c>
      <c r="I1728" t="s">
        <v>42</v>
      </c>
      <c r="J1728" t="s">
        <v>35</v>
      </c>
      <c r="K1728">
        <v>3</v>
      </c>
      <c r="L1728">
        <v>39716.379999999997</v>
      </c>
      <c r="M1728">
        <v>20</v>
      </c>
      <c r="N1728">
        <v>95319.31</v>
      </c>
      <c r="O1728" t="s">
        <v>47</v>
      </c>
    </row>
    <row r="1729" spans="1:15" x14ac:dyDescent="0.3">
      <c r="A1729" t="s">
        <v>1797</v>
      </c>
      <c r="B1729" s="2">
        <v>47019</v>
      </c>
      <c r="C1729" t="s">
        <v>15</v>
      </c>
      <c r="D1729" t="str">
        <f t="shared" si="26"/>
        <v>September</v>
      </c>
      <c r="E1729" t="s">
        <v>50</v>
      </c>
      <c r="F1729" t="s">
        <v>60</v>
      </c>
      <c r="G1729" t="s">
        <v>70</v>
      </c>
      <c r="H1729" t="s">
        <v>45</v>
      </c>
      <c r="I1729" t="s">
        <v>42</v>
      </c>
      <c r="J1729" t="s">
        <v>21</v>
      </c>
      <c r="K1729">
        <v>3</v>
      </c>
      <c r="L1729">
        <v>33126.559999999998</v>
      </c>
      <c r="M1729">
        <v>10</v>
      </c>
      <c r="N1729">
        <v>89441.73</v>
      </c>
      <c r="O1729" t="s">
        <v>47</v>
      </c>
    </row>
    <row r="1730" spans="1:15" x14ac:dyDescent="0.3">
      <c r="A1730" t="s">
        <v>1798</v>
      </c>
      <c r="B1730" s="2">
        <v>47020</v>
      </c>
      <c r="C1730" t="s">
        <v>31</v>
      </c>
      <c r="D1730" t="str">
        <f t="shared" si="26"/>
        <v>September</v>
      </c>
      <c r="E1730" t="s">
        <v>77</v>
      </c>
      <c r="F1730" t="s">
        <v>17</v>
      </c>
      <c r="G1730" t="s">
        <v>18</v>
      </c>
      <c r="H1730" t="s">
        <v>45</v>
      </c>
      <c r="I1730" t="s">
        <v>34</v>
      </c>
      <c r="J1730" t="s">
        <v>35</v>
      </c>
      <c r="K1730">
        <v>5</v>
      </c>
      <c r="L1730">
        <v>52339.360000000001</v>
      </c>
      <c r="M1730">
        <v>10</v>
      </c>
      <c r="N1730">
        <v>235527.12</v>
      </c>
      <c r="O1730" t="s">
        <v>47</v>
      </c>
    </row>
    <row r="1731" spans="1:15" x14ac:dyDescent="0.3">
      <c r="A1731" t="s">
        <v>1799</v>
      </c>
      <c r="B1731" s="2">
        <v>47021</v>
      </c>
      <c r="C1731" t="s">
        <v>31</v>
      </c>
      <c r="D1731" t="str">
        <f t="shared" ref="D1731:D1794" si="27">TEXT(B1731,"mmmm")</f>
        <v>September</v>
      </c>
      <c r="E1731" t="s">
        <v>69</v>
      </c>
      <c r="F1731" t="s">
        <v>53</v>
      </c>
      <c r="G1731" t="s">
        <v>54</v>
      </c>
      <c r="H1731" t="s">
        <v>27</v>
      </c>
      <c r="I1731" t="s">
        <v>34</v>
      </c>
      <c r="J1731" t="s">
        <v>46</v>
      </c>
      <c r="K1731">
        <v>2</v>
      </c>
      <c r="L1731">
        <v>34454.17</v>
      </c>
      <c r="M1731">
        <v>10</v>
      </c>
      <c r="N1731">
        <v>62017.51</v>
      </c>
      <c r="O1731" t="s">
        <v>29</v>
      </c>
    </row>
    <row r="1732" spans="1:15" x14ac:dyDescent="0.3">
      <c r="A1732" t="s">
        <v>1800</v>
      </c>
      <c r="B1732" s="2">
        <v>47022</v>
      </c>
      <c r="C1732" t="s">
        <v>38</v>
      </c>
      <c r="D1732" t="str">
        <f t="shared" si="27"/>
        <v>September</v>
      </c>
      <c r="E1732" t="s">
        <v>77</v>
      </c>
      <c r="F1732" t="s">
        <v>60</v>
      </c>
      <c r="G1732" t="s">
        <v>70</v>
      </c>
      <c r="H1732" t="s">
        <v>19</v>
      </c>
      <c r="I1732" t="s">
        <v>20</v>
      </c>
      <c r="J1732" t="s">
        <v>35</v>
      </c>
      <c r="K1732">
        <v>3</v>
      </c>
      <c r="L1732">
        <v>43399.839999999997</v>
      </c>
      <c r="M1732">
        <v>5</v>
      </c>
      <c r="N1732">
        <v>123689.54</v>
      </c>
      <c r="O1732" t="s">
        <v>36</v>
      </c>
    </row>
    <row r="1733" spans="1:15" x14ac:dyDescent="0.3">
      <c r="A1733" t="s">
        <v>1801</v>
      </c>
      <c r="B1733" s="2">
        <v>47023</v>
      </c>
      <c r="C1733" t="s">
        <v>58</v>
      </c>
      <c r="D1733" t="str">
        <f t="shared" si="27"/>
        <v>September</v>
      </c>
      <c r="E1733" t="s">
        <v>32</v>
      </c>
      <c r="F1733" t="s">
        <v>53</v>
      </c>
      <c r="G1733" t="s">
        <v>129</v>
      </c>
      <c r="H1733" t="s">
        <v>33</v>
      </c>
      <c r="I1733" t="s">
        <v>42</v>
      </c>
      <c r="J1733" t="s">
        <v>28</v>
      </c>
      <c r="K1733">
        <v>3</v>
      </c>
      <c r="L1733">
        <v>24373.77</v>
      </c>
      <c r="M1733">
        <v>5</v>
      </c>
      <c r="N1733">
        <v>69465.240000000005</v>
      </c>
      <c r="O1733" t="s">
        <v>47</v>
      </c>
    </row>
    <row r="1734" spans="1:15" x14ac:dyDescent="0.3">
      <c r="A1734" t="s">
        <v>1802</v>
      </c>
      <c r="B1734" s="2">
        <v>47024</v>
      </c>
      <c r="C1734" t="s">
        <v>58</v>
      </c>
      <c r="D1734" t="str">
        <f t="shared" si="27"/>
        <v>September</v>
      </c>
      <c r="E1734" t="s">
        <v>52</v>
      </c>
      <c r="F1734" t="s">
        <v>53</v>
      </c>
      <c r="G1734" t="s">
        <v>105</v>
      </c>
      <c r="H1734" t="s">
        <v>33</v>
      </c>
      <c r="I1734" t="s">
        <v>34</v>
      </c>
      <c r="J1734" t="s">
        <v>35</v>
      </c>
      <c r="K1734">
        <v>5</v>
      </c>
      <c r="L1734">
        <v>35407.89</v>
      </c>
      <c r="M1734">
        <v>10</v>
      </c>
      <c r="N1734">
        <v>159335.53</v>
      </c>
      <c r="O1734" t="s">
        <v>47</v>
      </c>
    </row>
    <row r="1735" spans="1:15" x14ac:dyDescent="0.3">
      <c r="A1735" t="s">
        <v>1803</v>
      </c>
      <c r="B1735" s="2">
        <v>47025</v>
      </c>
      <c r="C1735" t="s">
        <v>31</v>
      </c>
      <c r="D1735" t="str">
        <f t="shared" si="27"/>
        <v>September</v>
      </c>
      <c r="E1735" t="s">
        <v>69</v>
      </c>
      <c r="F1735" t="s">
        <v>60</v>
      </c>
      <c r="G1735" t="s">
        <v>70</v>
      </c>
      <c r="H1735" t="s">
        <v>27</v>
      </c>
      <c r="I1735" t="s">
        <v>42</v>
      </c>
      <c r="J1735" t="s">
        <v>46</v>
      </c>
      <c r="K1735">
        <v>4</v>
      </c>
      <c r="L1735">
        <v>45302.239999999998</v>
      </c>
      <c r="M1735">
        <v>5</v>
      </c>
      <c r="N1735">
        <v>172148.49</v>
      </c>
      <c r="O1735" t="s">
        <v>36</v>
      </c>
    </row>
    <row r="1736" spans="1:15" x14ac:dyDescent="0.3">
      <c r="A1736" t="s">
        <v>1804</v>
      </c>
      <c r="B1736" s="2">
        <v>47026</v>
      </c>
      <c r="C1736" t="s">
        <v>38</v>
      </c>
      <c r="D1736" t="str">
        <f t="shared" si="27"/>
        <v>September</v>
      </c>
      <c r="E1736" t="s">
        <v>77</v>
      </c>
      <c r="F1736" t="s">
        <v>40</v>
      </c>
      <c r="G1736" t="s">
        <v>118</v>
      </c>
      <c r="H1736" t="s">
        <v>27</v>
      </c>
      <c r="I1736" t="s">
        <v>34</v>
      </c>
      <c r="J1736" t="s">
        <v>21</v>
      </c>
      <c r="K1736">
        <v>1</v>
      </c>
      <c r="L1736">
        <v>6402.8</v>
      </c>
      <c r="M1736">
        <v>15</v>
      </c>
      <c r="N1736">
        <v>5442.38</v>
      </c>
      <c r="O1736" t="s">
        <v>47</v>
      </c>
    </row>
    <row r="1737" spans="1:15" x14ac:dyDescent="0.3">
      <c r="A1737" t="s">
        <v>1805</v>
      </c>
      <c r="B1737" s="2">
        <v>47027</v>
      </c>
      <c r="C1737" t="s">
        <v>38</v>
      </c>
      <c r="D1737" t="str">
        <f t="shared" si="27"/>
        <v>October</v>
      </c>
      <c r="E1737" t="s">
        <v>39</v>
      </c>
      <c r="F1737" t="s">
        <v>17</v>
      </c>
      <c r="G1737" t="s">
        <v>18</v>
      </c>
      <c r="H1737" t="s">
        <v>19</v>
      </c>
      <c r="I1737" t="s">
        <v>20</v>
      </c>
      <c r="J1737" t="s">
        <v>28</v>
      </c>
      <c r="K1737">
        <v>2</v>
      </c>
      <c r="L1737">
        <v>43692.11</v>
      </c>
      <c r="M1737">
        <v>10</v>
      </c>
      <c r="N1737">
        <v>78645.8</v>
      </c>
      <c r="O1737" t="s">
        <v>22</v>
      </c>
    </row>
    <row r="1738" spans="1:15" x14ac:dyDescent="0.3">
      <c r="A1738" t="s">
        <v>1806</v>
      </c>
      <c r="B1738" s="2">
        <v>47028</v>
      </c>
      <c r="C1738" t="s">
        <v>58</v>
      </c>
      <c r="D1738" t="str">
        <f t="shared" si="27"/>
        <v>October</v>
      </c>
      <c r="E1738" t="s">
        <v>24</v>
      </c>
      <c r="F1738" t="s">
        <v>53</v>
      </c>
      <c r="G1738" t="s">
        <v>105</v>
      </c>
      <c r="H1738" t="s">
        <v>45</v>
      </c>
      <c r="I1738" t="s">
        <v>42</v>
      </c>
      <c r="J1738" t="s">
        <v>43</v>
      </c>
      <c r="K1738">
        <v>5</v>
      </c>
      <c r="L1738">
        <v>27554.7</v>
      </c>
      <c r="M1738">
        <v>5</v>
      </c>
      <c r="N1738">
        <v>130884.82</v>
      </c>
      <c r="O1738" t="s">
        <v>47</v>
      </c>
    </row>
    <row r="1739" spans="1:15" x14ac:dyDescent="0.3">
      <c r="A1739" t="s">
        <v>1807</v>
      </c>
      <c r="B1739" s="2">
        <v>47029</v>
      </c>
      <c r="C1739" t="s">
        <v>38</v>
      </c>
      <c r="D1739" t="str">
        <f t="shared" si="27"/>
        <v>October</v>
      </c>
      <c r="E1739" t="s">
        <v>69</v>
      </c>
      <c r="F1739" t="s">
        <v>25</v>
      </c>
      <c r="G1739" t="s">
        <v>81</v>
      </c>
      <c r="H1739" t="s">
        <v>45</v>
      </c>
      <c r="I1739" t="s">
        <v>42</v>
      </c>
      <c r="J1739" t="s">
        <v>35</v>
      </c>
      <c r="K1739">
        <v>3</v>
      </c>
      <c r="L1739">
        <v>2910.24</v>
      </c>
      <c r="M1739">
        <v>10</v>
      </c>
      <c r="N1739">
        <v>7857.64</v>
      </c>
      <c r="O1739" t="s">
        <v>22</v>
      </c>
    </row>
    <row r="1740" spans="1:15" x14ac:dyDescent="0.3">
      <c r="A1740" t="s">
        <v>1808</v>
      </c>
      <c r="B1740" s="2">
        <v>47030</v>
      </c>
      <c r="C1740" t="s">
        <v>31</v>
      </c>
      <c r="D1740" t="str">
        <f t="shared" si="27"/>
        <v>October</v>
      </c>
      <c r="E1740" t="s">
        <v>39</v>
      </c>
      <c r="F1740" t="s">
        <v>53</v>
      </c>
      <c r="G1740" t="s">
        <v>65</v>
      </c>
      <c r="H1740" t="s">
        <v>19</v>
      </c>
      <c r="I1740" t="s">
        <v>34</v>
      </c>
      <c r="J1740" t="s">
        <v>35</v>
      </c>
      <c r="K1740">
        <v>3</v>
      </c>
      <c r="L1740">
        <v>38434.199999999997</v>
      </c>
      <c r="M1740">
        <v>5</v>
      </c>
      <c r="N1740">
        <v>109537.46</v>
      </c>
      <c r="O1740" t="s">
        <v>47</v>
      </c>
    </row>
    <row r="1741" spans="1:15" x14ac:dyDescent="0.3">
      <c r="A1741" t="s">
        <v>1809</v>
      </c>
      <c r="B1741" s="2">
        <v>47031</v>
      </c>
      <c r="C1741" t="s">
        <v>31</v>
      </c>
      <c r="D1741" t="str">
        <f t="shared" si="27"/>
        <v>October</v>
      </c>
      <c r="E1741" t="s">
        <v>39</v>
      </c>
      <c r="F1741" t="s">
        <v>53</v>
      </c>
      <c r="G1741" t="s">
        <v>65</v>
      </c>
      <c r="H1741" t="s">
        <v>33</v>
      </c>
      <c r="I1741" t="s">
        <v>34</v>
      </c>
      <c r="J1741" t="s">
        <v>28</v>
      </c>
      <c r="K1741">
        <v>3</v>
      </c>
      <c r="L1741">
        <v>28124.01</v>
      </c>
      <c r="M1741">
        <v>5</v>
      </c>
      <c r="N1741">
        <v>80153.42</v>
      </c>
      <c r="O1741" t="s">
        <v>47</v>
      </c>
    </row>
    <row r="1742" spans="1:15" x14ac:dyDescent="0.3">
      <c r="A1742" t="s">
        <v>1810</v>
      </c>
      <c r="B1742" s="2">
        <v>47032</v>
      </c>
      <c r="C1742" t="s">
        <v>38</v>
      </c>
      <c r="D1742" t="str">
        <f t="shared" si="27"/>
        <v>October</v>
      </c>
      <c r="E1742" t="s">
        <v>77</v>
      </c>
      <c r="F1742" t="s">
        <v>60</v>
      </c>
      <c r="G1742" t="s">
        <v>70</v>
      </c>
      <c r="H1742" t="s">
        <v>45</v>
      </c>
      <c r="I1742" t="s">
        <v>34</v>
      </c>
      <c r="J1742" t="s">
        <v>46</v>
      </c>
      <c r="K1742">
        <v>3</v>
      </c>
      <c r="L1742">
        <v>41877.47</v>
      </c>
      <c r="M1742">
        <v>15</v>
      </c>
      <c r="N1742">
        <v>106787.55</v>
      </c>
      <c r="O1742" t="s">
        <v>36</v>
      </c>
    </row>
    <row r="1743" spans="1:15" x14ac:dyDescent="0.3">
      <c r="A1743" t="s">
        <v>1811</v>
      </c>
      <c r="B1743" s="2">
        <v>47033</v>
      </c>
      <c r="C1743" t="s">
        <v>38</v>
      </c>
      <c r="D1743" t="str">
        <f t="shared" si="27"/>
        <v>October</v>
      </c>
      <c r="E1743" t="s">
        <v>69</v>
      </c>
      <c r="F1743" t="s">
        <v>40</v>
      </c>
      <c r="G1743" t="s">
        <v>75</v>
      </c>
      <c r="H1743" t="s">
        <v>27</v>
      </c>
      <c r="I1743" t="s">
        <v>42</v>
      </c>
      <c r="J1743" t="s">
        <v>28</v>
      </c>
      <c r="K1743">
        <v>1</v>
      </c>
      <c r="L1743">
        <v>5284.05</v>
      </c>
      <c r="M1743">
        <v>0</v>
      </c>
      <c r="N1743">
        <v>5284.05</v>
      </c>
      <c r="O1743" t="s">
        <v>47</v>
      </c>
    </row>
    <row r="1744" spans="1:15" x14ac:dyDescent="0.3">
      <c r="A1744" t="s">
        <v>1812</v>
      </c>
      <c r="B1744" s="2">
        <v>47034</v>
      </c>
      <c r="C1744" t="s">
        <v>15</v>
      </c>
      <c r="D1744" t="str">
        <f t="shared" si="27"/>
        <v>October</v>
      </c>
      <c r="E1744" t="s">
        <v>39</v>
      </c>
      <c r="F1744" t="s">
        <v>60</v>
      </c>
      <c r="G1744" t="s">
        <v>70</v>
      </c>
      <c r="H1744" t="s">
        <v>27</v>
      </c>
      <c r="I1744" t="s">
        <v>42</v>
      </c>
      <c r="J1744" t="s">
        <v>43</v>
      </c>
      <c r="K1744">
        <v>2</v>
      </c>
      <c r="L1744">
        <v>41743.129999999997</v>
      </c>
      <c r="M1744">
        <v>10</v>
      </c>
      <c r="N1744">
        <v>75137.64</v>
      </c>
      <c r="O1744" t="s">
        <v>47</v>
      </c>
    </row>
    <row r="1745" spans="1:15" x14ac:dyDescent="0.3">
      <c r="A1745" t="s">
        <v>1813</v>
      </c>
      <c r="B1745" s="2">
        <v>47035</v>
      </c>
      <c r="C1745" t="s">
        <v>58</v>
      </c>
      <c r="D1745" t="str">
        <f t="shared" si="27"/>
        <v>October</v>
      </c>
      <c r="E1745" t="s">
        <v>100</v>
      </c>
      <c r="F1745" t="s">
        <v>17</v>
      </c>
      <c r="G1745" t="s">
        <v>123</v>
      </c>
      <c r="H1745" t="s">
        <v>45</v>
      </c>
      <c r="I1745" t="s">
        <v>20</v>
      </c>
      <c r="J1745" t="s">
        <v>21</v>
      </c>
      <c r="K1745">
        <v>5</v>
      </c>
      <c r="L1745">
        <v>56462.06</v>
      </c>
      <c r="M1745">
        <v>15</v>
      </c>
      <c r="N1745">
        <v>239963.76</v>
      </c>
      <c r="O1745" t="s">
        <v>29</v>
      </c>
    </row>
    <row r="1746" spans="1:15" x14ac:dyDescent="0.3">
      <c r="A1746" t="s">
        <v>1814</v>
      </c>
      <c r="B1746" s="2">
        <v>47036</v>
      </c>
      <c r="C1746" t="s">
        <v>49</v>
      </c>
      <c r="D1746" t="str">
        <f t="shared" si="27"/>
        <v>October</v>
      </c>
      <c r="E1746" t="s">
        <v>32</v>
      </c>
      <c r="F1746" t="s">
        <v>60</v>
      </c>
      <c r="G1746" t="s">
        <v>73</v>
      </c>
      <c r="H1746" t="s">
        <v>27</v>
      </c>
      <c r="I1746" t="s">
        <v>42</v>
      </c>
      <c r="J1746" t="s">
        <v>28</v>
      </c>
      <c r="K1746">
        <v>5</v>
      </c>
      <c r="L1746">
        <v>45564.36</v>
      </c>
      <c r="M1746">
        <v>0</v>
      </c>
      <c r="N1746">
        <v>227821.79</v>
      </c>
      <c r="O1746" t="s">
        <v>47</v>
      </c>
    </row>
    <row r="1747" spans="1:15" x14ac:dyDescent="0.3">
      <c r="A1747" t="s">
        <v>1815</v>
      </c>
      <c r="B1747" s="2">
        <v>47037</v>
      </c>
      <c r="C1747" t="s">
        <v>38</v>
      </c>
      <c r="D1747" t="str">
        <f t="shared" si="27"/>
        <v>October</v>
      </c>
      <c r="E1747" t="s">
        <v>72</v>
      </c>
      <c r="F1747" t="s">
        <v>53</v>
      </c>
      <c r="G1747" t="s">
        <v>65</v>
      </c>
      <c r="H1747" t="s">
        <v>27</v>
      </c>
      <c r="I1747" t="s">
        <v>34</v>
      </c>
      <c r="J1747" t="s">
        <v>28</v>
      </c>
      <c r="K1747">
        <v>5</v>
      </c>
      <c r="L1747">
        <v>30594.26</v>
      </c>
      <c r="M1747">
        <v>15</v>
      </c>
      <c r="N1747">
        <v>130025.62</v>
      </c>
      <c r="O1747" t="s">
        <v>47</v>
      </c>
    </row>
    <row r="1748" spans="1:15" x14ac:dyDescent="0.3">
      <c r="A1748" t="s">
        <v>1816</v>
      </c>
      <c r="B1748" s="2">
        <v>47038</v>
      </c>
      <c r="C1748" t="s">
        <v>38</v>
      </c>
      <c r="D1748" t="str">
        <f t="shared" si="27"/>
        <v>October</v>
      </c>
      <c r="E1748" t="s">
        <v>69</v>
      </c>
      <c r="F1748" t="s">
        <v>25</v>
      </c>
      <c r="G1748" t="s">
        <v>56</v>
      </c>
      <c r="H1748" t="s">
        <v>45</v>
      </c>
      <c r="I1748" t="s">
        <v>34</v>
      </c>
      <c r="J1748" t="s">
        <v>43</v>
      </c>
      <c r="K1748">
        <v>1</v>
      </c>
      <c r="L1748">
        <v>2716.03</v>
      </c>
      <c r="M1748">
        <v>10</v>
      </c>
      <c r="N1748">
        <v>2444.42</v>
      </c>
      <c r="O1748" t="s">
        <v>29</v>
      </c>
    </row>
    <row r="1749" spans="1:15" x14ac:dyDescent="0.3">
      <c r="A1749" t="s">
        <v>1817</v>
      </c>
      <c r="B1749" s="2">
        <v>47039</v>
      </c>
      <c r="C1749" t="s">
        <v>58</v>
      </c>
      <c r="D1749" t="str">
        <f t="shared" si="27"/>
        <v>October</v>
      </c>
      <c r="E1749" t="s">
        <v>69</v>
      </c>
      <c r="F1749" t="s">
        <v>25</v>
      </c>
      <c r="G1749" t="s">
        <v>56</v>
      </c>
      <c r="H1749" t="s">
        <v>45</v>
      </c>
      <c r="I1749" t="s">
        <v>34</v>
      </c>
      <c r="J1749" t="s">
        <v>35</v>
      </c>
      <c r="K1749">
        <v>4</v>
      </c>
      <c r="L1749">
        <v>2578.35</v>
      </c>
      <c r="M1749">
        <v>10</v>
      </c>
      <c r="N1749">
        <v>9282.0499999999993</v>
      </c>
      <c r="O1749" t="s">
        <v>47</v>
      </c>
    </row>
    <row r="1750" spans="1:15" x14ac:dyDescent="0.3">
      <c r="A1750" t="s">
        <v>1818</v>
      </c>
      <c r="B1750" s="2">
        <v>47040</v>
      </c>
      <c r="C1750" t="s">
        <v>49</v>
      </c>
      <c r="D1750" t="str">
        <f t="shared" si="27"/>
        <v>October</v>
      </c>
      <c r="E1750" t="s">
        <v>24</v>
      </c>
      <c r="F1750" t="s">
        <v>40</v>
      </c>
      <c r="G1750" t="s">
        <v>75</v>
      </c>
      <c r="H1750" t="s">
        <v>19</v>
      </c>
      <c r="I1750" t="s">
        <v>20</v>
      </c>
      <c r="J1750" t="s">
        <v>43</v>
      </c>
      <c r="K1750">
        <v>1</v>
      </c>
      <c r="L1750">
        <v>7321.19</v>
      </c>
      <c r="M1750">
        <v>5</v>
      </c>
      <c r="N1750">
        <v>6955.13</v>
      </c>
      <c r="O1750" t="s">
        <v>47</v>
      </c>
    </row>
    <row r="1751" spans="1:15" x14ac:dyDescent="0.3">
      <c r="A1751" t="s">
        <v>1819</v>
      </c>
      <c r="B1751" s="2">
        <v>47041</v>
      </c>
      <c r="C1751" t="s">
        <v>15</v>
      </c>
      <c r="D1751" t="str">
        <f t="shared" si="27"/>
        <v>October</v>
      </c>
      <c r="E1751" t="s">
        <v>16</v>
      </c>
      <c r="F1751" t="s">
        <v>40</v>
      </c>
      <c r="G1751" t="s">
        <v>115</v>
      </c>
      <c r="H1751" t="s">
        <v>19</v>
      </c>
      <c r="I1751" t="s">
        <v>42</v>
      </c>
      <c r="J1751" t="s">
        <v>35</v>
      </c>
      <c r="K1751">
        <v>2</v>
      </c>
      <c r="L1751">
        <v>7812.52</v>
      </c>
      <c r="M1751">
        <v>5</v>
      </c>
      <c r="N1751">
        <v>14843.8</v>
      </c>
      <c r="O1751" t="s">
        <v>47</v>
      </c>
    </row>
    <row r="1752" spans="1:15" x14ac:dyDescent="0.3">
      <c r="A1752" t="s">
        <v>1820</v>
      </c>
      <c r="B1752" s="2">
        <v>47042</v>
      </c>
      <c r="C1752" t="s">
        <v>38</v>
      </c>
      <c r="D1752" t="str">
        <f t="shared" si="27"/>
        <v>October</v>
      </c>
      <c r="E1752" t="s">
        <v>24</v>
      </c>
      <c r="F1752" t="s">
        <v>53</v>
      </c>
      <c r="G1752" t="s">
        <v>65</v>
      </c>
      <c r="H1752" t="s">
        <v>45</v>
      </c>
      <c r="I1752" t="s">
        <v>34</v>
      </c>
      <c r="J1752" t="s">
        <v>46</v>
      </c>
      <c r="K1752">
        <v>1</v>
      </c>
      <c r="L1752">
        <v>30545.59</v>
      </c>
      <c r="M1752">
        <v>15</v>
      </c>
      <c r="N1752">
        <v>25963.75</v>
      </c>
      <c r="O1752" t="s">
        <v>47</v>
      </c>
    </row>
    <row r="1753" spans="1:15" x14ac:dyDescent="0.3">
      <c r="A1753" t="s">
        <v>1821</v>
      </c>
      <c r="B1753" s="2">
        <v>47043</v>
      </c>
      <c r="C1753" t="s">
        <v>15</v>
      </c>
      <c r="D1753" t="str">
        <f t="shared" si="27"/>
        <v>October</v>
      </c>
      <c r="E1753" t="s">
        <v>72</v>
      </c>
      <c r="F1753" t="s">
        <v>40</v>
      </c>
      <c r="G1753" t="s">
        <v>41</v>
      </c>
      <c r="H1753" t="s">
        <v>19</v>
      </c>
      <c r="I1753" t="s">
        <v>42</v>
      </c>
      <c r="J1753" t="s">
        <v>43</v>
      </c>
      <c r="K1753">
        <v>3</v>
      </c>
      <c r="L1753">
        <v>7323.95</v>
      </c>
      <c r="M1753">
        <v>15</v>
      </c>
      <c r="N1753">
        <v>18676.060000000001</v>
      </c>
      <c r="O1753" t="s">
        <v>29</v>
      </c>
    </row>
    <row r="1754" spans="1:15" x14ac:dyDescent="0.3">
      <c r="A1754" t="s">
        <v>1822</v>
      </c>
      <c r="B1754" s="2">
        <v>47044</v>
      </c>
      <c r="C1754" t="s">
        <v>15</v>
      </c>
      <c r="D1754" t="str">
        <f t="shared" si="27"/>
        <v>October</v>
      </c>
      <c r="E1754" t="s">
        <v>24</v>
      </c>
      <c r="F1754" t="s">
        <v>17</v>
      </c>
      <c r="G1754" t="s">
        <v>67</v>
      </c>
      <c r="H1754" t="s">
        <v>45</v>
      </c>
      <c r="I1754" t="s">
        <v>20</v>
      </c>
      <c r="J1754" t="s">
        <v>46</v>
      </c>
      <c r="K1754">
        <v>3</v>
      </c>
      <c r="L1754">
        <v>55249.120000000003</v>
      </c>
      <c r="M1754">
        <v>0</v>
      </c>
      <c r="N1754">
        <v>165747.35999999999</v>
      </c>
      <c r="O1754" t="s">
        <v>47</v>
      </c>
    </row>
    <row r="1755" spans="1:15" x14ac:dyDescent="0.3">
      <c r="A1755" t="s">
        <v>1823</v>
      </c>
      <c r="B1755" s="2">
        <v>47045</v>
      </c>
      <c r="C1755" t="s">
        <v>38</v>
      </c>
      <c r="D1755" t="str">
        <f t="shared" si="27"/>
        <v>October</v>
      </c>
      <c r="E1755" t="s">
        <v>39</v>
      </c>
      <c r="F1755" t="s">
        <v>25</v>
      </c>
      <c r="G1755" t="s">
        <v>26</v>
      </c>
      <c r="H1755" t="s">
        <v>45</v>
      </c>
      <c r="I1755" t="s">
        <v>42</v>
      </c>
      <c r="J1755" t="s">
        <v>46</v>
      </c>
      <c r="K1755">
        <v>2</v>
      </c>
      <c r="L1755">
        <v>2094.27</v>
      </c>
      <c r="M1755">
        <v>5</v>
      </c>
      <c r="N1755">
        <v>3979.11</v>
      </c>
      <c r="O1755" t="s">
        <v>47</v>
      </c>
    </row>
    <row r="1756" spans="1:15" x14ac:dyDescent="0.3">
      <c r="A1756" t="s">
        <v>1824</v>
      </c>
      <c r="B1756" s="2">
        <v>47046</v>
      </c>
      <c r="C1756" t="s">
        <v>38</v>
      </c>
      <c r="D1756" t="str">
        <f t="shared" si="27"/>
        <v>October</v>
      </c>
      <c r="E1756" t="s">
        <v>72</v>
      </c>
      <c r="F1756" t="s">
        <v>25</v>
      </c>
      <c r="G1756" t="s">
        <v>81</v>
      </c>
      <c r="H1756" t="s">
        <v>45</v>
      </c>
      <c r="I1756" t="s">
        <v>42</v>
      </c>
      <c r="J1756" t="s">
        <v>43</v>
      </c>
      <c r="K1756">
        <v>5</v>
      </c>
      <c r="L1756">
        <v>3121.18</v>
      </c>
      <c r="M1756">
        <v>0</v>
      </c>
      <c r="N1756">
        <v>15605.88</v>
      </c>
      <c r="O1756" t="s">
        <v>47</v>
      </c>
    </row>
    <row r="1757" spans="1:15" x14ac:dyDescent="0.3">
      <c r="A1757" t="s">
        <v>1825</v>
      </c>
      <c r="B1757" s="2">
        <v>47047</v>
      </c>
      <c r="C1757" t="s">
        <v>58</v>
      </c>
      <c r="D1757" t="str">
        <f t="shared" si="27"/>
        <v>October</v>
      </c>
      <c r="E1757" t="s">
        <v>69</v>
      </c>
      <c r="F1757" t="s">
        <v>60</v>
      </c>
      <c r="G1757" t="s">
        <v>78</v>
      </c>
      <c r="H1757" t="s">
        <v>19</v>
      </c>
      <c r="I1757" t="s">
        <v>34</v>
      </c>
      <c r="J1757" t="s">
        <v>21</v>
      </c>
      <c r="K1757">
        <v>1</v>
      </c>
      <c r="L1757">
        <v>38498.089999999997</v>
      </c>
      <c r="M1757">
        <v>0</v>
      </c>
      <c r="N1757">
        <v>38498.089999999997</v>
      </c>
      <c r="O1757" t="s">
        <v>47</v>
      </c>
    </row>
    <row r="1758" spans="1:15" x14ac:dyDescent="0.3">
      <c r="A1758" t="s">
        <v>1826</v>
      </c>
      <c r="B1758" s="2">
        <v>47048</v>
      </c>
      <c r="C1758" t="s">
        <v>58</v>
      </c>
      <c r="D1758" t="str">
        <f t="shared" si="27"/>
        <v>October</v>
      </c>
      <c r="E1758" t="s">
        <v>100</v>
      </c>
      <c r="F1758" t="s">
        <v>60</v>
      </c>
      <c r="G1758" t="s">
        <v>78</v>
      </c>
      <c r="H1758" t="s">
        <v>45</v>
      </c>
      <c r="I1758" t="s">
        <v>34</v>
      </c>
      <c r="J1758" t="s">
        <v>21</v>
      </c>
      <c r="K1758">
        <v>2</v>
      </c>
      <c r="L1758">
        <v>50044.45</v>
      </c>
      <c r="M1758">
        <v>0</v>
      </c>
      <c r="N1758">
        <v>100088.89</v>
      </c>
      <c r="O1758" t="s">
        <v>47</v>
      </c>
    </row>
    <row r="1759" spans="1:15" x14ac:dyDescent="0.3">
      <c r="A1759" t="s">
        <v>1827</v>
      </c>
      <c r="B1759" s="2">
        <v>47049</v>
      </c>
      <c r="C1759" t="s">
        <v>58</v>
      </c>
      <c r="D1759" t="str">
        <f t="shared" si="27"/>
        <v>October</v>
      </c>
      <c r="E1759" t="s">
        <v>100</v>
      </c>
      <c r="F1759" t="s">
        <v>17</v>
      </c>
      <c r="G1759" t="s">
        <v>18</v>
      </c>
      <c r="H1759" t="s">
        <v>19</v>
      </c>
      <c r="I1759" t="s">
        <v>34</v>
      </c>
      <c r="J1759" t="s">
        <v>21</v>
      </c>
      <c r="K1759">
        <v>3</v>
      </c>
      <c r="L1759">
        <v>43600.3</v>
      </c>
      <c r="M1759">
        <v>15</v>
      </c>
      <c r="N1759">
        <v>111180.75</v>
      </c>
      <c r="O1759" t="s">
        <v>36</v>
      </c>
    </row>
    <row r="1760" spans="1:15" x14ac:dyDescent="0.3">
      <c r="A1760" t="s">
        <v>1828</v>
      </c>
      <c r="B1760" s="2">
        <v>47050</v>
      </c>
      <c r="C1760" t="s">
        <v>31</v>
      </c>
      <c r="D1760" t="str">
        <f t="shared" si="27"/>
        <v>October</v>
      </c>
      <c r="E1760" t="s">
        <v>52</v>
      </c>
      <c r="F1760" t="s">
        <v>17</v>
      </c>
      <c r="G1760" t="s">
        <v>63</v>
      </c>
      <c r="H1760" t="s">
        <v>45</v>
      </c>
      <c r="I1760" t="s">
        <v>42</v>
      </c>
      <c r="J1760" t="s">
        <v>35</v>
      </c>
      <c r="K1760">
        <v>5</v>
      </c>
      <c r="L1760">
        <v>59636.77</v>
      </c>
      <c r="M1760">
        <v>10</v>
      </c>
      <c r="N1760">
        <v>268365.48</v>
      </c>
      <c r="O1760" t="s">
        <v>47</v>
      </c>
    </row>
    <row r="1761" spans="1:15" x14ac:dyDescent="0.3">
      <c r="A1761" t="s">
        <v>1829</v>
      </c>
      <c r="B1761" s="2">
        <v>47051</v>
      </c>
      <c r="C1761" t="s">
        <v>49</v>
      </c>
      <c r="D1761" t="str">
        <f t="shared" si="27"/>
        <v>October</v>
      </c>
      <c r="E1761" t="s">
        <v>16</v>
      </c>
      <c r="F1761" t="s">
        <v>40</v>
      </c>
      <c r="G1761" t="s">
        <v>41</v>
      </c>
      <c r="H1761" t="s">
        <v>27</v>
      </c>
      <c r="I1761" t="s">
        <v>34</v>
      </c>
      <c r="J1761" t="s">
        <v>43</v>
      </c>
      <c r="K1761">
        <v>4</v>
      </c>
      <c r="L1761">
        <v>6083.98</v>
      </c>
      <c r="M1761">
        <v>10</v>
      </c>
      <c r="N1761">
        <v>21902.31</v>
      </c>
      <c r="O1761" t="s">
        <v>47</v>
      </c>
    </row>
    <row r="1762" spans="1:15" x14ac:dyDescent="0.3">
      <c r="A1762" t="s">
        <v>1830</v>
      </c>
      <c r="B1762" s="2">
        <v>47052</v>
      </c>
      <c r="C1762" t="s">
        <v>58</v>
      </c>
      <c r="D1762" t="str">
        <f t="shared" si="27"/>
        <v>October</v>
      </c>
      <c r="E1762" t="s">
        <v>16</v>
      </c>
      <c r="F1762" t="s">
        <v>60</v>
      </c>
      <c r="G1762" t="s">
        <v>70</v>
      </c>
      <c r="H1762" t="s">
        <v>19</v>
      </c>
      <c r="I1762" t="s">
        <v>34</v>
      </c>
      <c r="J1762" t="s">
        <v>46</v>
      </c>
      <c r="K1762">
        <v>3</v>
      </c>
      <c r="L1762">
        <v>38625.21</v>
      </c>
      <c r="M1762">
        <v>0</v>
      </c>
      <c r="N1762">
        <v>115875.64</v>
      </c>
      <c r="O1762" t="s">
        <v>29</v>
      </c>
    </row>
    <row r="1763" spans="1:15" x14ac:dyDescent="0.3">
      <c r="A1763" t="s">
        <v>1831</v>
      </c>
      <c r="B1763" s="2">
        <v>47053</v>
      </c>
      <c r="C1763" t="s">
        <v>31</v>
      </c>
      <c r="D1763" t="str">
        <f t="shared" si="27"/>
        <v>October</v>
      </c>
      <c r="E1763" t="s">
        <v>100</v>
      </c>
      <c r="F1763" t="s">
        <v>17</v>
      </c>
      <c r="G1763" t="s">
        <v>18</v>
      </c>
      <c r="H1763" t="s">
        <v>45</v>
      </c>
      <c r="I1763" t="s">
        <v>42</v>
      </c>
      <c r="J1763" t="s">
        <v>43</v>
      </c>
      <c r="K1763">
        <v>3</v>
      </c>
      <c r="L1763">
        <v>63365.68</v>
      </c>
      <c r="M1763">
        <v>10</v>
      </c>
      <c r="N1763">
        <v>171087.32</v>
      </c>
      <c r="O1763" t="s">
        <v>36</v>
      </c>
    </row>
    <row r="1764" spans="1:15" x14ac:dyDescent="0.3">
      <c r="A1764" t="s">
        <v>1832</v>
      </c>
      <c r="B1764" s="2">
        <v>47054</v>
      </c>
      <c r="C1764" t="s">
        <v>49</v>
      </c>
      <c r="D1764" t="str">
        <f t="shared" si="27"/>
        <v>October</v>
      </c>
      <c r="E1764" t="s">
        <v>39</v>
      </c>
      <c r="F1764" t="s">
        <v>17</v>
      </c>
      <c r="G1764" t="s">
        <v>18</v>
      </c>
      <c r="H1764" t="s">
        <v>19</v>
      </c>
      <c r="I1764" t="s">
        <v>20</v>
      </c>
      <c r="J1764" t="s">
        <v>28</v>
      </c>
      <c r="K1764">
        <v>2</v>
      </c>
      <c r="L1764">
        <v>43675.46</v>
      </c>
      <c r="M1764">
        <v>15</v>
      </c>
      <c r="N1764">
        <v>74248.289999999994</v>
      </c>
      <c r="O1764" t="s">
        <v>22</v>
      </c>
    </row>
    <row r="1765" spans="1:15" x14ac:dyDescent="0.3">
      <c r="A1765" t="s">
        <v>1833</v>
      </c>
      <c r="B1765" s="2">
        <v>47055</v>
      </c>
      <c r="C1765" t="s">
        <v>49</v>
      </c>
      <c r="D1765" t="str">
        <f t="shared" si="27"/>
        <v>October</v>
      </c>
      <c r="E1765" t="s">
        <v>77</v>
      </c>
      <c r="F1765" t="s">
        <v>25</v>
      </c>
      <c r="G1765" t="s">
        <v>81</v>
      </c>
      <c r="H1765" t="s">
        <v>33</v>
      </c>
      <c r="I1765" t="s">
        <v>20</v>
      </c>
      <c r="J1765" t="s">
        <v>21</v>
      </c>
      <c r="K1765">
        <v>4</v>
      </c>
      <c r="L1765">
        <v>2103.9499999999998</v>
      </c>
      <c r="M1765">
        <v>10</v>
      </c>
      <c r="N1765">
        <v>7574.24</v>
      </c>
      <c r="O1765" t="s">
        <v>47</v>
      </c>
    </row>
    <row r="1766" spans="1:15" x14ac:dyDescent="0.3">
      <c r="A1766" t="s">
        <v>1834</v>
      </c>
      <c r="B1766" s="2">
        <v>47056</v>
      </c>
      <c r="C1766" t="s">
        <v>49</v>
      </c>
      <c r="D1766" t="str">
        <f t="shared" si="27"/>
        <v>October</v>
      </c>
      <c r="E1766" t="s">
        <v>77</v>
      </c>
      <c r="F1766" t="s">
        <v>40</v>
      </c>
      <c r="G1766" t="s">
        <v>75</v>
      </c>
      <c r="H1766" t="s">
        <v>45</v>
      </c>
      <c r="I1766" t="s">
        <v>34</v>
      </c>
      <c r="J1766" t="s">
        <v>21</v>
      </c>
      <c r="K1766">
        <v>3</v>
      </c>
      <c r="L1766">
        <v>5046.7</v>
      </c>
      <c r="M1766">
        <v>10</v>
      </c>
      <c r="N1766">
        <v>13626.09</v>
      </c>
      <c r="O1766" t="s">
        <v>36</v>
      </c>
    </row>
    <row r="1767" spans="1:15" x14ac:dyDescent="0.3">
      <c r="A1767" t="s">
        <v>1835</v>
      </c>
      <c r="B1767" s="2">
        <v>47057</v>
      </c>
      <c r="C1767" t="s">
        <v>31</v>
      </c>
      <c r="D1767" t="str">
        <f t="shared" si="27"/>
        <v>October</v>
      </c>
      <c r="E1767" t="s">
        <v>52</v>
      </c>
      <c r="F1767" t="s">
        <v>25</v>
      </c>
      <c r="G1767" t="s">
        <v>81</v>
      </c>
      <c r="H1767" t="s">
        <v>45</v>
      </c>
      <c r="I1767" t="s">
        <v>20</v>
      </c>
      <c r="J1767" t="s">
        <v>21</v>
      </c>
      <c r="K1767">
        <v>4</v>
      </c>
      <c r="L1767">
        <v>3076.84</v>
      </c>
      <c r="M1767">
        <v>20</v>
      </c>
      <c r="N1767">
        <v>9845.8700000000008</v>
      </c>
      <c r="O1767" t="s">
        <v>22</v>
      </c>
    </row>
    <row r="1768" spans="1:15" x14ac:dyDescent="0.3">
      <c r="A1768" t="s">
        <v>1836</v>
      </c>
      <c r="B1768" s="2">
        <v>47058</v>
      </c>
      <c r="C1768" t="s">
        <v>49</v>
      </c>
      <c r="D1768" t="str">
        <f t="shared" si="27"/>
        <v>November</v>
      </c>
      <c r="E1768" t="s">
        <v>39</v>
      </c>
      <c r="F1768" t="s">
        <v>60</v>
      </c>
      <c r="G1768" t="s">
        <v>78</v>
      </c>
      <c r="H1768" t="s">
        <v>45</v>
      </c>
      <c r="I1768" t="s">
        <v>20</v>
      </c>
      <c r="J1768" t="s">
        <v>28</v>
      </c>
      <c r="K1768">
        <v>2</v>
      </c>
      <c r="L1768">
        <v>39950.17</v>
      </c>
      <c r="M1768">
        <v>10</v>
      </c>
      <c r="N1768">
        <v>71910.3</v>
      </c>
      <c r="O1768" t="s">
        <v>47</v>
      </c>
    </row>
    <row r="1769" spans="1:15" x14ac:dyDescent="0.3">
      <c r="A1769" t="s">
        <v>1837</v>
      </c>
      <c r="B1769" s="2">
        <v>47059</v>
      </c>
      <c r="C1769" t="s">
        <v>58</v>
      </c>
      <c r="D1769" t="str">
        <f t="shared" si="27"/>
        <v>November</v>
      </c>
      <c r="E1769" t="s">
        <v>50</v>
      </c>
      <c r="F1769" t="s">
        <v>60</v>
      </c>
      <c r="G1769" t="s">
        <v>73</v>
      </c>
      <c r="H1769" t="s">
        <v>33</v>
      </c>
      <c r="I1769" t="s">
        <v>34</v>
      </c>
      <c r="J1769" t="s">
        <v>28</v>
      </c>
      <c r="K1769">
        <v>1</v>
      </c>
      <c r="L1769">
        <v>41383.199999999997</v>
      </c>
      <c r="M1769">
        <v>5</v>
      </c>
      <c r="N1769">
        <v>39314.04</v>
      </c>
      <c r="O1769" t="s">
        <v>29</v>
      </c>
    </row>
    <row r="1770" spans="1:15" x14ac:dyDescent="0.3">
      <c r="A1770" t="s">
        <v>1838</v>
      </c>
      <c r="B1770" s="2">
        <v>47060</v>
      </c>
      <c r="C1770" t="s">
        <v>31</v>
      </c>
      <c r="D1770" t="str">
        <f t="shared" si="27"/>
        <v>November</v>
      </c>
      <c r="E1770" t="s">
        <v>32</v>
      </c>
      <c r="F1770" t="s">
        <v>60</v>
      </c>
      <c r="G1770" t="s">
        <v>78</v>
      </c>
      <c r="H1770" t="s">
        <v>27</v>
      </c>
      <c r="I1770" t="s">
        <v>34</v>
      </c>
      <c r="J1770" t="s">
        <v>43</v>
      </c>
      <c r="K1770">
        <v>5</v>
      </c>
      <c r="L1770">
        <v>41667.620000000003</v>
      </c>
      <c r="M1770">
        <v>0</v>
      </c>
      <c r="N1770">
        <v>208338.08</v>
      </c>
      <c r="O1770" t="s">
        <v>47</v>
      </c>
    </row>
    <row r="1771" spans="1:15" x14ac:dyDescent="0.3">
      <c r="A1771" t="s">
        <v>1839</v>
      </c>
      <c r="B1771" s="2">
        <v>47061</v>
      </c>
      <c r="C1771" t="s">
        <v>15</v>
      </c>
      <c r="D1771" t="str">
        <f t="shared" si="27"/>
        <v>November</v>
      </c>
      <c r="E1771" t="s">
        <v>39</v>
      </c>
      <c r="F1771" t="s">
        <v>53</v>
      </c>
      <c r="G1771" t="s">
        <v>54</v>
      </c>
      <c r="H1771" t="s">
        <v>19</v>
      </c>
      <c r="I1771" t="s">
        <v>20</v>
      </c>
      <c r="J1771" t="s">
        <v>21</v>
      </c>
      <c r="K1771">
        <v>4</v>
      </c>
      <c r="L1771">
        <v>32815.54</v>
      </c>
      <c r="M1771">
        <v>5</v>
      </c>
      <c r="N1771">
        <v>124699.07</v>
      </c>
      <c r="O1771" t="s">
        <v>47</v>
      </c>
    </row>
    <row r="1772" spans="1:15" x14ac:dyDescent="0.3">
      <c r="A1772" t="s">
        <v>1840</v>
      </c>
      <c r="B1772" s="2">
        <v>47062</v>
      </c>
      <c r="C1772" t="s">
        <v>15</v>
      </c>
      <c r="D1772" t="str">
        <f t="shared" si="27"/>
        <v>November</v>
      </c>
      <c r="E1772" t="s">
        <v>72</v>
      </c>
      <c r="F1772" t="s">
        <v>53</v>
      </c>
      <c r="G1772" t="s">
        <v>105</v>
      </c>
      <c r="H1772" t="s">
        <v>27</v>
      </c>
      <c r="I1772" t="s">
        <v>20</v>
      </c>
      <c r="J1772" t="s">
        <v>28</v>
      </c>
      <c r="K1772">
        <v>2</v>
      </c>
      <c r="L1772">
        <v>26576.16</v>
      </c>
      <c r="M1772">
        <v>0</v>
      </c>
      <c r="N1772">
        <v>53152.31</v>
      </c>
      <c r="O1772" t="s">
        <v>47</v>
      </c>
    </row>
    <row r="1773" spans="1:15" x14ac:dyDescent="0.3">
      <c r="A1773" t="s">
        <v>1841</v>
      </c>
      <c r="B1773" s="2">
        <v>47063</v>
      </c>
      <c r="C1773" t="s">
        <v>38</v>
      </c>
      <c r="D1773" t="str">
        <f t="shared" si="27"/>
        <v>November</v>
      </c>
      <c r="E1773" t="s">
        <v>100</v>
      </c>
      <c r="F1773" t="s">
        <v>25</v>
      </c>
      <c r="G1773" t="s">
        <v>56</v>
      </c>
      <c r="H1773" t="s">
        <v>33</v>
      </c>
      <c r="I1773" t="s">
        <v>20</v>
      </c>
      <c r="J1773" t="s">
        <v>28</v>
      </c>
      <c r="K1773">
        <v>5</v>
      </c>
      <c r="L1773">
        <v>1964.11</v>
      </c>
      <c r="M1773">
        <v>10</v>
      </c>
      <c r="N1773">
        <v>8838.51</v>
      </c>
      <c r="O1773" t="s">
        <v>22</v>
      </c>
    </row>
    <row r="1774" spans="1:15" x14ac:dyDescent="0.3">
      <c r="A1774" t="s">
        <v>1842</v>
      </c>
      <c r="B1774" s="2">
        <v>47064</v>
      </c>
      <c r="C1774" t="s">
        <v>58</v>
      </c>
      <c r="D1774" t="str">
        <f t="shared" si="27"/>
        <v>November</v>
      </c>
      <c r="E1774" t="s">
        <v>69</v>
      </c>
      <c r="F1774" t="s">
        <v>60</v>
      </c>
      <c r="G1774" t="s">
        <v>78</v>
      </c>
      <c r="H1774" t="s">
        <v>33</v>
      </c>
      <c r="I1774" t="s">
        <v>34</v>
      </c>
      <c r="J1774" t="s">
        <v>35</v>
      </c>
      <c r="K1774">
        <v>3</v>
      </c>
      <c r="L1774">
        <v>50280.49</v>
      </c>
      <c r="M1774">
        <v>0</v>
      </c>
      <c r="N1774">
        <v>150841.48000000001</v>
      </c>
      <c r="O1774" t="s">
        <v>36</v>
      </c>
    </row>
    <row r="1775" spans="1:15" x14ac:dyDescent="0.3">
      <c r="A1775" t="s">
        <v>1843</v>
      </c>
      <c r="B1775" s="2">
        <v>47065</v>
      </c>
      <c r="C1775" t="s">
        <v>38</v>
      </c>
      <c r="D1775" t="str">
        <f t="shared" si="27"/>
        <v>November</v>
      </c>
      <c r="E1775" t="s">
        <v>32</v>
      </c>
      <c r="F1775" t="s">
        <v>25</v>
      </c>
      <c r="G1775" t="s">
        <v>92</v>
      </c>
      <c r="H1775" t="s">
        <v>33</v>
      </c>
      <c r="I1775" t="s">
        <v>34</v>
      </c>
      <c r="J1775" t="s">
        <v>35</v>
      </c>
      <c r="K1775">
        <v>3</v>
      </c>
      <c r="L1775">
        <v>2860.19</v>
      </c>
      <c r="M1775">
        <v>0</v>
      </c>
      <c r="N1775">
        <v>8580.57</v>
      </c>
      <c r="O1775" t="s">
        <v>47</v>
      </c>
    </row>
    <row r="1776" spans="1:15" x14ac:dyDescent="0.3">
      <c r="A1776" t="s">
        <v>1844</v>
      </c>
      <c r="B1776" s="2">
        <v>47066</v>
      </c>
      <c r="C1776" t="s">
        <v>58</v>
      </c>
      <c r="D1776" t="str">
        <f t="shared" si="27"/>
        <v>November</v>
      </c>
      <c r="E1776" t="s">
        <v>16</v>
      </c>
      <c r="F1776" t="s">
        <v>40</v>
      </c>
      <c r="G1776" t="s">
        <v>115</v>
      </c>
      <c r="H1776" t="s">
        <v>27</v>
      </c>
      <c r="I1776" t="s">
        <v>20</v>
      </c>
      <c r="J1776" t="s">
        <v>43</v>
      </c>
      <c r="K1776">
        <v>3</v>
      </c>
      <c r="L1776">
        <v>6178.13</v>
      </c>
      <c r="M1776">
        <v>10</v>
      </c>
      <c r="N1776">
        <v>16680.95</v>
      </c>
      <c r="O1776" t="s">
        <v>47</v>
      </c>
    </row>
    <row r="1777" spans="1:15" x14ac:dyDescent="0.3">
      <c r="A1777" t="s">
        <v>1845</v>
      </c>
      <c r="B1777" s="2">
        <v>47067</v>
      </c>
      <c r="C1777" t="s">
        <v>49</v>
      </c>
      <c r="D1777" t="str">
        <f t="shared" si="27"/>
        <v>November</v>
      </c>
      <c r="E1777" t="s">
        <v>24</v>
      </c>
      <c r="F1777" t="s">
        <v>53</v>
      </c>
      <c r="G1777" t="s">
        <v>65</v>
      </c>
      <c r="H1777" t="s">
        <v>33</v>
      </c>
      <c r="I1777" t="s">
        <v>20</v>
      </c>
      <c r="J1777" t="s">
        <v>28</v>
      </c>
      <c r="K1777">
        <v>1</v>
      </c>
      <c r="L1777">
        <v>29092.27</v>
      </c>
      <c r="M1777">
        <v>0</v>
      </c>
      <c r="N1777">
        <v>29092.27</v>
      </c>
      <c r="O1777" t="s">
        <v>36</v>
      </c>
    </row>
    <row r="1778" spans="1:15" x14ac:dyDescent="0.3">
      <c r="A1778" t="s">
        <v>1846</v>
      </c>
      <c r="B1778" s="2">
        <v>47068</v>
      </c>
      <c r="C1778" t="s">
        <v>38</v>
      </c>
      <c r="D1778" t="str">
        <f t="shared" si="27"/>
        <v>November</v>
      </c>
      <c r="E1778" t="s">
        <v>69</v>
      </c>
      <c r="F1778" t="s">
        <v>53</v>
      </c>
      <c r="G1778" t="s">
        <v>105</v>
      </c>
      <c r="H1778" t="s">
        <v>19</v>
      </c>
      <c r="I1778" t="s">
        <v>20</v>
      </c>
      <c r="J1778" t="s">
        <v>21</v>
      </c>
      <c r="K1778">
        <v>5</v>
      </c>
      <c r="L1778">
        <v>31553.61</v>
      </c>
      <c r="M1778">
        <v>5</v>
      </c>
      <c r="N1778">
        <v>149879.65</v>
      </c>
      <c r="O1778" t="s">
        <v>29</v>
      </c>
    </row>
    <row r="1779" spans="1:15" x14ac:dyDescent="0.3">
      <c r="A1779" t="s">
        <v>1847</v>
      </c>
      <c r="B1779" s="2">
        <v>47069</v>
      </c>
      <c r="C1779" t="s">
        <v>58</v>
      </c>
      <c r="D1779" t="str">
        <f t="shared" si="27"/>
        <v>November</v>
      </c>
      <c r="E1779" t="s">
        <v>72</v>
      </c>
      <c r="F1779" t="s">
        <v>53</v>
      </c>
      <c r="G1779" t="s">
        <v>65</v>
      </c>
      <c r="H1779" t="s">
        <v>27</v>
      </c>
      <c r="I1779" t="s">
        <v>42</v>
      </c>
      <c r="J1779" t="s">
        <v>28</v>
      </c>
      <c r="K1779">
        <v>2</v>
      </c>
      <c r="L1779">
        <v>34054.46</v>
      </c>
      <c r="M1779">
        <v>10</v>
      </c>
      <c r="N1779">
        <v>61298.03</v>
      </c>
      <c r="O1779" t="s">
        <v>47</v>
      </c>
    </row>
    <row r="1780" spans="1:15" x14ac:dyDescent="0.3">
      <c r="A1780" t="s">
        <v>1848</v>
      </c>
      <c r="B1780" s="2">
        <v>47070</v>
      </c>
      <c r="C1780" t="s">
        <v>31</v>
      </c>
      <c r="D1780" t="str">
        <f t="shared" si="27"/>
        <v>November</v>
      </c>
      <c r="E1780" t="s">
        <v>39</v>
      </c>
      <c r="F1780" t="s">
        <v>53</v>
      </c>
      <c r="G1780" t="s">
        <v>54</v>
      </c>
      <c r="H1780" t="s">
        <v>27</v>
      </c>
      <c r="I1780" t="s">
        <v>34</v>
      </c>
      <c r="J1780" t="s">
        <v>43</v>
      </c>
      <c r="K1780">
        <v>2</v>
      </c>
      <c r="L1780">
        <v>38896.58</v>
      </c>
      <c r="M1780">
        <v>0</v>
      </c>
      <c r="N1780">
        <v>77793.16</v>
      </c>
      <c r="O1780" t="s">
        <v>47</v>
      </c>
    </row>
    <row r="1781" spans="1:15" x14ac:dyDescent="0.3">
      <c r="A1781" t="s">
        <v>1849</v>
      </c>
      <c r="B1781" s="2">
        <v>47071</v>
      </c>
      <c r="C1781" t="s">
        <v>31</v>
      </c>
      <c r="D1781" t="str">
        <f t="shared" si="27"/>
        <v>November</v>
      </c>
      <c r="E1781" t="s">
        <v>100</v>
      </c>
      <c r="F1781" t="s">
        <v>60</v>
      </c>
      <c r="G1781" t="s">
        <v>61</v>
      </c>
      <c r="H1781" t="s">
        <v>19</v>
      </c>
      <c r="I1781" t="s">
        <v>20</v>
      </c>
      <c r="J1781" t="s">
        <v>21</v>
      </c>
      <c r="K1781">
        <v>2</v>
      </c>
      <c r="L1781">
        <v>36691.269999999997</v>
      </c>
      <c r="M1781">
        <v>0</v>
      </c>
      <c r="N1781">
        <v>73382.539999999994</v>
      </c>
      <c r="O1781" t="s">
        <v>47</v>
      </c>
    </row>
    <row r="1782" spans="1:15" x14ac:dyDescent="0.3">
      <c r="A1782" t="s">
        <v>1850</v>
      </c>
      <c r="B1782" s="2">
        <v>47072</v>
      </c>
      <c r="C1782" t="s">
        <v>38</v>
      </c>
      <c r="D1782" t="str">
        <f t="shared" si="27"/>
        <v>November</v>
      </c>
      <c r="E1782" t="s">
        <v>72</v>
      </c>
      <c r="F1782" t="s">
        <v>25</v>
      </c>
      <c r="G1782" t="s">
        <v>56</v>
      </c>
      <c r="H1782" t="s">
        <v>45</v>
      </c>
      <c r="I1782" t="s">
        <v>34</v>
      </c>
      <c r="J1782" t="s">
        <v>21</v>
      </c>
      <c r="K1782">
        <v>4</v>
      </c>
      <c r="L1782">
        <v>2953.85</v>
      </c>
      <c r="M1782">
        <v>10</v>
      </c>
      <c r="N1782">
        <v>10633.86</v>
      </c>
      <c r="O1782" t="s">
        <v>36</v>
      </c>
    </row>
    <row r="1783" spans="1:15" x14ac:dyDescent="0.3">
      <c r="A1783" t="s">
        <v>1851</v>
      </c>
      <c r="B1783" s="2">
        <v>47073</v>
      </c>
      <c r="C1783" t="s">
        <v>49</v>
      </c>
      <c r="D1783" t="str">
        <f t="shared" si="27"/>
        <v>November</v>
      </c>
      <c r="E1783" t="s">
        <v>16</v>
      </c>
      <c r="F1783" t="s">
        <v>40</v>
      </c>
      <c r="G1783" t="s">
        <v>115</v>
      </c>
      <c r="H1783" t="s">
        <v>27</v>
      </c>
      <c r="I1783" t="s">
        <v>42</v>
      </c>
      <c r="J1783" t="s">
        <v>21</v>
      </c>
      <c r="K1783">
        <v>3</v>
      </c>
      <c r="L1783">
        <v>6845</v>
      </c>
      <c r="M1783">
        <v>10</v>
      </c>
      <c r="N1783">
        <v>18481.490000000002</v>
      </c>
      <c r="O1783" t="s">
        <v>22</v>
      </c>
    </row>
    <row r="1784" spans="1:15" x14ac:dyDescent="0.3">
      <c r="A1784" t="s">
        <v>1852</v>
      </c>
      <c r="B1784" s="2">
        <v>47074</v>
      </c>
      <c r="C1784" t="s">
        <v>58</v>
      </c>
      <c r="D1784" t="str">
        <f t="shared" si="27"/>
        <v>November</v>
      </c>
      <c r="E1784" t="s">
        <v>100</v>
      </c>
      <c r="F1784" t="s">
        <v>53</v>
      </c>
      <c r="G1784" t="s">
        <v>129</v>
      </c>
      <c r="H1784" t="s">
        <v>19</v>
      </c>
      <c r="I1784" t="s">
        <v>34</v>
      </c>
      <c r="J1784" t="s">
        <v>21</v>
      </c>
      <c r="K1784">
        <v>1</v>
      </c>
      <c r="L1784">
        <v>35540.269999999997</v>
      </c>
      <c r="M1784">
        <v>10</v>
      </c>
      <c r="N1784">
        <v>31986.240000000002</v>
      </c>
      <c r="O1784" t="s">
        <v>47</v>
      </c>
    </row>
    <row r="1785" spans="1:15" x14ac:dyDescent="0.3">
      <c r="A1785" t="s">
        <v>1853</v>
      </c>
      <c r="B1785" s="2">
        <v>47075</v>
      </c>
      <c r="C1785" t="s">
        <v>31</v>
      </c>
      <c r="D1785" t="str">
        <f t="shared" si="27"/>
        <v>November</v>
      </c>
      <c r="E1785" t="s">
        <v>69</v>
      </c>
      <c r="F1785" t="s">
        <v>17</v>
      </c>
      <c r="G1785" t="s">
        <v>123</v>
      </c>
      <c r="H1785" t="s">
        <v>45</v>
      </c>
      <c r="I1785" t="s">
        <v>42</v>
      </c>
      <c r="J1785" t="s">
        <v>35</v>
      </c>
      <c r="K1785">
        <v>1</v>
      </c>
      <c r="L1785">
        <v>50927.08</v>
      </c>
      <c r="M1785">
        <v>20</v>
      </c>
      <c r="N1785">
        <v>40741.660000000003</v>
      </c>
      <c r="O1785" t="s">
        <v>29</v>
      </c>
    </row>
    <row r="1786" spans="1:15" x14ac:dyDescent="0.3">
      <c r="A1786" t="s">
        <v>1854</v>
      </c>
      <c r="B1786" s="2">
        <v>47076</v>
      </c>
      <c r="C1786" t="s">
        <v>49</v>
      </c>
      <c r="D1786" t="str">
        <f t="shared" si="27"/>
        <v>November</v>
      </c>
      <c r="E1786" t="s">
        <v>69</v>
      </c>
      <c r="F1786" t="s">
        <v>17</v>
      </c>
      <c r="G1786" t="s">
        <v>63</v>
      </c>
      <c r="H1786" t="s">
        <v>45</v>
      </c>
      <c r="I1786" t="s">
        <v>42</v>
      </c>
      <c r="J1786" t="s">
        <v>28</v>
      </c>
      <c r="K1786">
        <v>5</v>
      </c>
      <c r="L1786">
        <v>59953.760000000002</v>
      </c>
      <c r="M1786">
        <v>0</v>
      </c>
      <c r="N1786">
        <v>299768.78000000003</v>
      </c>
      <c r="O1786" t="s">
        <v>29</v>
      </c>
    </row>
    <row r="1787" spans="1:15" x14ac:dyDescent="0.3">
      <c r="A1787" t="s">
        <v>1855</v>
      </c>
      <c r="B1787" s="2">
        <v>47077</v>
      </c>
      <c r="C1787" t="s">
        <v>31</v>
      </c>
      <c r="D1787" t="str">
        <f t="shared" si="27"/>
        <v>November</v>
      </c>
      <c r="E1787" t="s">
        <v>24</v>
      </c>
      <c r="F1787" t="s">
        <v>17</v>
      </c>
      <c r="G1787" t="s">
        <v>123</v>
      </c>
      <c r="H1787" t="s">
        <v>33</v>
      </c>
      <c r="I1787" t="s">
        <v>34</v>
      </c>
      <c r="J1787" t="s">
        <v>21</v>
      </c>
      <c r="K1787">
        <v>4</v>
      </c>
      <c r="L1787">
        <v>47001.03</v>
      </c>
      <c r="M1787">
        <v>5</v>
      </c>
      <c r="N1787">
        <v>178603.92</v>
      </c>
      <c r="O1787" t="s">
        <v>36</v>
      </c>
    </row>
    <row r="1788" spans="1:15" x14ac:dyDescent="0.3">
      <c r="A1788" t="s">
        <v>1856</v>
      </c>
      <c r="B1788" s="2">
        <v>47078</v>
      </c>
      <c r="C1788" t="s">
        <v>15</v>
      </c>
      <c r="D1788" t="str">
        <f t="shared" si="27"/>
        <v>November</v>
      </c>
      <c r="E1788" t="s">
        <v>39</v>
      </c>
      <c r="F1788" t="s">
        <v>25</v>
      </c>
      <c r="G1788" t="s">
        <v>56</v>
      </c>
      <c r="H1788" t="s">
        <v>27</v>
      </c>
      <c r="I1788" t="s">
        <v>20</v>
      </c>
      <c r="J1788" t="s">
        <v>46</v>
      </c>
      <c r="K1788">
        <v>3</v>
      </c>
      <c r="L1788">
        <v>2529.31</v>
      </c>
      <c r="M1788">
        <v>10</v>
      </c>
      <c r="N1788">
        <v>6829.13</v>
      </c>
      <c r="O1788" t="s">
        <v>29</v>
      </c>
    </row>
    <row r="1789" spans="1:15" x14ac:dyDescent="0.3">
      <c r="A1789" t="s">
        <v>1857</v>
      </c>
      <c r="B1789" s="2">
        <v>47079</v>
      </c>
      <c r="C1789" t="s">
        <v>38</v>
      </c>
      <c r="D1789" t="str">
        <f t="shared" si="27"/>
        <v>November</v>
      </c>
      <c r="E1789" t="s">
        <v>52</v>
      </c>
      <c r="F1789" t="s">
        <v>25</v>
      </c>
      <c r="G1789" t="s">
        <v>92</v>
      </c>
      <c r="H1789" t="s">
        <v>19</v>
      </c>
      <c r="I1789" t="s">
        <v>20</v>
      </c>
      <c r="J1789" t="s">
        <v>28</v>
      </c>
      <c r="K1789">
        <v>1</v>
      </c>
      <c r="L1789">
        <v>2885.73</v>
      </c>
      <c r="M1789">
        <v>10</v>
      </c>
      <c r="N1789">
        <v>2597.16</v>
      </c>
      <c r="O1789" t="s">
        <v>29</v>
      </c>
    </row>
    <row r="1790" spans="1:15" x14ac:dyDescent="0.3">
      <c r="A1790" t="s">
        <v>1858</v>
      </c>
      <c r="B1790" s="2">
        <v>47080</v>
      </c>
      <c r="C1790" t="s">
        <v>15</v>
      </c>
      <c r="D1790" t="str">
        <f t="shared" si="27"/>
        <v>November</v>
      </c>
      <c r="E1790" t="s">
        <v>32</v>
      </c>
      <c r="F1790" t="s">
        <v>25</v>
      </c>
      <c r="G1790" t="s">
        <v>92</v>
      </c>
      <c r="H1790" t="s">
        <v>27</v>
      </c>
      <c r="I1790" t="s">
        <v>42</v>
      </c>
      <c r="J1790" t="s">
        <v>46</v>
      </c>
      <c r="K1790">
        <v>1</v>
      </c>
      <c r="L1790">
        <v>1883.65</v>
      </c>
      <c r="M1790">
        <v>5</v>
      </c>
      <c r="N1790">
        <v>1789.47</v>
      </c>
      <c r="O1790" t="s">
        <v>36</v>
      </c>
    </row>
    <row r="1791" spans="1:15" x14ac:dyDescent="0.3">
      <c r="A1791" t="s">
        <v>1859</v>
      </c>
      <c r="B1791" s="2">
        <v>47081</v>
      </c>
      <c r="C1791" t="s">
        <v>49</v>
      </c>
      <c r="D1791" t="str">
        <f t="shared" si="27"/>
        <v>November</v>
      </c>
      <c r="E1791" t="s">
        <v>39</v>
      </c>
      <c r="F1791" t="s">
        <v>40</v>
      </c>
      <c r="G1791" t="s">
        <v>75</v>
      </c>
      <c r="H1791" t="s">
        <v>27</v>
      </c>
      <c r="I1791" t="s">
        <v>20</v>
      </c>
      <c r="J1791" t="s">
        <v>21</v>
      </c>
      <c r="K1791">
        <v>2</v>
      </c>
      <c r="L1791">
        <v>7493.5</v>
      </c>
      <c r="M1791">
        <v>5</v>
      </c>
      <c r="N1791">
        <v>14237.65</v>
      </c>
      <c r="O1791" t="s">
        <v>47</v>
      </c>
    </row>
    <row r="1792" spans="1:15" x14ac:dyDescent="0.3">
      <c r="A1792" t="s">
        <v>1860</v>
      </c>
      <c r="B1792" s="2">
        <v>47082</v>
      </c>
      <c r="C1792" t="s">
        <v>58</v>
      </c>
      <c r="D1792" t="str">
        <f t="shared" si="27"/>
        <v>November</v>
      </c>
      <c r="E1792" t="s">
        <v>72</v>
      </c>
      <c r="F1792" t="s">
        <v>40</v>
      </c>
      <c r="G1792" t="s">
        <v>41</v>
      </c>
      <c r="H1792" t="s">
        <v>27</v>
      </c>
      <c r="I1792" t="s">
        <v>34</v>
      </c>
      <c r="J1792" t="s">
        <v>46</v>
      </c>
      <c r="K1792">
        <v>4</v>
      </c>
      <c r="L1792">
        <v>7134.99</v>
      </c>
      <c r="M1792">
        <v>20</v>
      </c>
      <c r="N1792">
        <v>22831.97</v>
      </c>
      <c r="O1792" t="s">
        <v>47</v>
      </c>
    </row>
    <row r="1793" spans="1:15" x14ac:dyDescent="0.3">
      <c r="A1793" t="s">
        <v>1861</v>
      </c>
      <c r="B1793" s="2">
        <v>47083</v>
      </c>
      <c r="C1793" t="s">
        <v>15</v>
      </c>
      <c r="D1793" t="str">
        <f t="shared" si="27"/>
        <v>November</v>
      </c>
      <c r="E1793" t="s">
        <v>50</v>
      </c>
      <c r="F1793" t="s">
        <v>40</v>
      </c>
      <c r="G1793" t="s">
        <v>118</v>
      </c>
      <c r="H1793" t="s">
        <v>27</v>
      </c>
      <c r="I1793" t="s">
        <v>20</v>
      </c>
      <c r="J1793" t="s">
        <v>21</v>
      </c>
      <c r="K1793">
        <v>1</v>
      </c>
      <c r="L1793">
        <v>5424.77</v>
      </c>
      <c r="M1793">
        <v>10</v>
      </c>
      <c r="N1793">
        <v>4882.29</v>
      </c>
      <c r="O1793" t="s">
        <v>29</v>
      </c>
    </row>
    <row r="1794" spans="1:15" x14ac:dyDescent="0.3">
      <c r="A1794" t="s">
        <v>1862</v>
      </c>
      <c r="B1794" s="2">
        <v>47084</v>
      </c>
      <c r="C1794" t="s">
        <v>58</v>
      </c>
      <c r="D1794" t="str">
        <f t="shared" si="27"/>
        <v>November</v>
      </c>
      <c r="E1794" t="s">
        <v>100</v>
      </c>
      <c r="F1794" t="s">
        <v>40</v>
      </c>
      <c r="G1794" t="s">
        <v>41</v>
      </c>
      <c r="H1794" t="s">
        <v>45</v>
      </c>
      <c r="I1794" t="s">
        <v>20</v>
      </c>
      <c r="J1794" t="s">
        <v>28</v>
      </c>
      <c r="K1794">
        <v>2</v>
      </c>
      <c r="L1794">
        <v>7171.57</v>
      </c>
      <c r="M1794">
        <v>15</v>
      </c>
      <c r="N1794">
        <v>12191.67</v>
      </c>
      <c r="O1794" t="s">
        <v>47</v>
      </c>
    </row>
    <row r="1795" spans="1:15" x14ac:dyDescent="0.3">
      <c r="A1795" t="s">
        <v>1863</v>
      </c>
      <c r="B1795" s="2">
        <v>47085</v>
      </c>
      <c r="C1795" t="s">
        <v>31</v>
      </c>
      <c r="D1795" t="str">
        <f t="shared" ref="D1795:D1858" si="28">TEXT(B1795,"mmmm")</f>
        <v>November</v>
      </c>
      <c r="E1795" t="s">
        <v>77</v>
      </c>
      <c r="F1795" t="s">
        <v>60</v>
      </c>
      <c r="G1795" t="s">
        <v>70</v>
      </c>
      <c r="H1795" t="s">
        <v>45</v>
      </c>
      <c r="I1795" t="s">
        <v>34</v>
      </c>
      <c r="J1795" t="s">
        <v>35</v>
      </c>
      <c r="K1795">
        <v>4</v>
      </c>
      <c r="L1795">
        <v>32379</v>
      </c>
      <c r="M1795">
        <v>15</v>
      </c>
      <c r="N1795">
        <v>110088.62</v>
      </c>
      <c r="O1795" t="s">
        <v>47</v>
      </c>
    </row>
    <row r="1796" spans="1:15" x14ac:dyDescent="0.3">
      <c r="A1796" t="s">
        <v>1864</v>
      </c>
      <c r="B1796" s="2">
        <v>47086</v>
      </c>
      <c r="C1796" t="s">
        <v>31</v>
      </c>
      <c r="D1796" t="str">
        <f t="shared" si="28"/>
        <v>November</v>
      </c>
      <c r="E1796" t="s">
        <v>16</v>
      </c>
      <c r="F1796" t="s">
        <v>53</v>
      </c>
      <c r="G1796" t="s">
        <v>105</v>
      </c>
      <c r="H1796" t="s">
        <v>27</v>
      </c>
      <c r="I1796" t="s">
        <v>20</v>
      </c>
      <c r="J1796" t="s">
        <v>21</v>
      </c>
      <c r="K1796">
        <v>3</v>
      </c>
      <c r="L1796">
        <v>30871.3</v>
      </c>
      <c r="M1796">
        <v>15</v>
      </c>
      <c r="N1796">
        <v>78721.820000000007</v>
      </c>
      <c r="O1796" t="s">
        <v>47</v>
      </c>
    </row>
    <row r="1797" spans="1:15" x14ac:dyDescent="0.3">
      <c r="A1797" t="s">
        <v>1865</v>
      </c>
      <c r="B1797" s="2">
        <v>47087</v>
      </c>
      <c r="C1797" t="s">
        <v>49</v>
      </c>
      <c r="D1797" t="str">
        <f t="shared" si="28"/>
        <v>November</v>
      </c>
      <c r="E1797" t="s">
        <v>77</v>
      </c>
      <c r="F1797" t="s">
        <v>17</v>
      </c>
      <c r="G1797" t="s">
        <v>67</v>
      </c>
      <c r="H1797" t="s">
        <v>27</v>
      </c>
      <c r="I1797" t="s">
        <v>20</v>
      </c>
      <c r="J1797" t="s">
        <v>21</v>
      </c>
      <c r="K1797">
        <v>1</v>
      </c>
      <c r="L1797">
        <v>50015.73</v>
      </c>
      <c r="M1797">
        <v>10</v>
      </c>
      <c r="N1797">
        <v>45014.16</v>
      </c>
      <c r="O1797" t="s">
        <v>47</v>
      </c>
    </row>
    <row r="1798" spans="1:15" x14ac:dyDescent="0.3">
      <c r="A1798" t="s">
        <v>1866</v>
      </c>
      <c r="B1798" s="2">
        <v>47088</v>
      </c>
      <c r="C1798" t="s">
        <v>49</v>
      </c>
      <c r="D1798" t="str">
        <f t="shared" si="28"/>
        <v>December</v>
      </c>
      <c r="E1798" t="s">
        <v>39</v>
      </c>
      <c r="F1798" t="s">
        <v>40</v>
      </c>
      <c r="G1798" t="s">
        <v>115</v>
      </c>
      <c r="H1798" t="s">
        <v>33</v>
      </c>
      <c r="I1798" t="s">
        <v>20</v>
      </c>
      <c r="J1798" t="s">
        <v>35</v>
      </c>
      <c r="K1798">
        <v>1</v>
      </c>
      <c r="L1798">
        <v>5442.69</v>
      </c>
      <c r="M1798">
        <v>15</v>
      </c>
      <c r="N1798">
        <v>4626.29</v>
      </c>
      <c r="O1798" t="s">
        <v>36</v>
      </c>
    </row>
    <row r="1799" spans="1:15" x14ac:dyDescent="0.3">
      <c r="A1799" t="s">
        <v>1867</v>
      </c>
      <c r="B1799" s="2">
        <v>47089</v>
      </c>
      <c r="C1799" t="s">
        <v>31</v>
      </c>
      <c r="D1799" t="str">
        <f t="shared" si="28"/>
        <v>December</v>
      </c>
      <c r="E1799" t="s">
        <v>72</v>
      </c>
      <c r="F1799" t="s">
        <v>17</v>
      </c>
      <c r="G1799" t="s">
        <v>63</v>
      </c>
      <c r="H1799" t="s">
        <v>33</v>
      </c>
      <c r="I1799" t="s">
        <v>42</v>
      </c>
      <c r="J1799" t="s">
        <v>46</v>
      </c>
      <c r="K1799">
        <v>5</v>
      </c>
      <c r="L1799">
        <v>48765.08</v>
      </c>
      <c r="M1799">
        <v>15</v>
      </c>
      <c r="N1799">
        <v>207251.57</v>
      </c>
      <c r="O1799" t="s">
        <v>22</v>
      </c>
    </row>
    <row r="1800" spans="1:15" x14ac:dyDescent="0.3">
      <c r="A1800" t="s">
        <v>1868</v>
      </c>
      <c r="B1800" s="2">
        <v>47090</v>
      </c>
      <c r="C1800" t="s">
        <v>49</v>
      </c>
      <c r="D1800" t="str">
        <f t="shared" si="28"/>
        <v>December</v>
      </c>
      <c r="E1800" t="s">
        <v>69</v>
      </c>
      <c r="F1800" t="s">
        <v>60</v>
      </c>
      <c r="G1800" t="s">
        <v>61</v>
      </c>
      <c r="H1800" t="s">
        <v>27</v>
      </c>
      <c r="I1800" t="s">
        <v>34</v>
      </c>
      <c r="J1800" t="s">
        <v>43</v>
      </c>
      <c r="K1800">
        <v>1</v>
      </c>
      <c r="L1800">
        <v>37572.269999999997</v>
      </c>
      <c r="M1800">
        <v>5</v>
      </c>
      <c r="N1800">
        <v>35693.660000000003</v>
      </c>
      <c r="O1800" t="s">
        <v>22</v>
      </c>
    </row>
    <row r="1801" spans="1:15" x14ac:dyDescent="0.3">
      <c r="A1801" t="s">
        <v>1869</v>
      </c>
      <c r="B1801" s="2">
        <v>47091</v>
      </c>
      <c r="C1801" t="s">
        <v>38</v>
      </c>
      <c r="D1801" t="str">
        <f t="shared" si="28"/>
        <v>December</v>
      </c>
      <c r="E1801" t="s">
        <v>32</v>
      </c>
      <c r="F1801" t="s">
        <v>17</v>
      </c>
      <c r="G1801" t="s">
        <v>123</v>
      </c>
      <c r="H1801" t="s">
        <v>27</v>
      </c>
      <c r="I1801" t="s">
        <v>20</v>
      </c>
      <c r="J1801" t="s">
        <v>21</v>
      </c>
      <c r="K1801">
        <v>1</v>
      </c>
      <c r="L1801">
        <v>65669.69</v>
      </c>
      <c r="M1801">
        <v>15</v>
      </c>
      <c r="N1801">
        <v>55819.24</v>
      </c>
      <c r="O1801" t="s">
        <v>47</v>
      </c>
    </row>
    <row r="1802" spans="1:15" x14ac:dyDescent="0.3">
      <c r="A1802" t="s">
        <v>1870</v>
      </c>
      <c r="B1802" s="2">
        <v>47092</v>
      </c>
      <c r="C1802" t="s">
        <v>49</v>
      </c>
      <c r="D1802" t="str">
        <f t="shared" si="28"/>
        <v>December</v>
      </c>
      <c r="E1802" t="s">
        <v>52</v>
      </c>
      <c r="F1802" t="s">
        <v>40</v>
      </c>
      <c r="G1802" t="s">
        <v>75</v>
      </c>
      <c r="H1802" t="s">
        <v>27</v>
      </c>
      <c r="I1802" t="s">
        <v>34</v>
      </c>
      <c r="J1802" t="s">
        <v>46</v>
      </c>
      <c r="K1802">
        <v>5</v>
      </c>
      <c r="L1802">
        <v>7286.58</v>
      </c>
      <c r="M1802">
        <v>0</v>
      </c>
      <c r="N1802">
        <v>36432.89</v>
      </c>
      <c r="O1802" t="s">
        <v>29</v>
      </c>
    </row>
    <row r="1803" spans="1:15" x14ac:dyDescent="0.3">
      <c r="A1803" t="s">
        <v>1871</v>
      </c>
      <c r="B1803" s="2">
        <v>47093</v>
      </c>
      <c r="C1803" t="s">
        <v>58</v>
      </c>
      <c r="D1803" t="str">
        <f t="shared" si="28"/>
        <v>December</v>
      </c>
      <c r="E1803" t="s">
        <v>39</v>
      </c>
      <c r="F1803" t="s">
        <v>40</v>
      </c>
      <c r="G1803" t="s">
        <v>75</v>
      </c>
      <c r="H1803" t="s">
        <v>45</v>
      </c>
      <c r="I1803" t="s">
        <v>34</v>
      </c>
      <c r="J1803" t="s">
        <v>46</v>
      </c>
      <c r="K1803">
        <v>3</v>
      </c>
      <c r="L1803">
        <v>4936.83</v>
      </c>
      <c r="M1803">
        <v>5</v>
      </c>
      <c r="N1803">
        <v>14069.98</v>
      </c>
      <c r="O1803" t="s">
        <v>47</v>
      </c>
    </row>
    <row r="1804" spans="1:15" x14ac:dyDescent="0.3">
      <c r="A1804" t="s">
        <v>1872</v>
      </c>
      <c r="B1804" s="2">
        <v>47094</v>
      </c>
      <c r="C1804" t="s">
        <v>15</v>
      </c>
      <c r="D1804" t="str">
        <f t="shared" si="28"/>
        <v>December</v>
      </c>
      <c r="E1804" t="s">
        <v>39</v>
      </c>
      <c r="F1804" t="s">
        <v>40</v>
      </c>
      <c r="G1804" t="s">
        <v>115</v>
      </c>
      <c r="H1804" t="s">
        <v>45</v>
      </c>
      <c r="I1804" t="s">
        <v>20</v>
      </c>
      <c r="J1804" t="s">
        <v>28</v>
      </c>
      <c r="K1804">
        <v>4</v>
      </c>
      <c r="L1804">
        <v>6548.12</v>
      </c>
      <c r="M1804">
        <v>15</v>
      </c>
      <c r="N1804">
        <v>22263.61</v>
      </c>
      <c r="O1804" t="s">
        <v>22</v>
      </c>
    </row>
    <row r="1805" spans="1:15" x14ac:dyDescent="0.3">
      <c r="A1805" t="s">
        <v>1873</v>
      </c>
      <c r="B1805" s="2">
        <v>47095</v>
      </c>
      <c r="C1805" t="s">
        <v>49</v>
      </c>
      <c r="D1805" t="str">
        <f t="shared" si="28"/>
        <v>December</v>
      </c>
      <c r="E1805" t="s">
        <v>50</v>
      </c>
      <c r="F1805" t="s">
        <v>25</v>
      </c>
      <c r="G1805" t="s">
        <v>56</v>
      </c>
      <c r="H1805" t="s">
        <v>27</v>
      </c>
      <c r="I1805" t="s">
        <v>20</v>
      </c>
      <c r="J1805" t="s">
        <v>46</v>
      </c>
      <c r="K1805">
        <v>5</v>
      </c>
      <c r="L1805">
        <v>2062.66</v>
      </c>
      <c r="M1805">
        <v>0</v>
      </c>
      <c r="N1805">
        <v>10313.299999999999</v>
      </c>
      <c r="O1805" t="s">
        <v>47</v>
      </c>
    </row>
    <row r="1806" spans="1:15" x14ac:dyDescent="0.3">
      <c r="A1806" t="s">
        <v>1874</v>
      </c>
      <c r="B1806" s="2">
        <v>47096</v>
      </c>
      <c r="C1806" t="s">
        <v>15</v>
      </c>
      <c r="D1806" t="str">
        <f t="shared" si="28"/>
        <v>December</v>
      </c>
      <c r="E1806" t="s">
        <v>32</v>
      </c>
      <c r="F1806" t="s">
        <v>40</v>
      </c>
      <c r="G1806" t="s">
        <v>118</v>
      </c>
      <c r="H1806" t="s">
        <v>33</v>
      </c>
      <c r="I1806" t="s">
        <v>20</v>
      </c>
      <c r="J1806" t="s">
        <v>28</v>
      </c>
      <c r="K1806">
        <v>3</v>
      </c>
      <c r="L1806">
        <v>5874.85</v>
      </c>
      <c r="M1806">
        <v>5</v>
      </c>
      <c r="N1806">
        <v>16743.310000000001</v>
      </c>
      <c r="O1806" t="s">
        <v>47</v>
      </c>
    </row>
    <row r="1807" spans="1:15" x14ac:dyDescent="0.3">
      <c r="A1807" t="s">
        <v>1875</v>
      </c>
      <c r="B1807" s="2">
        <v>47097</v>
      </c>
      <c r="C1807" t="s">
        <v>58</v>
      </c>
      <c r="D1807" t="str">
        <f t="shared" si="28"/>
        <v>December</v>
      </c>
      <c r="E1807" t="s">
        <v>69</v>
      </c>
      <c r="F1807" t="s">
        <v>53</v>
      </c>
      <c r="G1807" t="s">
        <v>105</v>
      </c>
      <c r="H1807" t="s">
        <v>33</v>
      </c>
      <c r="I1807" t="s">
        <v>20</v>
      </c>
      <c r="J1807" t="s">
        <v>46</v>
      </c>
      <c r="K1807">
        <v>3</v>
      </c>
      <c r="L1807">
        <v>38913.53</v>
      </c>
      <c r="M1807">
        <v>0</v>
      </c>
      <c r="N1807">
        <v>116740.6</v>
      </c>
      <c r="O1807" t="s">
        <v>47</v>
      </c>
    </row>
    <row r="1808" spans="1:15" x14ac:dyDescent="0.3">
      <c r="A1808" t="s">
        <v>1876</v>
      </c>
      <c r="B1808" s="2">
        <v>47098</v>
      </c>
      <c r="C1808" t="s">
        <v>38</v>
      </c>
      <c r="D1808" t="str">
        <f t="shared" si="28"/>
        <v>December</v>
      </c>
      <c r="E1808" t="s">
        <v>77</v>
      </c>
      <c r="F1808" t="s">
        <v>40</v>
      </c>
      <c r="G1808" t="s">
        <v>118</v>
      </c>
      <c r="H1808" t="s">
        <v>45</v>
      </c>
      <c r="I1808" t="s">
        <v>42</v>
      </c>
      <c r="J1808" t="s">
        <v>43</v>
      </c>
      <c r="K1808">
        <v>3</v>
      </c>
      <c r="L1808">
        <v>7334.63</v>
      </c>
      <c r="M1808">
        <v>0</v>
      </c>
      <c r="N1808">
        <v>22003.88</v>
      </c>
      <c r="O1808" t="s">
        <v>36</v>
      </c>
    </row>
    <row r="1809" spans="1:15" x14ac:dyDescent="0.3">
      <c r="A1809" t="s">
        <v>1877</v>
      </c>
      <c r="B1809" s="2">
        <v>47099</v>
      </c>
      <c r="C1809" t="s">
        <v>31</v>
      </c>
      <c r="D1809" t="str">
        <f t="shared" si="28"/>
        <v>December</v>
      </c>
      <c r="E1809" t="s">
        <v>77</v>
      </c>
      <c r="F1809" t="s">
        <v>25</v>
      </c>
      <c r="G1809" t="s">
        <v>56</v>
      </c>
      <c r="H1809" t="s">
        <v>33</v>
      </c>
      <c r="I1809" t="s">
        <v>42</v>
      </c>
      <c r="J1809" t="s">
        <v>21</v>
      </c>
      <c r="K1809">
        <v>1</v>
      </c>
      <c r="L1809">
        <v>1985.02</v>
      </c>
      <c r="M1809">
        <v>5</v>
      </c>
      <c r="N1809">
        <v>1885.77</v>
      </c>
      <c r="O1809" t="s">
        <v>29</v>
      </c>
    </row>
    <row r="1810" spans="1:15" x14ac:dyDescent="0.3">
      <c r="A1810" t="s">
        <v>1878</v>
      </c>
      <c r="B1810" s="2">
        <v>47100</v>
      </c>
      <c r="C1810" t="s">
        <v>38</v>
      </c>
      <c r="D1810" t="str">
        <f t="shared" si="28"/>
        <v>December</v>
      </c>
      <c r="E1810" t="s">
        <v>72</v>
      </c>
      <c r="F1810" t="s">
        <v>40</v>
      </c>
      <c r="G1810" t="s">
        <v>41</v>
      </c>
      <c r="H1810" t="s">
        <v>45</v>
      </c>
      <c r="I1810" t="s">
        <v>20</v>
      </c>
      <c r="J1810" t="s">
        <v>46</v>
      </c>
      <c r="K1810">
        <v>1</v>
      </c>
      <c r="L1810">
        <v>6432.12</v>
      </c>
      <c r="M1810">
        <v>5</v>
      </c>
      <c r="N1810">
        <v>6110.51</v>
      </c>
      <c r="O1810" t="s">
        <v>22</v>
      </c>
    </row>
    <row r="1811" spans="1:15" x14ac:dyDescent="0.3">
      <c r="A1811" t="s">
        <v>1879</v>
      </c>
      <c r="B1811" s="2">
        <v>47101</v>
      </c>
      <c r="C1811" t="s">
        <v>31</v>
      </c>
      <c r="D1811" t="str">
        <f t="shared" si="28"/>
        <v>December</v>
      </c>
      <c r="E1811" t="s">
        <v>100</v>
      </c>
      <c r="F1811" t="s">
        <v>17</v>
      </c>
      <c r="G1811" t="s">
        <v>63</v>
      </c>
      <c r="H1811" t="s">
        <v>19</v>
      </c>
      <c r="I1811" t="s">
        <v>42</v>
      </c>
      <c r="J1811" t="s">
        <v>43</v>
      </c>
      <c r="K1811">
        <v>3</v>
      </c>
      <c r="L1811">
        <v>60179.88</v>
      </c>
      <c r="M1811">
        <v>20</v>
      </c>
      <c r="N1811">
        <v>144431.72</v>
      </c>
      <c r="O1811" t="s">
        <v>47</v>
      </c>
    </row>
    <row r="1812" spans="1:15" x14ac:dyDescent="0.3">
      <c r="A1812" t="s">
        <v>1880</v>
      </c>
      <c r="B1812" s="2">
        <v>47102</v>
      </c>
      <c r="C1812" t="s">
        <v>49</v>
      </c>
      <c r="D1812" t="str">
        <f t="shared" si="28"/>
        <v>December</v>
      </c>
      <c r="E1812" t="s">
        <v>32</v>
      </c>
      <c r="F1812" t="s">
        <v>53</v>
      </c>
      <c r="G1812" t="s">
        <v>54</v>
      </c>
      <c r="H1812" t="s">
        <v>45</v>
      </c>
      <c r="I1812" t="s">
        <v>34</v>
      </c>
      <c r="J1812" t="s">
        <v>28</v>
      </c>
      <c r="K1812">
        <v>2</v>
      </c>
      <c r="L1812">
        <v>34195.61</v>
      </c>
      <c r="M1812">
        <v>5</v>
      </c>
      <c r="N1812">
        <v>64971.66</v>
      </c>
      <c r="O1812" t="s">
        <v>47</v>
      </c>
    </row>
    <row r="1813" spans="1:15" x14ac:dyDescent="0.3">
      <c r="A1813" t="s">
        <v>1881</v>
      </c>
      <c r="B1813" s="2">
        <v>47103</v>
      </c>
      <c r="C1813" t="s">
        <v>31</v>
      </c>
      <c r="D1813" t="str">
        <f t="shared" si="28"/>
        <v>December</v>
      </c>
      <c r="E1813" t="s">
        <v>24</v>
      </c>
      <c r="F1813" t="s">
        <v>40</v>
      </c>
      <c r="G1813" t="s">
        <v>41</v>
      </c>
      <c r="H1813" t="s">
        <v>45</v>
      </c>
      <c r="I1813" t="s">
        <v>34</v>
      </c>
      <c r="J1813" t="s">
        <v>46</v>
      </c>
      <c r="K1813">
        <v>2</v>
      </c>
      <c r="L1813">
        <v>5931.17</v>
      </c>
      <c r="M1813">
        <v>15</v>
      </c>
      <c r="N1813">
        <v>10083</v>
      </c>
      <c r="O1813" t="s">
        <v>36</v>
      </c>
    </row>
    <row r="1814" spans="1:15" x14ac:dyDescent="0.3">
      <c r="A1814" t="s">
        <v>1882</v>
      </c>
      <c r="B1814" s="2">
        <v>47104</v>
      </c>
      <c r="C1814" t="s">
        <v>58</v>
      </c>
      <c r="D1814" t="str">
        <f t="shared" si="28"/>
        <v>December</v>
      </c>
      <c r="E1814" t="s">
        <v>16</v>
      </c>
      <c r="F1814" t="s">
        <v>40</v>
      </c>
      <c r="G1814" t="s">
        <v>41</v>
      </c>
      <c r="H1814" t="s">
        <v>33</v>
      </c>
      <c r="I1814" t="s">
        <v>34</v>
      </c>
      <c r="J1814" t="s">
        <v>35</v>
      </c>
      <c r="K1814">
        <v>4</v>
      </c>
      <c r="L1814">
        <v>7745.25</v>
      </c>
      <c r="M1814">
        <v>20</v>
      </c>
      <c r="N1814">
        <v>24784.799999999999</v>
      </c>
      <c r="O1814" t="s">
        <v>36</v>
      </c>
    </row>
    <row r="1815" spans="1:15" x14ac:dyDescent="0.3">
      <c r="A1815" t="s">
        <v>1883</v>
      </c>
      <c r="B1815" s="2">
        <v>47105</v>
      </c>
      <c r="C1815" t="s">
        <v>15</v>
      </c>
      <c r="D1815" t="str">
        <f t="shared" si="28"/>
        <v>December</v>
      </c>
      <c r="E1815" t="s">
        <v>39</v>
      </c>
      <c r="F1815" t="s">
        <v>25</v>
      </c>
      <c r="G1815" t="s">
        <v>56</v>
      </c>
      <c r="H1815" t="s">
        <v>27</v>
      </c>
      <c r="I1815" t="s">
        <v>20</v>
      </c>
      <c r="J1815" t="s">
        <v>43</v>
      </c>
      <c r="K1815">
        <v>1</v>
      </c>
      <c r="L1815">
        <v>2746.83</v>
      </c>
      <c r="M1815">
        <v>5</v>
      </c>
      <c r="N1815">
        <v>2609.4899999999998</v>
      </c>
      <c r="O1815" t="s">
        <v>47</v>
      </c>
    </row>
    <row r="1816" spans="1:15" x14ac:dyDescent="0.3">
      <c r="A1816" t="s">
        <v>1884</v>
      </c>
      <c r="B1816" s="2">
        <v>47106</v>
      </c>
      <c r="C1816" t="s">
        <v>31</v>
      </c>
      <c r="D1816" t="str">
        <f t="shared" si="28"/>
        <v>December</v>
      </c>
      <c r="E1816" t="s">
        <v>24</v>
      </c>
      <c r="F1816" t="s">
        <v>25</v>
      </c>
      <c r="G1816" t="s">
        <v>92</v>
      </c>
      <c r="H1816" t="s">
        <v>19</v>
      </c>
      <c r="I1816" t="s">
        <v>34</v>
      </c>
      <c r="J1816" t="s">
        <v>28</v>
      </c>
      <c r="K1816">
        <v>1</v>
      </c>
      <c r="L1816">
        <v>2978.28</v>
      </c>
      <c r="M1816">
        <v>20</v>
      </c>
      <c r="N1816">
        <v>2382.62</v>
      </c>
      <c r="O1816" t="s">
        <v>47</v>
      </c>
    </row>
    <row r="1817" spans="1:15" x14ac:dyDescent="0.3">
      <c r="A1817" t="s">
        <v>1885</v>
      </c>
      <c r="B1817" s="2">
        <v>47107</v>
      </c>
      <c r="C1817" t="s">
        <v>31</v>
      </c>
      <c r="D1817" t="str">
        <f t="shared" si="28"/>
        <v>December</v>
      </c>
      <c r="E1817" t="s">
        <v>72</v>
      </c>
      <c r="F1817" t="s">
        <v>60</v>
      </c>
      <c r="G1817" t="s">
        <v>73</v>
      </c>
      <c r="H1817" t="s">
        <v>27</v>
      </c>
      <c r="I1817" t="s">
        <v>34</v>
      </c>
      <c r="J1817" t="s">
        <v>21</v>
      </c>
      <c r="K1817">
        <v>3</v>
      </c>
      <c r="L1817">
        <v>36734.57</v>
      </c>
      <c r="M1817">
        <v>0</v>
      </c>
      <c r="N1817">
        <v>110203.71</v>
      </c>
      <c r="O1817" t="s">
        <v>36</v>
      </c>
    </row>
    <row r="1818" spans="1:15" x14ac:dyDescent="0.3">
      <c r="A1818" t="s">
        <v>1886</v>
      </c>
      <c r="B1818" s="2">
        <v>47108</v>
      </c>
      <c r="C1818" t="s">
        <v>58</v>
      </c>
      <c r="D1818" t="str">
        <f t="shared" si="28"/>
        <v>December</v>
      </c>
      <c r="E1818" t="s">
        <v>52</v>
      </c>
      <c r="F1818" t="s">
        <v>25</v>
      </c>
      <c r="G1818" t="s">
        <v>56</v>
      </c>
      <c r="H1818" t="s">
        <v>45</v>
      </c>
      <c r="I1818" t="s">
        <v>34</v>
      </c>
      <c r="J1818" t="s">
        <v>35</v>
      </c>
      <c r="K1818">
        <v>1</v>
      </c>
      <c r="L1818">
        <v>2723.16</v>
      </c>
      <c r="M1818">
        <v>15</v>
      </c>
      <c r="N1818">
        <v>2314.69</v>
      </c>
      <c r="O1818" t="s">
        <v>29</v>
      </c>
    </row>
    <row r="1819" spans="1:15" x14ac:dyDescent="0.3">
      <c r="A1819" t="s">
        <v>1887</v>
      </c>
      <c r="B1819" s="2">
        <v>47109</v>
      </c>
      <c r="C1819" t="s">
        <v>31</v>
      </c>
      <c r="D1819" t="str">
        <f t="shared" si="28"/>
        <v>December</v>
      </c>
      <c r="E1819" t="s">
        <v>16</v>
      </c>
      <c r="F1819" t="s">
        <v>53</v>
      </c>
      <c r="G1819" t="s">
        <v>54</v>
      </c>
      <c r="H1819" t="s">
        <v>19</v>
      </c>
      <c r="I1819" t="s">
        <v>42</v>
      </c>
      <c r="J1819" t="s">
        <v>43</v>
      </c>
      <c r="K1819">
        <v>4</v>
      </c>
      <c r="L1819">
        <v>33780.81</v>
      </c>
      <c r="M1819">
        <v>10</v>
      </c>
      <c r="N1819">
        <v>121610.9</v>
      </c>
      <c r="O1819" t="s">
        <v>47</v>
      </c>
    </row>
    <row r="1820" spans="1:15" x14ac:dyDescent="0.3">
      <c r="A1820" t="s">
        <v>1888</v>
      </c>
      <c r="B1820" s="2">
        <v>47110</v>
      </c>
      <c r="C1820" t="s">
        <v>31</v>
      </c>
      <c r="D1820" t="str">
        <f t="shared" si="28"/>
        <v>December</v>
      </c>
      <c r="E1820" t="s">
        <v>77</v>
      </c>
      <c r="F1820" t="s">
        <v>53</v>
      </c>
      <c r="G1820" t="s">
        <v>129</v>
      </c>
      <c r="H1820" t="s">
        <v>27</v>
      </c>
      <c r="I1820" t="s">
        <v>34</v>
      </c>
      <c r="J1820" t="s">
        <v>21</v>
      </c>
      <c r="K1820">
        <v>4</v>
      </c>
      <c r="L1820">
        <v>25520.33</v>
      </c>
      <c r="M1820">
        <v>5</v>
      </c>
      <c r="N1820">
        <v>96977.24</v>
      </c>
      <c r="O1820" t="s">
        <v>47</v>
      </c>
    </row>
    <row r="1821" spans="1:15" x14ac:dyDescent="0.3">
      <c r="A1821" t="s">
        <v>1889</v>
      </c>
      <c r="B1821" s="2">
        <v>47111</v>
      </c>
      <c r="C1821" t="s">
        <v>58</v>
      </c>
      <c r="D1821" t="str">
        <f t="shared" si="28"/>
        <v>December</v>
      </c>
      <c r="E1821" t="s">
        <v>69</v>
      </c>
      <c r="F1821" t="s">
        <v>60</v>
      </c>
      <c r="G1821" t="s">
        <v>73</v>
      </c>
      <c r="H1821" t="s">
        <v>33</v>
      </c>
      <c r="I1821" t="s">
        <v>34</v>
      </c>
      <c r="J1821" t="s">
        <v>35</v>
      </c>
      <c r="K1821">
        <v>2</v>
      </c>
      <c r="L1821">
        <v>35268.14</v>
      </c>
      <c r="M1821">
        <v>0</v>
      </c>
      <c r="N1821">
        <v>70536.28</v>
      </c>
      <c r="O1821" t="s">
        <v>22</v>
      </c>
    </row>
    <row r="1822" spans="1:15" x14ac:dyDescent="0.3">
      <c r="A1822" t="s">
        <v>1890</v>
      </c>
      <c r="B1822" s="2">
        <v>47112</v>
      </c>
      <c r="C1822" t="s">
        <v>49</v>
      </c>
      <c r="D1822" t="str">
        <f t="shared" si="28"/>
        <v>December</v>
      </c>
      <c r="E1822" t="s">
        <v>50</v>
      </c>
      <c r="F1822" t="s">
        <v>53</v>
      </c>
      <c r="G1822" t="s">
        <v>54</v>
      </c>
      <c r="H1822" t="s">
        <v>19</v>
      </c>
      <c r="I1822" t="s">
        <v>20</v>
      </c>
      <c r="J1822" t="s">
        <v>28</v>
      </c>
      <c r="K1822">
        <v>2</v>
      </c>
      <c r="L1822">
        <v>30622.080000000002</v>
      </c>
      <c r="M1822">
        <v>5</v>
      </c>
      <c r="N1822">
        <v>58181.95</v>
      </c>
      <c r="O1822" t="s">
        <v>47</v>
      </c>
    </row>
    <row r="1823" spans="1:15" x14ac:dyDescent="0.3">
      <c r="A1823" t="s">
        <v>1891</v>
      </c>
      <c r="B1823" s="2">
        <v>47113</v>
      </c>
      <c r="C1823" t="s">
        <v>15</v>
      </c>
      <c r="D1823" t="str">
        <f t="shared" si="28"/>
        <v>December</v>
      </c>
      <c r="E1823" t="s">
        <v>77</v>
      </c>
      <c r="F1823" t="s">
        <v>53</v>
      </c>
      <c r="G1823" t="s">
        <v>129</v>
      </c>
      <c r="H1823" t="s">
        <v>45</v>
      </c>
      <c r="I1823" t="s">
        <v>20</v>
      </c>
      <c r="J1823" t="s">
        <v>35</v>
      </c>
      <c r="K1823">
        <v>1</v>
      </c>
      <c r="L1823">
        <v>35915.32</v>
      </c>
      <c r="M1823">
        <v>0</v>
      </c>
      <c r="N1823">
        <v>35915.32</v>
      </c>
      <c r="O1823" t="s">
        <v>22</v>
      </c>
    </row>
    <row r="1824" spans="1:15" x14ac:dyDescent="0.3">
      <c r="A1824" t="s">
        <v>1892</v>
      </c>
      <c r="B1824" s="2">
        <v>47114</v>
      </c>
      <c r="C1824" t="s">
        <v>49</v>
      </c>
      <c r="D1824" t="str">
        <f t="shared" si="28"/>
        <v>December</v>
      </c>
      <c r="E1824" t="s">
        <v>16</v>
      </c>
      <c r="F1824" t="s">
        <v>40</v>
      </c>
      <c r="G1824" t="s">
        <v>118</v>
      </c>
      <c r="H1824" t="s">
        <v>33</v>
      </c>
      <c r="I1824" t="s">
        <v>42</v>
      </c>
      <c r="J1824" t="s">
        <v>46</v>
      </c>
      <c r="K1824">
        <v>3</v>
      </c>
      <c r="L1824">
        <v>6198.12</v>
      </c>
      <c r="M1824">
        <v>10</v>
      </c>
      <c r="N1824">
        <v>16734.919999999998</v>
      </c>
      <c r="O1824" t="s">
        <v>22</v>
      </c>
    </row>
    <row r="1825" spans="1:15" x14ac:dyDescent="0.3">
      <c r="A1825" t="s">
        <v>1893</v>
      </c>
      <c r="B1825" s="2">
        <v>47115</v>
      </c>
      <c r="C1825" t="s">
        <v>15</v>
      </c>
      <c r="D1825" t="str">
        <f t="shared" si="28"/>
        <v>December</v>
      </c>
      <c r="E1825" t="s">
        <v>24</v>
      </c>
      <c r="F1825" t="s">
        <v>53</v>
      </c>
      <c r="G1825" t="s">
        <v>54</v>
      </c>
      <c r="H1825" t="s">
        <v>27</v>
      </c>
      <c r="I1825" t="s">
        <v>20</v>
      </c>
      <c r="J1825" t="s">
        <v>46</v>
      </c>
      <c r="K1825">
        <v>5</v>
      </c>
      <c r="L1825">
        <v>32970.54</v>
      </c>
      <c r="M1825">
        <v>20</v>
      </c>
      <c r="N1825">
        <v>131882.14000000001</v>
      </c>
      <c r="O1825" t="s">
        <v>29</v>
      </c>
    </row>
    <row r="1826" spans="1:15" x14ac:dyDescent="0.3">
      <c r="A1826" t="s">
        <v>1894</v>
      </c>
      <c r="B1826" s="2">
        <v>47116</v>
      </c>
      <c r="C1826" t="s">
        <v>58</v>
      </c>
      <c r="D1826" t="str">
        <f t="shared" si="28"/>
        <v>December</v>
      </c>
      <c r="E1826" t="s">
        <v>100</v>
      </c>
      <c r="F1826" t="s">
        <v>60</v>
      </c>
      <c r="G1826" t="s">
        <v>61</v>
      </c>
      <c r="H1826" t="s">
        <v>19</v>
      </c>
      <c r="I1826" t="s">
        <v>34</v>
      </c>
      <c r="J1826" t="s">
        <v>35</v>
      </c>
      <c r="K1826">
        <v>5</v>
      </c>
      <c r="L1826">
        <v>48982.51</v>
      </c>
      <c r="M1826">
        <v>10</v>
      </c>
      <c r="N1826">
        <v>220421.28</v>
      </c>
      <c r="O1826" t="s">
        <v>47</v>
      </c>
    </row>
    <row r="1827" spans="1:15" x14ac:dyDescent="0.3">
      <c r="A1827" t="s">
        <v>1895</v>
      </c>
      <c r="B1827" s="2">
        <v>47117</v>
      </c>
      <c r="C1827" t="s">
        <v>15</v>
      </c>
      <c r="D1827" t="str">
        <f t="shared" si="28"/>
        <v>December</v>
      </c>
      <c r="E1827" t="s">
        <v>50</v>
      </c>
      <c r="F1827" t="s">
        <v>25</v>
      </c>
      <c r="G1827" t="s">
        <v>26</v>
      </c>
      <c r="H1827" t="s">
        <v>45</v>
      </c>
      <c r="I1827" t="s">
        <v>20</v>
      </c>
      <c r="J1827" t="s">
        <v>35</v>
      </c>
      <c r="K1827">
        <v>2</v>
      </c>
      <c r="L1827">
        <v>3029.05</v>
      </c>
      <c r="M1827">
        <v>0</v>
      </c>
      <c r="N1827">
        <v>6058.11</v>
      </c>
      <c r="O1827" t="s">
        <v>47</v>
      </c>
    </row>
    <row r="1828" spans="1:15" x14ac:dyDescent="0.3">
      <c r="A1828" t="s">
        <v>1896</v>
      </c>
      <c r="B1828" s="2">
        <v>47118</v>
      </c>
      <c r="C1828" t="s">
        <v>15</v>
      </c>
      <c r="D1828" t="str">
        <f t="shared" si="28"/>
        <v>December</v>
      </c>
      <c r="E1828" t="s">
        <v>39</v>
      </c>
      <c r="F1828" t="s">
        <v>60</v>
      </c>
      <c r="G1828" t="s">
        <v>73</v>
      </c>
      <c r="H1828" t="s">
        <v>19</v>
      </c>
      <c r="I1828" t="s">
        <v>20</v>
      </c>
      <c r="J1828" t="s">
        <v>46</v>
      </c>
      <c r="K1828">
        <v>4</v>
      </c>
      <c r="L1828">
        <v>42191.86</v>
      </c>
      <c r="M1828">
        <v>10</v>
      </c>
      <c r="N1828">
        <v>151890.70000000001</v>
      </c>
      <c r="O1828" t="s">
        <v>47</v>
      </c>
    </row>
    <row r="1829" spans="1:15" x14ac:dyDescent="0.3">
      <c r="A1829" t="s">
        <v>1897</v>
      </c>
      <c r="B1829" s="2">
        <v>47119</v>
      </c>
      <c r="C1829" t="s">
        <v>38</v>
      </c>
      <c r="D1829" t="str">
        <f t="shared" si="28"/>
        <v>January</v>
      </c>
      <c r="E1829" t="s">
        <v>77</v>
      </c>
      <c r="F1829" t="s">
        <v>25</v>
      </c>
      <c r="G1829" t="s">
        <v>81</v>
      </c>
      <c r="H1829" t="s">
        <v>45</v>
      </c>
      <c r="I1829" t="s">
        <v>34</v>
      </c>
      <c r="J1829" t="s">
        <v>43</v>
      </c>
      <c r="K1829">
        <v>4</v>
      </c>
      <c r="L1829">
        <v>1901.22</v>
      </c>
      <c r="M1829">
        <v>5</v>
      </c>
      <c r="N1829">
        <v>7224.62</v>
      </c>
      <c r="O1829" t="s">
        <v>47</v>
      </c>
    </row>
    <row r="1830" spans="1:15" x14ac:dyDescent="0.3">
      <c r="A1830" t="s">
        <v>1898</v>
      </c>
      <c r="B1830" s="2">
        <v>47120</v>
      </c>
      <c r="C1830" t="s">
        <v>15</v>
      </c>
      <c r="D1830" t="str">
        <f t="shared" si="28"/>
        <v>January</v>
      </c>
      <c r="E1830" t="s">
        <v>72</v>
      </c>
      <c r="F1830" t="s">
        <v>60</v>
      </c>
      <c r="G1830" t="s">
        <v>61</v>
      </c>
      <c r="H1830" t="s">
        <v>27</v>
      </c>
      <c r="I1830" t="s">
        <v>42</v>
      </c>
      <c r="J1830" t="s">
        <v>21</v>
      </c>
      <c r="K1830">
        <v>5</v>
      </c>
      <c r="L1830">
        <v>33109.449999999997</v>
      </c>
      <c r="M1830">
        <v>10</v>
      </c>
      <c r="N1830">
        <v>148992.51999999999</v>
      </c>
      <c r="O1830" t="s">
        <v>47</v>
      </c>
    </row>
    <row r="1831" spans="1:15" x14ac:dyDescent="0.3">
      <c r="A1831" t="s">
        <v>1899</v>
      </c>
      <c r="B1831" s="2">
        <v>47121</v>
      </c>
      <c r="C1831" t="s">
        <v>15</v>
      </c>
      <c r="D1831" t="str">
        <f t="shared" si="28"/>
        <v>January</v>
      </c>
      <c r="E1831" t="s">
        <v>52</v>
      </c>
      <c r="F1831" t="s">
        <v>53</v>
      </c>
      <c r="G1831" t="s">
        <v>105</v>
      </c>
      <c r="H1831" t="s">
        <v>27</v>
      </c>
      <c r="I1831" t="s">
        <v>34</v>
      </c>
      <c r="J1831" t="s">
        <v>35</v>
      </c>
      <c r="K1831">
        <v>4</v>
      </c>
      <c r="L1831">
        <v>29345.73</v>
      </c>
      <c r="M1831">
        <v>5</v>
      </c>
      <c r="N1831">
        <v>111513.79</v>
      </c>
      <c r="O1831" t="s">
        <v>36</v>
      </c>
    </row>
    <row r="1832" spans="1:15" x14ac:dyDescent="0.3">
      <c r="A1832" t="s">
        <v>1900</v>
      </c>
      <c r="B1832" s="2">
        <v>47122</v>
      </c>
      <c r="C1832" t="s">
        <v>31</v>
      </c>
      <c r="D1832" t="str">
        <f t="shared" si="28"/>
        <v>January</v>
      </c>
      <c r="E1832" t="s">
        <v>69</v>
      </c>
      <c r="F1832" t="s">
        <v>17</v>
      </c>
      <c r="G1832" t="s">
        <v>63</v>
      </c>
      <c r="H1832" t="s">
        <v>33</v>
      </c>
      <c r="I1832" t="s">
        <v>42</v>
      </c>
      <c r="J1832" t="s">
        <v>21</v>
      </c>
      <c r="K1832">
        <v>2</v>
      </c>
      <c r="L1832">
        <v>58457.95</v>
      </c>
      <c r="M1832">
        <v>0</v>
      </c>
      <c r="N1832">
        <v>116915.9</v>
      </c>
      <c r="O1832" t="s">
        <v>22</v>
      </c>
    </row>
    <row r="1833" spans="1:15" x14ac:dyDescent="0.3">
      <c r="A1833" t="s">
        <v>1901</v>
      </c>
      <c r="B1833" s="2">
        <v>47123</v>
      </c>
      <c r="C1833" t="s">
        <v>49</v>
      </c>
      <c r="D1833" t="str">
        <f t="shared" si="28"/>
        <v>January</v>
      </c>
      <c r="E1833" t="s">
        <v>69</v>
      </c>
      <c r="F1833" t="s">
        <v>53</v>
      </c>
      <c r="G1833" t="s">
        <v>105</v>
      </c>
      <c r="H1833" t="s">
        <v>45</v>
      </c>
      <c r="I1833" t="s">
        <v>34</v>
      </c>
      <c r="J1833" t="s">
        <v>35</v>
      </c>
      <c r="K1833">
        <v>2</v>
      </c>
      <c r="L1833">
        <v>39003.18</v>
      </c>
      <c r="M1833">
        <v>15</v>
      </c>
      <c r="N1833">
        <v>66305.41</v>
      </c>
      <c r="O1833" t="s">
        <v>47</v>
      </c>
    </row>
    <row r="1834" spans="1:15" x14ac:dyDescent="0.3">
      <c r="A1834" t="s">
        <v>1902</v>
      </c>
      <c r="B1834" s="2">
        <v>47124</v>
      </c>
      <c r="C1834" t="s">
        <v>49</v>
      </c>
      <c r="D1834" t="str">
        <f t="shared" si="28"/>
        <v>January</v>
      </c>
      <c r="E1834" t="s">
        <v>16</v>
      </c>
      <c r="F1834" t="s">
        <v>25</v>
      </c>
      <c r="G1834" t="s">
        <v>81</v>
      </c>
      <c r="H1834" t="s">
        <v>45</v>
      </c>
      <c r="I1834" t="s">
        <v>42</v>
      </c>
      <c r="J1834" t="s">
        <v>43</v>
      </c>
      <c r="K1834">
        <v>2</v>
      </c>
      <c r="L1834">
        <v>1891.95</v>
      </c>
      <c r="M1834">
        <v>5</v>
      </c>
      <c r="N1834">
        <v>3594.7</v>
      </c>
      <c r="O1834" t="s">
        <v>22</v>
      </c>
    </row>
    <row r="1835" spans="1:15" x14ac:dyDescent="0.3">
      <c r="A1835" t="s">
        <v>1903</v>
      </c>
      <c r="B1835" s="2">
        <v>47125</v>
      </c>
      <c r="C1835" t="s">
        <v>15</v>
      </c>
      <c r="D1835" t="str">
        <f t="shared" si="28"/>
        <v>January</v>
      </c>
      <c r="E1835" t="s">
        <v>52</v>
      </c>
      <c r="F1835" t="s">
        <v>25</v>
      </c>
      <c r="G1835" t="s">
        <v>56</v>
      </c>
      <c r="H1835" t="s">
        <v>45</v>
      </c>
      <c r="I1835" t="s">
        <v>42</v>
      </c>
      <c r="J1835" t="s">
        <v>43</v>
      </c>
      <c r="K1835">
        <v>2</v>
      </c>
      <c r="L1835">
        <v>2017.16</v>
      </c>
      <c r="M1835">
        <v>10</v>
      </c>
      <c r="N1835">
        <v>3630.9</v>
      </c>
      <c r="O1835" t="s">
        <v>47</v>
      </c>
    </row>
    <row r="1836" spans="1:15" x14ac:dyDescent="0.3">
      <c r="A1836" t="s">
        <v>1904</v>
      </c>
      <c r="B1836" s="2">
        <v>47126</v>
      </c>
      <c r="C1836" t="s">
        <v>15</v>
      </c>
      <c r="D1836" t="str">
        <f t="shared" si="28"/>
        <v>January</v>
      </c>
      <c r="E1836" t="s">
        <v>69</v>
      </c>
      <c r="F1836" t="s">
        <v>60</v>
      </c>
      <c r="G1836" t="s">
        <v>61</v>
      </c>
      <c r="H1836" t="s">
        <v>33</v>
      </c>
      <c r="I1836" t="s">
        <v>20</v>
      </c>
      <c r="J1836" t="s">
        <v>46</v>
      </c>
      <c r="K1836">
        <v>5</v>
      </c>
      <c r="L1836">
        <v>37803.339999999997</v>
      </c>
      <c r="M1836">
        <v>10</v>
      </c>
      <c r="N1836">
        <v>170115.04</v>
      </c>
      <c r="O1836" t="s">
        <v>47</v>
      </c>
    </row>
    <row r="1837" spans="1:15" x14ac:dyDescent="0.3">
      <c r="A1837" t="s">
        <v>1905</v>
      </c>
      <c r="B1837" s="2">
        <v>47127</v>
      </c>
      <c r="C1837" t="s">
        <v>58</v>
      </c>
      <c r="D1837" t="str">
        <f t="shared" si="28"/>
        <v>January</v>
      </c>
      <c r="E1837" t="s">
        <v>39</v>
      </c>
      <c r="F1837" t="s">
        <v>60</v>
      </c>
      <c r="G1837" t="s">
        <v>61</v>
      </c>
      <c r="H1837" t="s">
        <v>45</v>
      </c>
      <c r="I1837" t="s">
        <v>20</v>
      </c>
      <c r="J1837" t="s">
        <v>46</v>
      </c>
      <c r="K1837">
        <v>5</v>
      </c>
      <c r="L1837">
        <v>37850.370000000003</v>
      </c>
      <c r="M1837">
        <v>0</v>
      </c>
      <c r="N1837">
        <v>189251.83</v>
      </c>
      <c r="O1837" t="s">
        <v>47</v>
      </c>
    </row>
    <row r="1838" spans="1:15" x14ac:dyDescent="0.3">
      <c r="A1838" t="s">
        <v>1906</v>
      </c>
      <c r="B1838" s="2">
        <v>47128</v>
      </c>
      <c r="C1838" t="s">
        <v>15</v>
      </c>
      <c r="D1838" t="str">
        <f t="shared" si="28"/>
        <v>January</v>
      </c>
      <c r="E1838" t="s">
        <v>32</v>
      </c>
      <c r="F1838" t="s">
        <v>40</v>
      </c>
      <c r="G1838" t="s">
        <v>118</v>
      </c>
      <c r="H1838" t="s">
        <v>33</v>
      </c>
      <c r="I1838" t="s">
        <v>42</v>
      </c>
      <c r="J1838" t="s">
        <v>43</v>
      </c>
      <c r="K1838">
        <v>1</v>
      </c>
      <c r="L1838">
        <v>5242.3599999999997</v>
      </c>
      <c r="M1838">
        <v>10</v>
      </c>
      <c r="N1838">
        <v>4718.12</v>
      </c>
      <c r="O1838" t="s">
        <v>29</v>
      </c>
    </row>
    <row r="1839" spans="1:15" x14ac:dyDescent="0.3">
      <c r="A1839" t="s">
        <v>1907</v>
      </c>
      <c r="B1839" s="2">
        <v>47129</v>
      </c>
      <c r="C1839" t="s">
        <v>49</v>
      </c>
      <c r="D1839" t="str">
        <f t="shared" si="28"/>
        <v>January</v>
      </c>
      <c r="E1839" t="s">
        <v>69</v>
      </c>
      <c r="F1839" t="s">
        <v>60</v>
      </c>
      <c r="G1839" t="s">
        <v>78</v>
      </c>
      <c r="H1839" t="s">
        <v>33</v>
      </c>
      <c r="I1839" t="s">
        <v>34</v>
      </c>
      <c r="J1839" t="s">
        <v>46</v>
      </c>
      <c r="K1839">
        <v>1</v>
      </c>
      <c r="L1839">
        <v>36036.22</v>
      </c>
      <c r="M1839">
        <v>0</v>
      </c>
      <c r="N1839">
        <v>36036.22</v>
      </c>
      <c r="O1839" t="s">
        <v>47</v>
      </c>
    </row>
    <row r="1840" spans="1:15" x14ac:dyDescent="0.3">
      <c r="A1840" t="s">
        <v>1908</v>
      </c>
      <c r="B1840" s="2">
        <v>47130</v>
      </c>
      <c r="C1840" t="s">
        <v>38</v>
      </c>
      <c r="D1840" t="str">
        <f t="shared" si="28"/>
        <v>January</v>
      </c>
      <c r="E1840" t="s">
        <v>100</v>
      </c>
      <c r="F1840" t="s">
        <v>53</v>
      </c>
      <c r="G1840" t="s">
        <v>129</v>
      </c>
      <c r="H1840" t="s">
        <v>33</v>
      </c>
      <c r="I1840" t="s">
        <v>20</v>
      </c>
      <c r="J1840" t="s">
        <v>35</v>
      </c>
      <c r="K1840">
        <v>4</v>
      </c>
      <c r="L1840">
        <v>26373.56</v>
      </c>
      <c r="M1840">
        <v>15</v>
      </c>
      <c r="N1840">
        <v>89670.09</v>
      </c>
      <c r="O1840" t="s">
        <v>29</v>
      </c>
    </row>
    <row r="1841" spans="1:15" x14ac:dyDescent="0.3">
      <c r="A1841" t="s">
        <v>1909</v>
      </c>
      <c r="B1841" s="2">
        <v>47131</v>
      </c>
      <c r="C1841" t="s">
        <v>38</v>
      </c>
      <c r="D1841" t="str">
        <f t="shared" si="28"/>
        <v>January</v>
      </c>
      <c r="E1841" t="s">
        <v>24</v>
      </c>
      <c r="F1841" t="s">
        <v>25</v>
      </c>
      <c r="G1841" t="s">
        <v>81</v>
      </c>
      <c r="H1841" t="s">
        <v>27</v>
      </c>
      <c r="I1841" t="s">
        <v>34</v>
      </c>
      <c r="J1841" t="s">
        <v>35</v>
      </c>
      <c r="K1841">
        <v>1</v>
      </c>
      <c r="L1841">
        <v>2108.67</v>
      </c>
      <c r="M1841">
        <v>15</v>
      </c>
      <c r="N1841">
        <v>1792.37</v>
      </c>
      <c r="O1841" t="s">
        <v>22</v>
      </c>
    </row>
    <row r="1842" spans="1:15" x14ac:dyDescent="0.3">
      <c r="A1842" t="s">
        <v>1910</v>
      </c>
      <c r="B1842" s="2">
        <v>47132</v>
      </c>
      <c r="C1842" t="s">
        <v>38</v>
      </c>
      <c r="D1842" t="str">
        <f t="shared" si="28"/>
        <v>January</v>
      </c>
      <c r="E1842" t="s">
        <v>24</v>
      </c>
      <c r="F1842" t="s">
        <v>53</v>
      </c>
      <c r="G1842" t="s">
        <v>65</v>
      </c>
      <c r="H1842" t="s">
        <v>33</v>
      </c>
      <c r="I1842" t="s">
        <v>42</v>
      </c>
      <c r="J1842" t="s">
        <v>28</v>
      </c>
      <c r="K1842">
        <v>2</v>
      </c>
      <c r="L1842">
        <v>30079.02</v>
      </c>
      <c r="M1842">
        <v>10</v>
      </c>
      <c r="N1842">
        <v>54142.239999999998</v>
      </c>
      <c r="O1842" t="s">
        <v>47</v>
      </c>
    </row>
    <row r="1843" spans="1:15" x14ac:dyDescent="0.3">
      <c r="A1843" t="s">
        <v>1911</v>
      </c>
      <c r="B1843" s="2">
        <v>47133</v>
      </c>
      <c r="C1843" t="s">
        <v>31</v>
      </c>
      <c r="D1843" t="str">
        <f t="shared" si="28"/>
        <v>January</v>
      </c>
      <c r="E1843" t="s">
        <v>32</v>
      </c>
      <c r="F1843" t="s">
        <v>25</v>
      </c>
      <c r="G1843" t="s">
        <v>56</v>
      </c>
      <c r="H1843" t="s">
        <v>27</v>
      </c>
      <c r="I1843" t="s">
        <v>42</v>
      </c>
      <c r="J1843" t="s">
        <v>21</v>
      </c>
      <c r="K1843">
        <v>4</v>
      </c>
      <c r="L1843">
        <v>2156.6799999999998</v>
      </c>
      <c r="M1843">
        <v>10</v>
      </c>
      <c r="N1843">
        <v>7764.04</v>
      </c>
      <c r="O1843" t="s">
        <v>47</v>
      </c>
    </row>
    <row r="1844" spans="1:15" x14ac:dyDescent="0.3">
      <c r="A1844" t="s">
        <v>1912</v>
      </c>
      <c r="B1844" s="2">
        <v>47134</v>
      </c>
      <c r="C1844" t="s">
        <v>31</v>
      </c>
      <c r="D1844" t="str">
        <f t="shared" si="28"/>
        <v>January</v>
      </c>
      <c r="E1844" t="s">
        <v>24</v>
      </c>
      <c r="F1844" t="s">
        <v>40</v>
      </c>
      <c r="G1844" t="s">
        <v>41</v>
      </c>
      <c r="H1844" t="s">
        <v>19</v>
      </c>
      <c r="I1844" t="s">
        <v>42</v>
      </c>
      <c r="J1844" t="s">
        <v>35</v>
      </c>
      <c r="K1844">
        <v>5</v>
      </c>
      <c r="L1844">
        <v>6416.54</v>
      </c>
      <c r="M1844">
        <v>0</v>
      </c>
      <c r="N1844">
        <v>32082.7</v>
      </c>
      <c r="O1844" t="s">
        <v>47</v>
      </c>
    </row>
    <row r="1845" spans="1:15" x14ac:dyDescent="0.3">
      <c r="A1845" t="s">
        <v>1913</v>
      </c>
      <c r="B1845" s="2">
        <v>47135</v>
      </c>
      <c r="C1845" t="s">
        <v>38</v>
      </c>
      <c r="D1845" t="str">
        <f t="shared" si="28"/>
        <v>January</v>
      </c>
      <c r="E1845" t="s">
        <v>16</v>
      </c>
      <c r="F1845" t="s">
        <v>17</v>
      </c>
      <c r="G1845" t="s">
        <v>67</v>
      </c>
      <c r="H1845" t="s">
        <v>45</v>
      </c>
      <c r="I1845" t="s">
        <v>42</v>
      </c>
      <c r="J1845" t="s">
        <v>28</v>
      </c>
      <c r="K1845">
        <v>3</v>
      </c>
      <c r="L1845">
        <v>53560.58</v>
      </c>
      <c r="M1845">
        <v>0</v>
      </c>
      <c r="N1845">
        <v>160681.74</v>
      </c>
      <c r="O1845" t="s">
        <v>47</v>
      </c>
    </row>
    <row r="1846" spans="1:15" x14ac:dyDescent="0.3">
      <c r="A1846" t="s">
        <v>1914</v>
      </c>
      <c r="B1846" s="2">
        <v>47136</v>
      </c>
      <c r="C1846" t="s">
        <v>38</v>
      </c>
      <c r="D1846" t="str">
        <f t="shared" si="28"/>
        <v>January</v>
      </c>
      <c r="E1846" t="s">
        <v>39</v>
      </c>
      <c r="F1846" t="s">
        <v>40</v>
      </c>
      <c r="G1846" t="s">
        <v>115</v>
      </c>
      <c r="H1846" t="s">
        <v>19</v>
      </c>
      <c r="I1846" t="s">
        <v>42</v>
      </c>
      <c r="J1846" t="s">
        <v>21</v>
      </c>
      <c r="K1846">
        <v>3</v>
      </c>
      <c r="L1846">
        <v>5415.88</v>
      </c>
      <c r="M1846">
        <v>5</v>
      </c>
      <c r="N1846">
        <v>15435.26</v>
      </c>
      <c r="O1846" t="s">
        <v>47</v>
      </c>
    </row>
    <row r="1847" spans="1:15" x14ac:dyDescent="0.3">
      <c r="A1847" t="s">
        <v>1915</v>
      </c>
      <c r="B1847" s="2">
        <v>47137</v>
      </c>
      <c r="C1847" t="s">
        <v>58</v>
      </c>
      <c r="D1847" t="str">
        <f t="shared" si="28"/>
        <v>January</v>
      </c>
      <c r="E1847" t="s">
        <v>77</v>
      </c>
      <c r="F1847" t="s">
        <v>17</v>
      </c>
      <c r="G1847" t="s">
        <v>67</v>
      </c>
      <c r="H1847" t="s">
        <v>33</v>
      </c>
      <c r="I1847" t="s">
        <v>34</v>
      </c>
      <c r="J1847" t="s">
        <v>46</v>
      </c>
      <c r="K1847">
        <v>1</v>
      </c>
      <c r="L1847">
        <v>63548.52</v>
      </c>
      <c r="M1847">
        <v>5</v>
      </c>
      <c r="N1847">
        <v>60371.09</v>
      </c>
      <c r="O1847" t="s">
        <v>36</v>
      </c>
    </row>
    <row r="1848" spans="1:15" x14ac:dyDescent="0.3">
      <c r="A1848" t="s">
        <v>1916</v>
      </c>
      <c r="B1848" s="2">
        <v>47138</v>
      </c>
      <c r="C1848" t="s">
        <v>38</v>
      </c>
      <c r="D1848" t="str">
        <f t="shared" si="28"/>
        <v>January</v>
      </c>
      <c r="E1848" t="s">
        <v>72</v>
      </c>
      <c r="F1848" t="s">
        <v>53</v>
      </c>
      <c r="G1848" t="s">
        <v>65</v>
      </c>
      <c r="H1848" t="s">
        <v>33</v>
      </c>
      <c r="I1848" t="s">
        <v>34</v>
      </c>
      <c r="J1848" t="s">
        <v>35</v>
      </c>
      <c r="K1848">
        <v>3</v>
      </c>
      <c r="L1848">
        <v>29249.45</v>
      </c>
      <c r="M1848">
        <v>10</v>
      </c>
      <c r="N1848">
        <v>78973.509999999995</v>
      </c>
      <c r="O1848" t="s">
        <v>36</v>
      </c>
    </row>
    <row r="1849" spans="1:15" x14ac:dyDescent="0.3">
      <c r="A1849" t="s">
        <v>1917</v>
      </c>
      <c r="B1849" s="2">
        <v>47139</v>
      </c>
      <c r="C1849" t="s">
        <v>31</v>
      </c>
      <c r="D1849" t="str">
        <f t="shared" si="28"/>
        <v>January</v>
      </c>
      <c r="E1849" t="s">
        <v>39</v>
      </c>
      <c r="F1849" t="s">
        <v>60</v>
      </c>
      <c r="G1849" t="s">
        <v>78</v>
      </c>
      <c r="H1849" t="s">
        <v>33</v>
      </c>
      <c r="I1849" t="s">
        <v>20</v>
      </c>
      <c r="J1849" t="s">
        <v>35</v>
      </c>
      <c r="K1849">
        <v>3</v>
      </c>
      <c r="L1849">
        <v>38570.160000000003</v>
      </c>
      <c r="M1849">
        <v>10</v>
      </c>
      <c r="N1849">
        <v>104139.42</v>
      </c>
      <c r="O1849" t="s">
        <v>47</v>
      </c>
    </row>
    <row r="1850" spans="1:15" x14ac:dyDescent="0.3">
      <c r="A1850" t="s">
        <v>1918</v>
      </c>
      <c r="B1850" s="2">
        <v>47140</v>
      </c>
      <c r="C1850" t="s">
        <v>58</v>
      </c>
      <c r="D1850" t="str">
        <f t="shared" si="28"/>
        <v>January</v>
      </c>
      <c r="E1850" t="s">
        <v>39</v>
      </c>
      <c r="F1850" t="s">
        <v>17</v>
      </c>
      <c r="G1850" t="s">
        <v>67</v>
      </c>
      <c r="H1850" t="s">
        <v>45</v>
      </c>
      <c r="I1850" t="s">
        <v>42</v>
      </c>
      <c r="J1850" t="s">
        <v>28</v>
      </c>
      <c r="K1850">
        <v>4</v>
      </c>
      <c r="L1850">
        <v>68177.08</v>
      </c>
      <c r="M1850">
        <v>5</v>
      </c>
      <c r="N1850">
        <v>259072.89</v>
      </c>
      <c r="O1850" t="s">
        <v>47</v>
      </c>
    </row>
    <row r="1851" spans="1:15" x14ac:dyDescent="0.3">
      <c r="A1851" t="s">
        <v>1919</v>
      </c>
      <c r="B1851" s="2">
        <v>47141</v>
      </c>
      <c r="C1851" t="s">
        <v>31</v>
      </c>
      <c r="D1851" t="str">
        <f t="shared" si="28"/>
        <v>January</v>
      </c>
      <c r="E1851" t="s">
        <v>32</v>
      </c>
      <c r="F1851" t="s">
        <v>17</v>
      </c>
      <c r="G1851" t="s">
        <v>18</v>
      </c>
      <c r="H1851" t="s">
        <v>45</v>
      </c>
      <c r="I1851" t="s">
        <v>42</v>
      </c>
      <c r="J1851" t="s">
        <v>46</v>
      </c>
      <c r="K1851">
        <v>2</v>
      </c>
      <c r="L1851">
        <v>44431.61</v>
      </c>
      <c r="M1851">
        <v>0</v>
      </c>
      <c r="N1851">
        <v>88863.21</v>
      </c>
      <c r="O1851" t="s">
        <v>47</v>
      </c>
    </row>
    <row r="1852" spans="1:15" x14ac:dyDescent="0.3">
      <c r="A1852" t="s">
        <v>1920</v>
      </c>
      <c r="B1852" s="2">
        <v>47142</v>
      </c>
      <c r="C1852" t="s">
        <v>15</v>
      </c>
      <c r="D1852" t="str">
        <f t="shared" si="28"/>
        <v>January</v>
      </c>
      <c r="E1852" t="s">
        <v>32</v>
      </c>
      <c r="F1852" t="s">
        <v>53</v>
      </c>
      <c r="G1852" t="s">
        <v>54</v>
      </c>
      <c r="H1852" t="s">
        <v>19</v>
      </c>
      <c r="I1852" t="s">
        <v>34</v>
      </c>
      <c r="J1852" t="s">
        <v>46</v>
      </c>
      <c r="K1852">
        <v>3</v>
      </c>
      <c r="L1852">
        <v>39478.550000000003</v>
      </c>
      <c r="M1852">
        <v>10</v>
      </c>
      <c r="N1852">
        <v>106592.07</v>
      </c>
      <c r="O1852" t="s">
        <v>36</v>
      </c>
    </row>
    <row r="1853" spans="1:15" x14ac:dyDescent="0.3">
      <c r="A1853" t="s">
        <v>1921</v>
      </c>
      <c r="B1853" s="2">
        <v>47143</v>
      </c>
      <c r="C1853" t="s">
        <v>58</v>
      </c>
      <c r="D1853" t="str">
        <f t="shared" si="28"/>
        <v>January</v>
      </c>
      <c r="E1853" t="s">
        <v>39</v>
      </c>
      <c r="F1853" t="s">
        <v>17</v>
      </c>
      <c r="G1853" t="s">
        <v>123</v>
      </c>
      <c r="H1853" t="s">
        <v>45</v>
      </c>
      <c r="I1853" t="s">
        <v>20</v>
      </c>
      <c r="J1853" t="s">
        <v>43</v>
      </c>
      <c r="K1853">
        <v>1</v>
      </c>
      <c r="L1853">
        <v>66394.080000000002</v>
      </c>
      <c r="M1853">
        <v>5</v>
      </c>
      <c r="N1853">
        <v>63074.37</v>
      </c>
      <c r="O1853" t="s">
        <v>22</v>
      </c>
    </row>
    <row r="1854" spans="1:15" x14ac:dyDescent="0.3">
      <c r="A1854" t="s">
        <v>1922</v>
      </c>
      <c r="B1854" s="2">
        <v>47144</v>
      </c>
      <c r="C1854" t="s">
        <v>49</v>
      </c>
      <c r="D1854" t="str">
        <f t="shared" si="28"/>
        <v>January</v>
      </c>
      <c r="E1854" t="s">
        <v>77</v>
      </c>
      <c r="F1854" t="s">
        <v>17</v>
      </c>
      <c r="G1854" t="s">
        <v>67</v>
      </c>
      <c r="H1854" t="s">
        <v>27</v>
      </c>
      <c r="I1854" t="s">
        <v>42</v>
      </c>
      <c r="J1854" t="s">
        <v>43</v>
      </c>
      <c r="K1854">
        <v>2</v>
      </c>
      <c r="L1854">
        <v>52933.99</v>
      </c>
      <c r="M1854">
        <v>10</v>
      </c>
      <c r="N1854">
        <v>95281.19</v>
      </c>
      <c r="O1854" t="s">
        <v>22</v>
      </c>
    </row>
    <row r="1855" spans="1:15" x14ac:dyDescent="0.3">
      <c r="A1855" t="s">
        <v>1923</v>
      </c>
      <c r="B1855" s="2">
        <v>47145</v>
      </c>
      <c r="C1855" t="s">
        <v>31</v>
      </c>
      <c r="D1855" t="str">
        <f t="shared" si="28"/>
        <v>January</v>
      </c>
      <c r="E1855" t="s">
        <v>100</v>
      </c>
      <c r="F1855" t="s">
        <v>17</v>
      </c>
      <c r="G1855" t="s">
        <v>123</v>
      </c>
      <c r="H1855" t="s">
        <v>19</v>
      </c>
      <c r="I1855" t="s">
        <v>34</v>
      </c>
      <c r="J1855" t="s">
        <v>35</v>
      </c>
      <c r="K1855">
        <v>1</v>
      </c>
      <c r="L1855">
        <v>67277.86</v>
      </c>
      <c r="M1855">
        <v>15</v>
      </c>
      <c r="N1855">
        <v>57186.18</v>
      </c>
      <c r="O1855" t="s">
        <v>47</v>
      </c>
    </row>
    <row r="1856" spans="1:15" x14ac:dyDescent="0.3">
      <c r="A1856" t="s">
        <v>1924</v>
      </c>
      <c r="B1856" s="2">
        <v>47146</v>
      </c>
      <c r="C1856" t="s">
        <v>38</v>
      </c>
      <c r="D1856" t="str">
        <f t="shared" si="28"/>
        <v>January</v>
      </c>
      <c r="E1856" t="s">
        <v>24</v>
      </c>
      <c r="F1856" t="s">
        <v>53</v>
      </c>
      <c r="G1856" t="s">
        <v>105</v>
      </c>
      <c r="H1856" t="s">
        <v>33</v>
      </c>
      <c r="I1856" t="s">
        <v>42</v>
      </c>
      <c r="J1856" t="s">
        <v>21</v>
      </c>
      <c r="K1856">
        <v>2</v>
      </c>
      <c r="L1856">
        <v>36764.959999999999</v>
      </c>
      <c r="M1856">
        <v>10</v>
      </c>
      <c r="N1856">
        <v>66176.929999999993</v>
      </c>
      <c r="O1856" t="s">
        <v>29</v>
      </c>
    </row>
    <row r="1857" spans="1:15" x14ac:dyDescent="0.3">
      <c r="A1857" t="s">
        <v>1925</v>
      </c>
      <c r="B1857" s="2">
        <v>47147</v>
      </c>
      <c r="C1857" t="s">
        <v>58</v>
      </c>
      <c r="D1857" t="str">
        <f t="shared" si="28"/>
        <v>January</v>
      </c>
      <c r="E1857" t="s">
        <v>16</v>
      </c>
      <c r="F1857" t="s">
        <v>40</v>
      </c>
      <c r="G1857" t="s">
        <v>118</v>
      </c>
      <c r="H1857" t="s">
        <v>27</v>
      </c>
      <c r="I1857" t="s">
        <v>34</v>
      </c>
      <c r="J1857" t="s">
        <v>21</v>
      </c>
      <c r="K1857">
        <v>4</v>
      </c>
      <c r="L1857">
        <v>7421.27</v>
      </c>
      <c r="M1857">
        <v>0</v>
      </c>
      <c r="N1857">
        <v>29685.06</v>
      </c>
      <c r="O1857" t="s">
        <v>47</v>
      </c>
    </row>
    <row r="1858" spans="1:15" x14ac:dyDescent="0.3">
      <c r="A1858" t="s">
        <v>1926</v>
      </c>
      <c r="B1858" s="2">
        <v>47148</v>
      </c>
      <c r="C1858" t="s">
        <v>31</v>
      </c>
      <c r="D1858" t="str">
        <f t="shared" si="28"/>
        <v>January</v>
      </c>
      <c r="E1858" t="s">
        <v>24</v>
      </c>
      <c r="F1858" t="s">
        <v>40</v>
      </c>
      <c r="G1858" t="s">
        <v>75</v>
      </c>
      <c r="H1858" t="s">
        <v>27</v>
      </c>
      <c r="I1858" t="s">
        <v>20</v>
      </c>
      <c r="J1858" t="s">
        <v>28</v>
      </c>
      <c r="K1858">
        <v>1</v>
      </c>
      <c r="L1858">
        <v>6584.65</v>
      </c>
      <c r="M1858">
        <v>5</v>
      </c>
      <c r="N1858">
        <v>6255.42</v>
      </c>
      <c r="O1858" t="s">
        <v>22</v>
      </c>
    </row>
    <row r="1859" spans="1:15" x14ac:dyDescent="0.3">
      <c r="A1859" t="s">
        <v>1927</v>
      </c>
      <c r="B1859" s="2">
        <v>47149</v>
      </c>
      <c r="C1859" t="s">
        <v>58</v>
      </c>
      <c r="D1859" t="str">
        <f t="shared" ref="D1859:D1922" si="29">TEXT(B1859,"mmmm")</f>
        <v>January</v>
      </c>
      <c r="E1859" t="s">
        <v>69</v>
      </c>
      <c r="F1859" t="s">
        <v>25</v>
      </c>
      <c r="G1859" t="s">
        <v>26</v>
      </c>
      <c r="H1859" t="s">
        <v>19</v>
      </c>
      <c r="I1859" t="s">
        <v>34</v>
      </c>
      <c r="J1859" t="s">
        <v>21</v>
      </c>
      <c r="K1859">
        <v>5</v>
      </c>
      <c r="L1859">
        <v>3030.42</v>
      </c>
      <c r="M1859">
        <v>10</v>
      </c>
      <c r="N1859">
        <v>13636.9</v>
      </c>
      <c r="O1859" t="s">
        <v>36</v>
      </c>
    </row>
    <row r="1860" spans="1:15" x14ac:dyDescent="0.3">
      <c r="A1860" t="s">
        <v>1928</v>
      </c>
      <c r="B1860" s="2">
        <v>47150</v>
      </c>
      <c r="C1860" t="s">
        <v>38</v>
      </c>
      <c r="D1860" t="str">
        <f t="shared" si="29"/>
        <v>February</v>
      </c>
      <c r="E1860" t="s">
        <v>32</v>
      </c>
      <c r="F1860" t="s">
        <v>25</v>
      </c>
      <c r="G1860" t="s">
        <v>26</v>
      </c>
      <c r="H1860" t="s">
        <v>27</v>
      </c>
      <c r="I1860" t="s">
        <v>20</v>
      </c>
      <c r="J1860" t="s">
        <v>43</v>
      </c>
      <c r="K1860">
        <v>1</v>
      </c>
      <c r="L1860">
        <v>2616.09</v>
      </c>
      <c r="M1860">
        <v>10</v>
      </c>
      <c r="N1860">
        <v>2354.48</v>
      </c>
      <c r="O1860" t="s">
        <v>36</v>
      </c>
    </row>
    <row r="1861" spans="1:15" x14ac:dyDescent="0.3">
      <c r="A1861" t="s">
        <v>1929</v>
      </c>
      <c r="B1861" s="2">
        <v>47151</v>
      </c>
      <c r="C1861" t="s">
        <v>38</v>
      </c>
      <c r="D1861" t="str">
        <f t="shared" si="29"/>
        <v>February</v>
      </c>
      <c r="E1861" t="s">
        <v>77</v>
      </c>
      <c r="F1861" t="s">
        <v>17</v>
      </c>
      <c r="G1861" t="s">
        <v>67</v>
      </c>
      <c r="H1861" t="s">
        <v>27</v>
      </c>
      <c r="I1861" t="s">
        <v>34</v>
      </c>
      <c r="J1861" t="s">
        <v>35</v>
      </c>
      <c r="K1861">
        <v>2</v>
      </c>
      <c r="L1861">
        <v>48417.47</v>
      </c>
      <c r="M1861">
        <v>15</v>
      </c>
      <c r="N1861">
        <v>82309.7</v>
      </c>
      <c r="O1861" t="s">
        <v>47</v>
      </c>
    </row>
    <row r="1862" spans="1:15" x14ac:dyDescent="0.3">
      <c r="A1862" t="s">
        <v>1930</v>
      </c>
      <c r="B1862" s="2">
        <v>47152</v>
      </c>
      <c r="C1862" t="s">
        <v>31</v>
      </c>
      <c r="D1862" t="str">
        <f t="shared" si="29"/>
        <v>February</v>
      </c>
      <c r="E1862" t="s">
        <v>32</v>
      </c>
      <c r="F1862" t="s">
        <v>60</v>
      </c>
      <c r="G1862" t="s">
        <v>70</v>
      </c>
      <c r="H1862" t="s">
        <v>27</v>
      </c>
      <c r="I1862" t="s">
        <v>34</v>
      </c>
      <c r="J1862" t="s">
        <v>43</v>
      </c>
      <c r="K1862">
        <v>2</v>
      </c>
      <c r="L1862">
        <v>48370.92</v>
      </c>
      <c r="M1862">
        <v>20</v>
      </c>
      <c r="N1862">
        <v>77393.47</v>
      </c>
      <c r="O1862" t="s">
        <v>47</v>
      </c>
    </row>
    <row r="1863" spans="1:15" x14ac:dyDescent="0.3">
      <c r="A1863" t="s">
        <v>1931</v>
      </c>
      <c r="B1863" s="2">
        <v>47153</v>
      </c>
      <c r="C1863" t="s">
        <v>49</v>
      </c>
      <c r="D1863" t="str">
        <f t="shared" si="29"/>
        <v>February</v>
      </c>
      <c r="E1863" t="s">
        <v>72</v>
      </c>
      <c r="F1863" t="s">
        <v>60</v>
      </c>
      <c r="G1863" t="s">
        <v>78</v>
      </c>
      <c r="H1863" t="s">
        <v>33</v>
      </c>
      <c r="I1863" t="s">
        <v>20</v>
      </c>
      <c r="J1863" t="s">
        <v>46</v>
      </c>
      <c r="K1863">
        <v>4</v>
      </c>
      <c r="L1863">
        <v>41989.33</v>
      </c>
      <c r="M1863">
        <v>10</v>
      </c>
      <c r="N1863">
        <v>151161.57999999999</v>
      </c>
      <c r="O1863" t="s">
        <v>47</v>
      </c>
    </row>
    <row r="1864" spans="1:15" x14ac:dyDescent="0.3">
      <c r="A1864" t="s">
        <v>1932</v>
      </c>
      <c r="B1864" s="2">
        <v>47154</v>
      </c>
      <c r="C1864" t="s">
        <v>31</v>
      </c>
      <c r="D1864" t="str">
        <f t="shared" si="29"/>
        <v>February</v>
      </c>
      <c r="E1864" t="s">
        <v>16</v>
      </c>
      <c r="F1864" t="s">
        <v>40</v>
      </c>
      <c r="G1864" t="s">
        <v>115</v>
      </c>
      <c r="H1864" t="s">
        <v>27</v>
      </c>
      <c r="I1864" t="s">
        <v>20</v>
      </c>
      <c r="J1864" t="s">
        <v>28</v>
      </c>
      <c r="K1864">
        <v>1</v>
      </c>
      <c r="L1864">
        <v>7088.29</v>
      </c>
      <c r="M1864">
        <v>10</v>
      </c>
      <c r="N1864">
        <v>6379.46</v>
      </c>
      <c r="O1864" t="s">
        <v>47</v>
      </c>
    </row>
    <row r="1865" spans="1:15" x14ac:dyDescent="0.3">
      <c r="A1865" t="s">
        <v>1933</v>
      </c>
      <c r="B1865" s="2">
        <v>47155</v>
      </c>
      <c r="C1865" t="s">
        <v>49</v>
      </c>
      <c r="D1865" t="str">
        <f t="shared" si="29"/>
        <v>February</v>
      </c>
      <c r="E1865" t="s">
        <v>52</v>
      </c>
      <c r="F1865" t="s">
        <v>53</v>
      </c>
      <c r="G1865" t="s">
        <v>65</v>
      </c>
      <c r="H1865" t="s">
        <v>19</v>
      </c>
      <c r="I1865" t="s">
        <v>20</v>
      </c>
      <c r="J1865" t="s">
        <v>21</v>
      </c>
      <c r="K1865">
        <v>1</v>
      </c>
      <c r="L1865">
        <v>26991.64</v>
      </c>
      <c r="M1865">
        <v>20</v>
      </c>
      <c r="N1865">
        <v>21593.31</v>
      </c>
      <c r="O1865" t="s">
        <v>36</v>
      </c>
    </row>
    <row r="1866" spans="1:15" x14ac:dyDescent="0.3">
      <c r="A1866" t="s">
        <v>1934</v>
      </c>
      <c r="B1866" s="2">
        <v>47156</v>
      </c>
      <c r="C1866" t="s">
        <v>38</v>
      </c>
      <c r="D1866" t="str">
        <f t="shared" si="29"/>
        <v>February</v>
      </c>
      <c r="E1866" t="s">
        <v>24</v>
      </c>
      <c r="F1866" t="s">
        <v>53</v>
      </c>
      <c r="G1866" t="s">
        <v>54</v>
      </c>
      <c r="H1866" t="s">
        <v>45</v>
      </c>
      <c r="I1866" t="s">
        <v>20</v>
      </c>
      <c r="J1866" t="s">
        <v>43</v>
      </c>
      <c r="K1866">
        <v>1</v>
      </c>
      <c r="L1866">
        <v>36935.279999999999</v>
      </c>
      <c r="M1866">
        <v>0</v>
      </c>
      <c r="N1866">
        <v>36935.279999999999</v>
      </c>
      <c r="O1866" t="s">
        <v>47</v>
      </c>
    </row>
    <row r="1867" spans="1:15" x14ac:dyDescent="0.3">
      <c r="A1867" t="s">
        <v>1935</v>
      </c>
      <c r="B1867" s="2">
        <v>47157</v>
      </c>
      <c r="C1867" t="s">
        <v>49</v>
      </c>
      <c r="D1867" t="str">
        <f t="shared" si="29"/>
        <v>February</v>
      </c>
      <c r="E1867" t="s">
        <v>16</v>
      </c>
      <c r="F1867" t="s">
        <v>60</v>
      </c>
      <c r="G1867" t="s">
        <v>61</v>
      </c>
      <c r="H1867" t="s">
        <v>19</v>
      </c>
      <c r="I1867" t="s">
        <v>42</v>
      </c>
      <c r="J1867" t="s">
        <v>35</v>
      </c>
      <c r="K1867">
        <v>2</v>
      </c>
      <c r="L1867">
        <v>33906.61</v>
      </c>
      <c r="M1867">
        <v>5</v>
      </c>
      <c r="N1867">
        <v>64422.559999999998</v>
      </c>
      <c r="O1867" t="s">
        <v>47</v>
      </c>
    </row>
    <row r="1868" spans="1:15" x14ac:dyDescent="0.3">
      <c r="A1868" t="s">
        <v>1936</v>
      </c>
      <c r="B1868" s="2">
        <v>47158</v>
      </c>
      <c r="C1868" t="s">
        <v>49</v>
      </c>
      <c r="D1868" t="str">
        <f t="shared" si="29"/>
        <v>February</v>
      </c>
      <c r="E1868" t="s">
        <v>16</v>
      </c>
      <c r="F1868" t="s">
        <v>60</v>
      </c>
      <c r="G1868" t="s">
        <v>78</v>
      </c>
      <c r="H1868" t="s">
        <v>27</v>
      </c>
      <c r="I1868" t="s">
        <v>34</v>
      </c>
      <c r="J1868" t="s">
        <v>28</v>
      </c>
      <c r="K1868">
        <v>5</v>
      </c>
      <c r="L1868">
        <v>41328.11</v>
      </c>
      <c r="M1868">
        <v>15</v>
      </c>
      <c r="N1868">
        <v>175644.45</v>
      </c>
      <c r="O1868" t="s">
        <v>36</v>
      </c>
    </row>
    <row r="1869" spans="1:15" x14ac:dyDescent="0.3">
      <c r="A1869" t="s">
        <v>1937</v>
      </c>
      <c r="B1869" s="2">
        <v>47159</v>
      </c>
      <c r="C1869" t="s">
        <v>15</v>
      </c>
      <c r="D1869" t="str">
        <f t="shared" si="29"/>
        <v>February</v>
      </c>
      <c r="E1869" t="s">
        <v>16</v>
      </c>
      <c r="F1869" t="s">
        <v>60</v>
      </c>
      <c r="G1869" t="s">
        <v>78</v>
      </c>
      <c r="H1869" t="s">
        <v>27</v>
      </c>
      <c r="I1869" t="s">
        <v>20</v>
      </c>
      <c r="J1869" t="s">
        <v>43</v>
      </c>
      <c r="K1869">
        <v>4</v>
      </c>
      <c r="L1869">
        <v>32936.76</v>
      </c>
      <c r="M1869">
        <v>5</v>
      </c>
      <c r="N1869">
        <v>125159.67999999999</v>
      </c>
      <c r="O1869" t="s">
        <v>47</v>
      </c>
    </row>
    <row r="1870" spans="1:15" x14ac:dyDescent="0.3">
      <c r="A1870" t="s">
        <v>1938</v>
      </c>
      <c r="B1870" s="2">
        <v>47160</v>
      </c>
      <c r="C1870" t="s">
        <v>15</v>
      </c>
      <c r="D1870" t="str">
        <f t="shared" si="29"/>
        <v>February</v>
      </c>
      <c r="E1870" t="s">
        <v>72</v>
      </c>
      <c r="F1870" t="s">
        <v>17</v>
      </c>
      <c r="G1870" t="s">
        <v>63</v>
      </c>
      <c r="H1870" t="s">
        <v>33</v>
      </c>
      <c r="I1870" t="s">
        <v>42</v>
      </c>
      <c r="J1870" t="s">
        <v>43</v>
      </c>
      <c r="K1870">
        <v>1</v>
      </c>
      <c r="L1870">
        <v>62415.16</v>
      </c>
      <c r="M1870">
        <v>10</v>
      </c>
      <c r="N1870">
        <v>56173.64</v>
      </c>
      <c r="O1870" t="s">
        <v>47</v>
      </c>
    </row>
    <row r="1871" spans="1:15" x14ac:dyDescent="0.3">
      <c r="A1871" t="s">
        <v>1939</v>
      </c>
      <c r="B1871" s="2">
        <v>47161</v>
      </c>
      <c r="C1871" t="s">
        <v>15</v>
      </c>
      <c r="D1871" t="str">
        <f t="shared" si="29"/>
        <v>February</v>
      </c>
      <c r="E1871" t="s">
        <v>52</v>
      </c>
      <c r="F1871" t="s">
        <v>40</v>
      </c>
      <c r="G1871" t="s">
        <v>118</v>
      </c>
      <c r="H1871" t="s">
        <v>27</v>
      </c>
      <c r="I1871" t="s">
        <v>34</v>
      </c>
      <c r="J1871" t="s">
        <v>43</v>
      </c>
      <c r="K1871">
        <v>3</v>
      </c>
      <c r="L1871">
        <v>4950.87</v>
      </c>
      <c r="M1871">
        <v>5</v>
      </c>
      <c r="N1871">
        <v>14109.99</v>
      </c>
      <c r="O1871" t="s">
        <v>29</v>
      </c>
    </row>
    <row r="1872" spans="1:15" x14ac:dyDescent="0.3">
      <c r="A1872" t="s">
        <v>1940</v>
      </c>
      <c r="B1872" s="2">
        <v>47162</v>
      </c>
      <c r="C1872" t="s">
        <v>31</v>
      </c>
      <c r="D1872" t="str">
        <f t="shared" si="29"/>
        <v>February</v>
      </c>
      <c r="E1872" t="s">
        <v>24</v>
      </c>
      <c r="F1872" t="s">
        <v>25</v>
      </c>
      <c r="G1872" t="s">
        <v>92</v>
      </c>
      <c r="H1872" t="s">
        <v>19</v>
      </c>
      <c r="I1872" t="s">
        <v>42</v>
      </c>
      <c r="J1872" t="s">
        <v>46</v>
      </c>
      <c r="K1872">
        <v>4</v>
      </c>
      <c r="L1872">
        <v>2508.6</v>
      </c>
      <c r="M1872">
        <v>5</v>
      </c>
      <c r="N1872">
        <v>9532.66</v>
      </c>
      <c r="O1872" t="s">
        <v>47</v>
      </c>
    </row>
    <row r="1873" spans="1:15" x14ac:dyDescent="0.3">
      <c r="A1873" t="s">
        <v>1941</v>
      </c>
      <c r="B1873" s="2">
        <v>47163</v>
      </c>
      <c r="C1873" t="s">
        <v>38</v>
      </c>
      <c r="D1873" t="str">
        <f t="shared" si="29"/>
        <v>February</v>
      </c>
      <c r="E1873" t="s">
        <v>77</v>
      </c>
      <c r="F1873" t="s">
        <v>17</v>
      </c>
      <c r="G1873" t="s">
        <v>63</v>
      </c>
      <c r="H1873" t="s">
        <v>33</v>
      </c>
      <c r="I1873" t="s">
        <v>20</v>
      </c>
      <c r="J1873" t="s">
        <v>43</v>
      </c>
      <c r="K1873">
        <v>2</v>
      </c>
      <c r="L1873">
        <v>47653.34</v>
      </c>
      <c r="M1873">
        <v>0</v>
      </c>
      <c r="N1873">
        <v>95306.68</v>
      </c>
      <c r="O1873" t="s">
        <v>29</v>
      </c>
    </row>
    <row r="1874" spans="1:15" x14ac:dyDescent="0.3">
      <c r="A1874" t="s">
        <v>1942</v>
      </c>
      <c r="B1874" s="2">
        <v>47164</v>
      </c>
      <c r="C1874" t="s">
        <v>15</v>
      </c>
      <c r="D1874" t="str">
        <f t="shared" si="29"/>
        <v>February</v>
      </c>
      <c r="E1874" t="s">
        <v>69</v>
      </c>
      <c r="F1874" t="s">
        <v>17</v>
      </c>
      <c r="G1874" t="s">
        <v>63</v>
      </c>
      <c r="H1874" t="s">
        <v>33</v>
      </c>
      <c r="I1874" t="s">
        <v>42</v>
      </c>
      <c r="J1874" t="s">
        <v>21</v>
      </c>
      <c r="K1874">
        <v>4</v>
      </c>
      <c r="L1874">
        <v>43507.66</v>
      </c>
      <c r="M1874">
        <v>15</v>
      </c>
      <c r="N1874">
        <v>147926.04</v>
      </c>
      <c r="O1874" t="s">
        <v>47</v>
      </c>
    </row>
    <row r="1875" spans="1:15" x14ac:dyDescent="0.3">
      <c r="A1875" t="s">
        <v>1943</v>
      </c>
      <c r="B1875" s="2">
        <v>47165</v>
      </c>
      <c r="C1875" t="s">
        <v>38</v>
      </c>
      <c r="D1875" t="str">
        <f t="shared" si="29"/>
        <v>February</v>
      </c>
      <c r="E1875" t="s">
        <v>69</v>
      </c>
      <c r="F1875" t="s">
        <v>60</v>
      </c>
      <c r="G1875" t="s">
        <v>78</v>
      </c>
      <c r="H1875" t="s">
        <v>33</v>
      </c>
      <c r="I1875" t="s">
        <v>20</v>
      </c>
      <c r="J1875" t="s">
        <v>43</v>
      </c>
      <c r="K1875">
        <v>2</v>
      </c>
      <c r="L1875">
        <v>51951.21</v>
      </c>
      <c r="M1875">
        <v>10</v>
      </c>
      <c r="N1875">
        <v>93512.18</v>
      </c>
      <c r="O1875" t="s">
        <v>36</v>
      </c>
    </row>
    <row r="1876" spans="1:15" x14ac:dyDescent="0.3">
      <c r="A1876" t="s">
        <v>1944</v>
      </c>
      <c r="B1876" s="2">
        <v>47166</v>
      </c>
      <c r="C1876" t="s">
        <v>38</v>
      </c>
      <c r="D1876" t="str">
        <f t="shared" si="29"/>
        <v>February</v>
      </c>
      <c r="E1876" t="s">
        <v>100</v>
      </c>
      <c r="F1876" t="s">
        <v>25</v>
      </c>
      <c r="G1876" t="s">
        <v>81</v>
      </c>
      <c r="H1876" t="s">
        <v>27</v>
      </c>
      <c r="I1876" t="s">
        <v>34</v>
      </c>
      <c r="J1876" t="s">
        <v>21</v>
      </c>
      <c r="K1876">
        <v>5</v>
      </c>
      <c r="L1876">
        <v>2238.87</v>
      </c>
      <c r="M1876">
        <v>0</v>
      </c>
      <c r="N1876">
        <v>11194.35</v>
      </c>
      <c r="O1876" t="s">
        <v>47</v>
      </c>
    </row>
    <row r="1877" spans="1:15" x14ac:dyDescent="0.3">
      <c r="A1877" t="s">
        <v>1945</v>
      </c>
      <c r="B1877" s="2">
        <v>47167</v>
      </c>
      <c r="C1877" t="s">
        <v>58</v>
      </c>
      <c r="D1877" t="str">
        <f t="shared" si="29"/>
        <v>February</v>
      </c>
      <c r="E1877" t="s">
        <v>100</v>
      </c>
      <c r="F1877" t="s">
        <v>60</v>
      </c>
      <c r="G1877" t="s">
        <v>73</v>
      </c>
      <c r="H1877" t="s">
        <v>27</v>
      </c>
      <c r="I1877" t="s">
        <v>20</v>
      </c>
      <c r="J1877" t="s">
        <v>43</v>
      </c>
      <c r="K1877">
        <v>2</v>
      </c>
      <c r="L1877">
        <v>38396.910000000003</v>
      </c>
      <c r="M1877">
        <v>5</v>
      </c>
      <c r="N1877">
        <v>72954.13</v>
      </c>
      <c r="O1877" t="s">
        <v>47</v>
      </c>
    </row>
    <row r="1878" spans="1:15" x14ac:dyDescent="0.3">
      <c r="A1878" t="s">
        <v>1946</v>
      </c>
      <c r="B1878" s="2">
        <v>47168</v>
      </c>
      <c r="C1878" t="s">
        <v>58</v>
      </c>
      <c r="D1878" t="str">
        <f t="shared" si="29"/>
        <v>February</v>
      </c>
      <c r="E1878" t="s">
        <v>69</v>
      </c>
      <c r="F1878" t="s">
        <v>60</v>
      </c>
      <c r="G1878" t="s">
        <v>61</v>
      </c>
      <c r="H1878" t="s">
        <v>33</v>
      </c>
      <c r="I1878" t="s">
        <v>34</v>
      </c>
      <c r="J1878" t="s">
        <v>35</v>
      </c>
      <c r="K1878">
        <v>4</v>
      </c>
      <c r="L1878">
        <v>32783.42</v>
      </c>
      <c r="M1878">
        <v>10</v>
      </c>
      <c r="N1878">
        <v>118020.33</v>
      </c>
      <c r="O1878" t="s">
        <v>47</v>
      </c>
    </row>
    <row r="1879" spans="1:15" x14ac:dyDescent="0.3">
      <c r="A1879" t="s">
        <v>1947</v>
      </c>
      <c r="B1879" s="2">
        <v>47169</v>
      </c>
      <c r="C1879" t="s">
        <v>49</v>
      </c>
      <c r="D1879" t="str">
        <f t="shared" si="29"/>
        <v>February</v>
      </c>
      <c r="E1879" t="s">
        <v>39</v>
      </c>
      <c r="F1879" t="s">
        <v>60</v>
      </c>
      <c r="G1879" t="s">
        <v>73</v>
      </c>
      <c r="H1879" t="s">
        <v>45</v>
      </c>
      <c r="I1879" t="s">
        <v>34</v>
      </c>
      <c r="J1879" t="s">
        <v>21</v>
      </c>
      <c r="K1879">
        <v>4</v>
      </c>
      <c r="L1879">
        <v>44231.96</v>
      </c>
      <c r="M1879">
        <v>15</v>
      </c>
      <c r="N1879">
        <v>150388.65</v>
      </c>
      <c r="O1879" t="s">
        <v>22</v>
      </c>
    </row>
    <row r="1880" spans="1:15" x14ac:dyDescent="0.3">
      <c r="A1880" t="s">
        <v>1948</v>
      </c>
      <c r="B1880" s="2">
        <v>47170</v>
      </c>
      <c r="C1880" t="s">
        <v>15</v>
      </c>
      <c r="D1880" t="str">
        <f t="shared" si="29"/>
        <v>February</v>
      </c>
      <c r="E1880" t="s">
        <v>24</v>
      </c>
      <c r="F1880" t="s">
        <v>40</v>
      </c>
      <c r="G1880" t="s">
        <v>41</v>
      </c>
      <c r="H1880" t="s">
        <v>33</v>
      </c>
      <c r="I1880" t="s">
        <v>20</v>
      </c>
      <c r="J1880" t="s">
        <v>35</v>
      </c>
      <c r="K1880">
        <v>4</v>
      </c>
      <c r="L1880">
        <v>7009.55</v>
      </c>
      <c r="M1880">
        <v>0</v>
      </c>
      <c r="N1880">
        <v>28038.22</v>
      </c>
      <c r="O1880" t="s">
        <v>29</v>
      </c>
    </row>
    <row r="1881" spans="1:15" x14ac:dyDescent="0.3">
      <c r="A1881" t="s">
        <v>1949</v>
      </c>
      <c r="B1881" s="2">
        <v>47171</v>
      </c>
      <c r="C1881" t="s">
        <v>49</v>
      </c>
      <c r="D1881" t="str">
        <f t="shared" si="29"/>
        <v>February</v>
      </c>
      <c r="E1881" t="s">
        <v>52</v>
      </c>
      <c r="F1881" t="s">
        <v>25</v>
      </c>
      <c r="G1881" t="s">
        <v>56</v>
      </c>
      <c r="H1881" t="s">
        <v>19</v>
      </c>
      <c r="I1881" t="s">
        <v>20</v>
      </c>
      <c r="J1881" t="s">
        <v>35</v>
      </c>
      <c r="K1881">
        <v>1</v>
      </c>
      <c r="L1881">
        <v>2828.72</v>
      </c>
      <c r="M1881">
        <v>10</v>
      </c>
      <c r="N1881">
        <v>2545.85</v>
      </c>
      <c r="O1881" t="s">
        <v>22</v>
      </c>
    </row>
    <row r="1882" spans="1:15" x14ac:dyDescent="0.3">
      <c r="A1882" t="s">
        <v>1950</v>
      </c>
      <c r="B1882" s="2">
        <v>47172</v>
      </c>
      <c r="C1882" t="s">
        <v>38</v>
      </c>
      <c r="D1882" t="str">
        <f t="shared" si="29"/>
        <v>February</v>
      </c>
      <c r="E1882" t="s">
        <v>77</v>
      </c>
      <c r="F1882" t="s">
        <v>53</v>
      </c>
      <c r="G1882" t="s">
        <v>129</v>
      </c>
      <c r="H1882" t="s">
        <v>27</v>
      </c>
      <c r="I1882" t="s">
        <v>20</v>
      </c>
      <c r="J1882" t="s">
        <v>28</v>
      </c>
      <c r="K1882">
        <v>2</v>
      </c>
      <c r="L1882">
        <v>25161.82</v>
      </c>
      <c r="M1882">
        <v>5</v>
      </c>
      <c r="N1882">
        <v>47807.46</v>
      </c>
      <c r="O1882" t="s">
        <v>29</v>
      </c>
    </row>
    <row r="1883" spans="1:15" x14ac:dyDescent="0.3">
      <c r="A1883" t="s">
        <v>1951</v>
      </c>
      <c r="B1883" s="2">
        <v>47173</v>
      </c>
      <c r="C1883" t="s">
        <v>15</v>
      </c>
      <c r="D1883" t="str">
        <f t="shared" si="29"/>
        <v>February</v>
      </c>
      <c r="E1883" t="s">
        <v>100</v>
      </c>
      <c r="F1883" t="s">
        <v>25</v>
      </c>
      <c r="G1883" t="s">
        <v>92</v>
      </c>
      <c r="H1883" t="s">
        <v>19</v>
      </c>
      <c r="I1883" t="s">
        <v>20</v>
      </c>
      <c r="J1883" t="s">
        <v>35</v>
      </c>
      <c r="K1883">
        <v>5</v>
      </c>
      <c r="L1883">
        <v>2231.42</v>
      </c>
      <c r="M1883">
        <v>10</v>
      </c>
      <c r="N1883">
        <v>10041.39</v>
      </c>
      <c r="O1883" t="s">
        <v>29</v>
      </c>
    </row>
    <row r="1884" spans="1:15" x14ac:dyDescent="0.3">
      <c r="A1884" t="s">
        <v>1952</v>
      </c>
      <c r="B1884" s="2">
        <v>47174</v>
      </c>
      <c r="C1884" t="s">
        <v>58</v>
      </c>
      <c r="D1884" t="str">
        <f t="shared" si="29"/>
        <v>February</v>
      </c>
      <c r="E1884" t="s">
        <v>72</v>
      </c>
      <c r="F1884" t="s">
        <v>17</v>
      </c>
      <c r="G1884" t="s">
        <v>67</v>
      </c>
      <c r="H1884" t="s">
        <v>27</v>
      </c>
      <c r="I1884" t="s">
        <v>20</v>
      </c>
      <c r="J1884" t="s">
        <v>21</v>
      </c>
      <c r="K1884">
        <v>4</v>
      </c>
      <c r="L1884">
        <v>55011.85</v>
      </c>
      <c r="M1884">
        <v>15</v>
      </c>
      <c r="N1884">
        <v>187040.3</v>
      </c>
      <c r="O1884" t="s">
        <v>22</v>
      </c>
    </row>
    <row r="1885" spans="1:15" x14ac:dyDescent="0.3">
      <c r="A1885" t="s">
        <v>1953</v>
      </c>
      <c r="B1885" s="2">
        <v>47175</v>
      </c>
      <c r="C1885" t="s">
        <v>58</v>
      </c>
      <c r="D1885" t="str">
        <f t="shared" si="29"/>
        <v>February</v>
      </c>
      <c r="E1885" t="s">
        <v>50</v>
      </c>
      <c r="F1885" t="s">
        <v>53</v>
      </c>
      <c r="G1885" t="s">
        <v>54</v>
      </c>
      <c r="H1885" t="s">
        <v>19</v>
      </c>
      <c r="I1885" t="s">
        <v>20</v>
      </c>
      <c r="J1885" t="s">
        <v>21</v>
      </c>
      <c r="K1885">
        <v>3</v>
      </c>
      <c r="L1885">
        <v>30310.21</v>
      </c>
      <c r="M1885">
        <v>5</v>
      </c>
      <c r="N1885">
        <v>86384.11</v>
      </c>
      <c r="O1885" t="s">
        <v>22</v>
      </c>
    </row>
    <row r="1886" spans="1:15" x14ac:dyDescent="0.3">
      <c r="A1886" t="s">
        <v>1954</v>
      </c>
      <c r="B1886" s="2">
        <v>47176</v>
      </c>
      <c r="C1886" t="s">
        <v>31</v>
      </c>
      <c r="D1886" t="str">
        <f t="shared" si="29"/>
        <v>February</v>
      </c>
      <c r="E1886" t="s">
        <v>100</v>
      </c>
      <c r="F1886" t="s">
        <v>40</v>
      </c>
      <c r="G1886" t="s">
        <v>41</v>
      </c>
      <c r="H1886" t="s">
        <v>45</v>
      </c>
      <c r="I1886" t="s">
        <v>42</v>
      </c>
      <c r="J1886" t="s">
        <v>46</v>
      </c>
      <c r="K1886">
        <v>2</v>
      </c>
      <c r="L1886">
        <v>5618.33</v>
      </c>
      <c r="M1886">
        <v>0</v>
      </c>
      <c r="N1886">
        <v>11236.66</v>
      </c>
      <c r="O1886" t="s">
        <v>47</v>
      </c>
    </row>
    <row r="1887" spans="1:15" x14ac:dyDescent="0.3">
      <c r="A1887" t="s">
        <v>1955</v>
      </c>
      <c r="B1887" s="2">
        <v>47177</v>
      </c>
      <c r="C1887" t="s">
        <v>49</v>
      </c>
      <c r="D1887" t="str">
        <f t="shared" si="29"/>
        <v>February</v>
      </c>
      <c r="E1887" t="s">
        <v>39</v>
      </c>
      <c r="F1887" t="s">
        <v>17</v>
      </c>
      <c r="G1887" t="s">
        <v>123</v>
      </c>
      <c r="H1887" t="s">
        <v>27</v>
      </c>
      <c r="I1887" t="s">
        <v>42</v>
      </c>
      <c r="J1887" t="s">
        <v>28</v>
      </c>
      <c r="K1887">
        <v>3</v>
      </c>
      <c r="L1887">
        <v>55761.29</v>
      </c>
      <c r="M1887">
        <v>5</v>
      </c>
      <c r="N1887">
        <v>158919.69</v>
      </c>
      <c r="O1887" t="s">
        <v>22</v>
      </c>
    </row>
    <row r="1888" spans="1:15" x14ac:dyDescent="0.3">
      <c r="A1888" t="s">
        <v>1956</v>
      </c>
      <c r="B1888" s="2">
        <v>47178</v>
      </c>
      <c r="C1888" t="s">
        <v>38</v>
      </c>
      <c r="D1888" t="str">
        <f t="shared" si="29"/>
        <v>March</v>
      </c>
      <c r="E1888" t="s">
        <v>39</v>
      </c>
      <c r="F1888" t="s">
        <v>40</v>
      </c>
      <c r="G1888" t="s">
        <v>118</v>
      </c>
      <c r="H1888" t="s">
        <v>27</v>
      </c>
      <c r="I1888" t="s">
        <v>42</v>
      </c>
      <c r="J1888" t="s">
        <v>43</v>
      </c>
      <c r="K1888">
        <v>5</v>
      </c>
      <c r="L1888">
        <v>7053.86</v>
      </c>
      <c r="M1888">
        <v>0</v>
      </c>
      <c r="N1888">
        <v>35269.31</v>
      </c>
      <c r="O1888" t="s">
        <v>47</v>
      </c>
    </row>
    <row r="1889" spans="1:15" x14ac:dyDescent="0.3">
      <c r="A1889" t="s">
        <v>1957</v>
      </c>
      <c r="B1889" s="2">
        <v>47179</v>
      </c>
      <c r="C1889" t="s">
        <v>49</v>
      </c>
      <c r="D1889" t="str">
        <f t="shared" si="29"/>
        <v>March</v>
      </c>
      <c r="E1889" t="s">
        <v>50</v>
      </c>
      <c r="F1889" t="s">
        <v>25</v>
      </c>
      <c r="G1889" t="s">
        <v>26</v>
      </c>
      <c r="H1889" t="s">
        <v>27</v>
      </c>
      <c r="I1889" t="s">
        <v>42</v>
      </c>
      <c r="J1889" t="s">
        <v>43</v>
      </c>
      <c r="K1889">
        <v>4</v>
      </c>
      <c r="L1889">
        <v>2432.2199999999998</v>
      </c>
      <c r="M1889">
        <v>5</v>
      </c>
      <c r="N1889">
        <v>9242.43</v>
      </c>
      <c r="O1889" t="s">
        <v>22</v>
      </c>
    </row>
    <row r="1890" spans="1:15" x14ac:dyDescent="0.3">
      <c r="A1890" t="s">
        <v>1958</v>
      </c>
      <c r="B1890" s="2">
        <v>47180</v>
      </c>
      <c r="C1890" t="s">
        <v>49</v>
      </c>
      <c r="D1890" t="str">
        <f t="shared" si="29"/>
        <v>March</v>
      </c>
      <c r="E1890" t="s">
        <v>24</v>
      </c>
      <c r="F1890" t="s">
        <v>25</v>
      </c>
      <c r="G1890" t="s">
        <v>26</v>
      </c>
      <c r="H1890" t="s">
        <v>45</v>
      </c>
      <c r="I1890" t="s">
        <v>20</v>
      </c>
      <c r="J1890" t="s">
        <v>46</v>
      </c>
      <c r="K1890">
        <v>3</v>
      </c>
      <c r="L1890">
        <v>2211.3000000000002</v>
      </c>
      <c r="M1890">
        <v>15</v>
      </c>
      <c r="N1890">
        <v>5638.8</v>
      </c>
      <c r="O1890" t="s">
        <v>22</v>
      </c>
    </row>
    <row r="1891" spans="1:15" x14ac:dyDescent="0.3">
      <c r="A1891" t="s">
        <v>1959</v>
      </c>
      <c r="B1891" s="2">
        <v>47181</v>
      </c>
      <c r="C1891" t="s">
        <v>49</v>
      </c>
      <c r="D1891" t="str">
        <f t="shared" si="29"/>
        <v>March</v>
      </c>
      <c r="E1891" t="s">
        <v>100</v>
      </c>
      <c r="F1891" t="s">
        <v>17</v>
      </c>
      <c r="G1891" t="s">
        <v>67</v>
      </c>
      <c r="H1891" t="s">
        <v>27</v>
      </c>
      <c r="I1891" t="s">
        <v>20</v>
      </c>
      <c r="J1891" t="s">
        <v>28</v>
      </c>
      <c r="K1891">
        <v>1</v>
      </c>
      <c r="L1891">
        <v>66729.149999999994</v>
      </c>
      <c r="M1891">
        <v>5</v>
      </c>
      <c r="N1891">
        <v>63392.69</v>
      </c>
      <c r="O1891" t="s">
        <v>47</v>
      </c>
    </row>
    <row r="1892" spans="1:15" x14ac:dyDescent="0.3">
      <c r="A1892" t="s">
        <v>1960</v>
      </c>
      <c r="B1892" s="2">
        <v>47182</v>
      </c>
      <c r="C1892" t="s">
        <v>31</v>
      </c>
      <c r="D1892" t="str">
        <f t="shared" si="29"/>
        <v>March</v>
      </c>
      <c r="E1892" t="s">
        <v>50</v>
      </c>
      <c r="F1892" t="s">
        <v>40</v>
      </c>
      <c r="G1892" t="s">
        <v>118</v>
      </c>
      <c r="H1892" t="s">
        <v>27</v>
      </c>
      <c r="I1892" t="s">
        <v>20</v>
      </c>
      <c r="J1892" t="s">
        <v>28</v>
      </c>
      <c r="K1892">
        <v>3</v>
      </c>
      <c r="L1892">
        <v>6112.36</v>
      </c>
      <c r="M1892">
        <v>10</v>
      </c>
      <c r="N1892">
        <v>16503.38</v>
      </c>
      <c r="O1892" t="s">
        <v>47</v>
      </c>
    </row>
    <row r="1893" spans="1:15" x14ac:dyDescent="0.3">
      <c r="A1893" t="s">
        <v>1961</v>
      </c>
      <c r="B1893" s="2">
        <v>47183</v>
      </c>
      <c r="C1893" t="s">
        <v>58</v>
      </c>
      <c r="D1893" t="str">
        <f t="shared" si="29"/>
        <v>March</v>
      </c>
      <c r="E1893" t="s">
        <v>39</v>
      </c>
      <c r="F1893" t="s">
        <v>60</v>
      </c>
      <c r="G1893" t="s">
        <v>78</v>
      </c>
      <c r="H1893" t="s">
        <v>45</v>
      </c>
      <c r="I1893" t="s">
        <v>42</v>
      </c>
      <c r="J1893" t="s">
        <v>28</v>
      </c>
      <c r="K1893">
        <v>2</v>
      </c>
      <c r="L1893">
        <v>42036.63</v>
      </c>
      <c r="M1893">
        <v>10</v>
      </c>
      <c r="N1893">
        <v>75665.94</v>
      </c>
      <c r="O1893" t="s">
        <v>36</v>
      </c>
    </row>
    <row r="1894" spans="1:15" x14ac:dyDescent="0.3">
      <c r="A1894" t="s">
        <v>1962</v>
      </c>
      <c r="B1894" s="2">
        <v>47184</v>
      </c>
      <c r="C1894" t="s">
        <v>31</v>
      </c>
      <c r="D1894" t="str">
        <f t="shared" si="29"/>
        <v>March</v>
      </c>
      <c r="E1894" t="s">
        <v>16</v>
      </c>
      <c r="F1894" t="s">
        <v>17</v>
      </c>
      <c r="G1894" t="s">
        <v>18</v>
      </c>
      <c r="H1894" t="s">
        <v>19</v>
      </c>
      <c r="I1894" t="s">
        <v>42</v>
      </c>
      <c r="J1894" t="s">
        <v>35</v>
      </c>
      <c r="K1894">
        <v>2</v>
      </c>
      <c r="L1894">
        <v>60410.2</v>
      </c>
      <c r="M1894">
        <v>5</v>
      </c>
      <c r="N1894">
        <v>114779.37</v>
      </c>
      <c r="O1894" t="s">
        <v>36</v>
      </c>
    </row>
    <row r="1895" spans="1:15" x14ac:dyDescent="0.3">
      <c r="A1895" t="s">
        <v>1963</v>
      </c>
      <c r="B1895" s="2">
        <v>47185</v>
      </c>
      <c r="C1895" t="s">
        <v>15</v>
      </c>
      <c r="D1895" t="str">
        <f t="shared" si="29"/>
        <v>March</v>
      </c>
      <c r="E1895" t="s">
        <v>77</v>
      </c>
      <c r="F1895" t="s">
        <v>60</v>
      </c>
      <c r="G1895" t="s">
        <v>73</v>
      </c>
      <c r="H1895" t="s">
        <v>27</v>
      </c>
      <c r="I1895" t="s">
        <v>20</v>
      </c>
      <c r="J1895" t="s">
        <v>21</v>
      </c>
      <c r="K1895">
        <v>2</v>
      </c>
      <c r="L1895">
        <v>40189.94</v>
      </c>
      <c r="M1895">
        <v>0</v>
      </c>
      <c r="N1895">
        <v>80379.89</v>
      </c>
      <c r="O1895" t="s">
        <v>47</v>
      </c>
    </row>
    <row r="1896" spans="1:15" x14ac:dyDescent="0.3">
      <c r="A1896" t="s">
        <v>1964</v>
      </c>
      <c r="B1896" s="2">
        <v>47186</v>
      </c>
      <c r="C1896" t="s">
        <v>38</v>
      </c>
      <c r="D1896" t="str">
        <f t="shared" si="29"/>
        <v>March</v>
      </c>
      <c r="E1896" t="s">
        <v>24</v>
      </c>
      <c r="F1896" t="s">
        <v>53</v>
      </c>
      <c r="G1896" t="s">
        <v>105</v>
      </c>
      <c r="H1896" t="s">
        <v>45</v>
      </c>
      <c r="I1896" t="s">
        <v>20</v>
      </c>
      <c r="J1896" t="s">
        <v>21</v>
      </c>
      <c r="K1896">
        <v>2</v>
      </c>
      <c r="L1896">
        <v>28962.880000000001</v>
      </c>
      <c r="M1896">
        <v>20</v>
      </c>
      <c r="N1896">
        <v>46340.61</v>
      </c>
      <c r="O1896" t="s">
        <v>47</v>
      </c>
    </row>
    <row r="1897" spans="1:15" x14ac:dyDescent="0.3">
      <c r="A1897" t="s">
        <v>1965</v>
      </c>
      <c r="B1897" s="2">
        <v>47187</v>
      </c>
      <c r="C1897" t="s">
        <v>38</v>
      </c>
      <c r="D1897" t="str">
        <f t="shared" si="29"/>
        <v>March</v>
      </c>
      <c r="E1897" t="s">
        <v>72</v>
      </c>
      <c r="F1897" t="s">
        <v>40</v>
      </c>
      <c r="G1897" t="s">
        <v>41</v>
      </c>
      <c r="H1897" t="s">
        <v>45</v>
      </c>
      <c r="I1897" t="s">
        <v>42</v>
      </c>
      <c r="J1897" t="s">
        <v>35</v>
      </c>
      <c r="K1897">
        <v>2</v>
      </c>
      <c r="L1897">
        <v>8105.67</v>
      </c>
      <c r="M1897">
        <v>0</v>
      </c>
      <c r="N1897">
        <v>16211.33</v>
      </c>
      <c r="O1897" t="s">
        <v>47</v>
      </c>
    </row>
    <row r="1898" spans="1:15" x14ac:dyDescent="0.3">
      <c r="A1898" t="s">
        <v>1966</v>
      </c>
      <c r="B1898" s="2">
        <v>47188</v>
      </c>
      <c r="C1898" t="s">
        <v>15</v>
      </c>
      <c r="D1898" t="str">
        <f t="shared" si="29"/>
        <v>March</v>
      </c>
      <c r="E1898" t="s">
        <v>77</v>
      </c>
      <c r="F1898" t="s">
        <v>60</v>
      </c>
      <c r="G1898" t="s">
        <v>78</v>
      </c>
      <c r="H1898" t="s">
        <v>33</v>
      </c>
      <c r="I1898" t="s">
        <v>42</v>
      </c>
      <c r="J1898" t="s">
        <v>28</v>
      </c>
      <c r="K1898">
        <v>5</v>
      </c>
      <c r="L1898">
        <v>47298.03</v>
      </c>
      <c r="M1898">
        <v>5</v>
      </c>
      <c r="N1898">
        <v>224665.65</v>
      </c>
      <c r="O1898" t="s">
        <v>47</v>
      </c>
    </row>
    <row r="1899" spans="1:15" x14ac:dyDescent="0.3">
      <c r="A1899" t="s">
        <v>1967</v>
      </c>
      <c r="B1899" s="2">
        <v>47189</v>
      </c>
      <c r="C1899" t="s">
        <v>15</v>
      </c>
      <c r="D1899" t="str">
        <f t="shared" si="29"/>
        <v>March</v>
      </c>
      <c r="E1899" t="s">
        <v>24</v>
      </c>
      <c r="F1899" t="s">
        <v>25</v>
      </c>
      <c r="G1899" t="s">
        <v>26</v>
      </c>
      <c r="H1899" t="s">
        <v>45</v>
      </c>
      <c r="I1899" t="s">
        <v>34</v>
      </c>
      <c r="J1899" t="s">
        <v>21</v>
      </c>
      <c r="K1899">
        <v>4</v>
      </c>
      <c r="L1899">
        <v>2286.13</v>
      </c>
      <c r="M1899">
        <v>5</v>
      </c>
      <c r="N1899">
        <v>8687.31</v>
      </c>
      <c r="O1899" t="s">
        <v>36</v>
      </c>
    </row>
    <row r="1900" spans="1:15" x14ac:dyDescent="0.3">
      <c r="A1900" t="s">
        <v>1968</v>
      </c>
      <c r="B1900" s="2">
        <v>47190</v>
      </c>
      <c r="C1900" t="s">
        <v>38</v>
      </c>
      <c r="D1900" t="str">
        <f t="shared" si="29"/>
        <v>March</v>
      </c>
      <c r="E1900" t="s">
        <v>100</v>
      </c>
      <c r="F1900" t="s">
        <v>17</v>
      </c>
      <c r="G1900" t="s">
        <v>63</v>
      </c>
      <c r="H1900" t="s">
        <v>27</v>
      </c>
      <c r="I1900" t="s">
        <v>20</v>
      </c>
      <c r="J1900" t="s">
        <v>46</v>
      </c>
      <c r="K1900">
        <v>3</v>
      </c>
      <c r="L1900">
        <v>66270.899999999994</v>
      </c>
      <c r="M1900">
        <v>0</v>
      </c>
      <c r="N1900">
        <v>198812.71</v>
      </c>
      <c r="O1900" t="s">
        <v>47</v>
      </c>
    </row>
    <row r="1901" spans="1:15" x14ac:dyDescent="0.3">
      <c r="A1901" t="s">
        <v>1969</v>
      </c>
      <c r="B1901" s="2">
        <v>47191</v>
      </c>
      <c r="C1901" t="s">
        <v>58</v>
      </c>
      <c r="D1901" t="str">
        <f t="shared" si="29"/>
        <v>March</v>
      </c>
      <c r="E1901" t="s">
        <v>24</v>
      </c>
      <c r="F1901" t="s">
        <v>40</v>
      </c>
      <c r="G1901" t="s">
        <v>75</v>
      </c>
      <c r="H1901" t="s">
        <v>33</v>
      </c>
      <c r="I1901" t="s">
        <v>34</v>
      </c>
      <c r="J1901" t="s">
        <v>28</v>
      </c>
      <c r="K1901">
        <v>4</v>
      </c>
      <c r="L1901">
        <v>5951.95</v>
      </c>
      <c r="M1901">
        <v>10</v>
      </c>
      <c r="N1901">
        <v>21427.03</v>
      </c>
      <c r="O1901" t="s">
        <v>47</v>
      </c>
    </row>
    <row r="1902" spans="1:15" x14ac:dyDescent="0.3">
      <c r="A1902" t="s">
        <v>1970</v>
      </c>
      <c r="B1902" s="2">
        <v>47192</v>
      </c>
      <c r="C1902" t="s">
        <v>15</v>
      </c>
      <c r="D1902" t="str">
        <f t="shared" si="29"/>
        <v>March</v>
      </c>
      <c r="E1902" t="s">
        <v>50</v>
      </c>
      <c r="F1902" t="s">
        <v>40</v>
      </c>
      <c r="G1902" t="s">
        <v>75</v>
      </c>
      <c r="H1902" t="s">
        <v>19</v>
      </c>
      <c r="I1902" t="s">
        <v>20</v>
      </c>
      <c r="J1902" t="s">
        <v>28</v>
      </c>
      <c r="K1902">
        <v>2</v>
      </c>
      <c r="L1902">
        <v>5181.95</v>
      </c>
      <c r="M1902">
        <v>20</v>
      </c>
      <c r="N1902">
        <v>8291.1200000000008</v>
      </c>
      <c r="O1902" t="s">
        <v>22</v>
      </c>
    </row>
    <row r="1903" spans="1:15" x14ac:dyDescent="0.3">
      <c r="A1903" t="s">
        <v>1971</v>
      </c>
      <c r="B1903" s="2">
        <v>47193</v>
      </c>
      <c r="C1903" t="s">
        <v>31</v>
      </c>
      <c r="D1903" t="str">
        <f t="shared" si="29"/>
        <v>March</v>
      </c>
      <c r="E1903" t="s">
        <v>16</v>
      </c>
      <c r="F1903" t="s">
        <v>60</v>
      </c>
      <c r="G1903" t="s">
        <v>78</v>
      </c>
      <c r="H1903" t="s">
        <v>19</v>
      </c>
      <c r="I1903" t="s">
        <v>34</v>
      </c>
      <c r="J1903" t="s">
        <v>43</v>
      </c>
      <c r="K1903">
        <v>4</v>
      </c>
      <c r="L1903">
        <v>39864.36</v>
      </c>
      <c r="M1903">
        <v>0</v>
      </c>
      <c r="N1903">
        <v>159457.42000000001</v>
      </c>
      <c r="O1903" t="s">
        <v>36</v>
      </c>
    </row>
    <row r="1904" spans="1:15" x14ac:dyDescent="0.3">
      <c r="A1904" t="s">
        <v>1972</v>
      </c>
      <c r="B1904" s="2">
        <v>47194</v>
      </c>
      <c r="C1904" t="s">
        <v>31</v>
      </c>
      <c r="D1904" t="str">
        <f t="shared" si="29"/>
        <v>March</v>
      </c>
      <c r="E1904" t="s">
        <v>50</v>
      </c>
      <c r="F1904" t="s">
        <v>17</v>
      </c>
      <c r="G1904" t="s">
        <v>63</v>
      </c>
      <c r="H1904" t="s">
        <v>19</v>
      </c>
      <c r="I1904" t="s">
        <v>20</v>
      </c>
      <c r="J1904" t="s">
        <v>43</v>
      </c>
      <c r="K1904">
        <v>5</v>
      </c>
      <c r="L1904">
        <v>71743.520000000004</v>
      </c>
      <c r="M1904">
        <v>0</v>
      </c>
      <c r="N1904">
        <v>358717.58</v>
      </c>
      <c r="O1904" t="s">
        <v>47</v>
      </c>
    </row>
    <row r="1905" spans="1:15" x14ac:dyDescent="0.3">
      <c r="A1905" t="s">
        <v>1973</v>
      </c>
      <c r="B1905" s="2">
        <v>47195</v>
      </c>
      <c r="C1905" t="s">
        <v>38</v>
      </c>
      <c r="D1905" t="str">
        <f t="shared" si="29"/>
        <v>March</v>
      </c>
      <c r="E1905" t="s">
        <v>69</v>
      </c>
      <c r="F1905" t="s">
        <v>40</v>
      </c>
      <c r="G1905" t="s">
        <v>41</v>
      </c>
      <c r="H1905" t="s">
        <v>27</v>
      </c>
      <c r="I1905" t="s">
        <v>34</v>
      </c>
      <c r="J1905" t="s">
        <v>21</v>
      </c>
      <c r="K1905">
        <v>1</v>
      </c>
      <c r="L1905">
        <v>6212.26</v>
      </c>
      <c r="M1905">
        <v>10</v>
      </c>
      <c r="N1905">
        <v>5591.03</v>
      </c>
      <c r="O1905" t="s">
        <v>47</v>
      </c>
    </row>
    <row r="1906" spans="1:15" x14ac:dyDescent="0.3">
      <c r="A1906" t="s">
        <v>1974</v>
      </c>
      <c r="B1906" s="2">
        <v>47196</v>
      </c>
      <c r="C1906" t="s">
        <v>38</v>
      </c>
      <c r="D1906" t="str">
        <f t="shared" si="29"/>
        <v>March</v>
      </c>
      <c r="E1906" t="s">
        <v>24</v>
      </c>
      <c r="F1906" t="s">
        <v>53</v>
      </c>
      <c r="G1906" t="s">
        <v>54</v>
      </c>
      <c r="H1906" t="s">
        <v>33</v>
      </c>
      <c r="I1906" t="s">
        <v>20</v>
      </c>
      <c r="J1906" t="s">
        <v>46</v>
      </c>
      <c r="K1906">
        <v>2</v>
      </c>
      <c r="L1906">
        <v>27925.71</v>
      </c>
      <c r="M1906">
        <v>10</v>
      </c>
      <c r="N1906">
        <v>50266.28</v>
      </c>
      <c r="O1906" t="s">
        <v>47</v>
      </c>
    </row>
    <row r="1907" spans="1:15" x14ac:dyDescent="0.3">
      <c r="A1907" t="s">
        <v>1975</v>
      </c>
      <c r="B1907" s="2">
        <v>47197</v>
      </c>
      <c r="C1907" t="s">
        <v>49</v>
      </c>
      <c r="D1907" t="str">
        <f t="shared" si="29"/>
        <v>March</v>
      </c>
      <c r="E1907" t="s">
        <v>39</v>
      </c>
      <c r="F1907" t="s">
        <v>40</v>
      </c>
      <c r="G1907" t="s">
        <v>75</v>
      </c>
      <c r="H1907" t="s">
        <v>33</v>
      </c>
      <c r="I1907" t="s">
        <v>42</v>
      </c>
      <c r="J1907" t="s">
        <v>43</v>
      </c>
      <c r="K1907">
        <v>3</v>
      </c>
      <c r="L1907">
        <v>5802.59</v>
      </c>
      <c r="M1907">
        <v>5</v>
      </c>
      <c r="N1907">
        <v>16537.39</v>
      </c>
      <c r="O1907" t="s">
        <v>47</v>
      </c>
    </row>
    <row r="1908" spans="1:15" x14ac:dyDescent="0.3">
      <c r="A1908" t="s">
        <v>1976</v>
      </c>
      <c r="B1908" s="2">
        <v>47198</v>
      </c>
      <c r="C1908" t="s">
        <v>38</v>
      </c>
      <c r="D1908" t="str">
        <f t="shared" si="29"/>
        <v>March</v>
      </c>
      <c r="E1908" t="s">
        <v>24</v>
      </c>
      <c r="F1908" t="s">
        <v>40</v>
      </c>
      <c r="G1908" t="s">
        <v>118</v>
      </c>
      <c r="H1908" t="s">
        <v>45</v>
      </c>
      <c r="I1908" t="s">
        <v>34</v>
      </c>
      <c r="J1908" t="s">
        <v>43</v>
      </c>
      <c r="K1908">
        <v>3</v>
      </c>
      <c r="L1908">
        <v>5931.26</v>
      </c>
      <c r="M1908">
        <v>15</v>
      </c>
      <c r="N1908">
        <v>15124.71</v>
      </c>
      <c r="O1908" t="s">
        <v>47</v>
      </c>
    </row>
    <row r="1909" spans="1:15" x14ac:dyDescent="0.3">
      <c r="A1909" t="s">
        <v>1977</v>
      </c>
      <c r="B1909" s="2">
        <v>47199</v>
      </c>
      <c r="C1909" t="s">
        <v>58</v>
      </c>
      <c r="D1909" t="str">
        <f t="shared" si="29"/>
        <v>March</v>
      </c>
      <c r="E1909" t="s">
        <v>32</v>
      </c>
      <c r="F1909" t="s">
        <v>40</v>
      </c>
      <c r="G1909" t="s">
        <v>115</v>
      </c>
      <c r="H1909" t="s">
        <v>45</v>
      </c>
      <c r="I1909" t="s">
        <v>20</v>
      </c>
      <c r="J1909" t="s">
        <v>46</v>
      </c>
      <c r="K1909">
        <v>3</v>
      </c>
      <c r="L1909">
        <v>5363.61</v>
      </c>
      <c r="M1909">
        <v>0</v>
      </c>
      <c r="N1909">
        <v>16090.84</v>
      </c>
      <c r="O1909" t="s">
        <v>47</v>
      </c>
    </row>
    <row r="1910" spans="1:15" x14ac:dyDescent="0.3">
      <c r="A1910" t="s">
        <v>1978</v>
      </c>
      <c r="B1910" s="2">
        <v>47200</v>
      </c>
      <c r="C1910" t="s">
        <v>58</v>
      </c>
      <c r="D1910" t="str">
        <f t="shared" si="29"/>
        <v>March</v>
      </c>
      <c r="E1910" t="s">
        <v>24</v>
      </c>
      <c r="F1910" t="s">
        <v>60</v>
      </c>
      <c r="G1910" t="s">
        <v>61</v>
      </c>
      <c r="H1910" t="s">
        <v>33</v>
      </c>
      <c r="I1910" t="s">
        <v>20</v>
      </c>
      <c r="J1910" t="s">
        <v>46</v>
      </c>
      <c r="K1910">
        <v>5</v>
      </c>
      <c r="L1910">
        <v>34169.54</v>
      </c>
      <c r="M1910">
        <v>10</v>
      </c>
      <c r="N1910">
        <v>153762.93</v>
      </c>
      <c r="O1910" t="s">
        <v>47</v>
      </c>
    </row>
    <row r="1911" spans="1:15" x14ac:dyDescent="0.3">
      <c r="A1911" t="s">
        <v>1979</v>
      </c>
      <c r="B1911" s="2">
        <v>47201</v>
      </c>
      <c r="C1911" t="s">
        <v>58</v>
      </c>
      <c r="D1911" t="str">
        <f t="shared" si="29"/>
        <v>March</v>
      </c>
      <c r="E1911" t="s">
        <v>52</v>
      </c>
      <c r="F1911" t="s">
        <v>17</v>
      </c>
      <c r="G1911" t="s">
        <v>123</v>
      </c>
      <c r="H1911" t="s">
        <v>33</v>
      </c>
      <c r="I1911" t="s">
        <v>42</v>
      </c>
      <c r="J1911" t="s">
        <v>43</v>
      </c>
      <c r="K1911">
        <v>3</v>
      </c>
      <c r="L1911">
        <v>51854.94</v>
      </c>
      <c r="M1911">
        <v>0</v>
      </c>
      <c r="N1911">
        <v>155564.82999999999</v>
      </c>
      <c r="O1911" t="s">
        <v>36</v>
      </c>
    </row>
    <row r="1912" spans="1:15" x14ac:dyDescent="0.3">
      <c r="A1912" t="s">
        <v>1980</v>
      </c>
      <c r="B1912" s="2">
        <v>47202</v>
      </c>
      <c r="C1912" t="s">
        <v>31</v>
      </c>
      <c r="D1912" t="str">
        <f t="shared" si="29"/>
        <v>March</v>
      </c>
      <c r="E1912" t="s">
        <v>100</v>
      </c>
      <c r="F1912" t="s">
        <v>60</v>
      </c>
      <c r="G1912" t="s">
        <v>73</v>
      </c>
      <c r="H1912" t="s">
        <v>33</v>
      </c>
      <c r="I1912" t="s">
        <v>42</v>
      </c>
      <c r="J1912" t="s">
        <v>21</v>
      </c>
      <c r="K1912">
        <v>5</v>
      </c>
      <c r="L1912">
        <v>41639.769999999997</v>
      </c>
      <c r="M1912">
        <v>15</v>
      </c>
      <c r="N1912">
        <v>176969.03</v>
      </c>
      <c r="O1912" t="s">
        <v>22</v>
      </c>
    </row>
    <row r="1913" spans="1:15" x14ac:dyDescent="0.3">
      <c r="A1913" t="s">
        <v>1981</v>
      </c>
      <c r="B1913" s="2">
        <v>47203</v>
      </c>
      <c r="C1913" t="s">
        <v>49</v>
      </c>
      <c r="D1913" t="str">
        <f t="shared" si="29"/>
        <v>March</v>
      </c>
      <c r="E1913" t="s">
        <v>72</v>
      </c>
      <c r="F1913" t="s">
        <v>40</v>
      </c>
      <c r="G1913" t="s">
        <v>118</v>
      </c>
      <c r="H1913" t="s">
        <v>19</v>
      </c>
      <c r="I1913" t="s">
        <v>20</v>
      </c>
      <c r="J1913" t="s">
        <v>43</v>
      </c>
      <c r="K1913">
        <v>3</v>
      </c>
      <c r="L1913">
        <v>6602.34</v>
      </c>
      <c r="M1913">
        <v>10</v>
      </c>
      <c r="N1913">
        <v>17826.32</v>
      </c>
      <c r="O1913" t="s">
        <v>29</v>
      </c>
    </row>
    <row r="1914" spans="1:15" x14ac:dyDescent="0.3">
      <c r="A1914" t="s">
        <v>1982</v>
      </c>
      <c r="B1914" s="2">
        <v>47204</v>
      </c>
      <c r="C1914" t="s">
        <v>49</v>
      </c>
      <c r="D1914" t="str">
        <f t="shared" si="29"/>
        <v>March</v>
      </c>
      <c r="E1914" t="s">
        <v>16</v>
      </c>
      <c r="F1914" t="s">
        <v>40</v>
      </c>
      <c r="G1914" t="s">
        <v>118</v>
      </c>
      <c r="H1914" t="s">
        <v>33</v>
      </c>
      <c r="I1914" t="s">
        <v>42</v>
      </c>
      <c r="J1914" t="s">
        <v>35</v>
      </c>
      <c r="K1914">
        <v>3</v>
      </c>
      <c r="L1914">
        <v>7084.75</v>
      </c>
      <c r="M1914">
        <v>10</v>
      </c>
      <c r="N1914">
        <v>19128.82</v>
      </c>
      <c r="O1914" t="s">
        <v>36</v>
      </c>
    </row>
    <row r="1915" spans="1:15" x14ac:dyDescent="0.3">
      <c r="A1915" t="s">
        <v>1983</v>
      </c>
      <c r="B1915" s="2">
        <v>47205</v>
      </c>
      <c r="C1915" t="s">
        <v>58</v>
      </c>
      <c r="D1915" t="str">
        <f t="shared" si="29"/>
        <v>March</v>
      </c>
      <c r="E1915" t="s">
        <v>69</v>
      </c>
      <c r="F1915" t="s">
        <v>40</v>
      </c>
      <c r="G1915" t="s">
        <v>41</v>
      </c>
      <c r="H1915" t="s">
        <v>45</v>
      </c>
      <c r="I1915" t="s">
        <v>42</v>
      </c>
      <c r="J1915" t="s">
        <v>43</v>
      </c>
      <c r="K1915">
        <v>4</v>
      </c>
      <c r="L1915">
        <v>5581.8</v>
      </c>
      <c r="M1915">
        <v>15</v>
      </c>
      <c r="N1915">
        <v>18978.12</v>
      </c>
      <c r="O1915" t="s">
        <v>47</v>
      </c>
    </row>
    <row r="1916" spans="1:15" x14ac:dyDescent="0.3">
      <c r="A1916" t="s">
        <v>1984</v>
      </c>
      <c r="B1916" s="2">
        <v>47206</v>
      </c>
      <c r="C1916" t="s">
        <v>49</v>
      </c>
      <c r="D1916" t="str">
        <f t="shared" si="29"/>
        <v>March</v>
      </c>
      <c r="E1916" t="s">
        <v>52</v>
      </c>
      <c r="F1916" t="s">
        <v>25</v>
      </c>
      <c r="G1916" t="s">
        <v>81</v>
      </c>
      <c r="H1916" t="s">
        <v>45</v>
      </c>
      <c r="I1916" t="s">
        <v>42</v>
      </c>
      <c r="J1916" t="s">
        <v>46</v>
      </c>
      <c r="K1916">
        <v>4</v>
      </c>
      <c r="L1916">
        <v>2388.4899999999998</v>
      </c>
      <c r="M1916">
        <v>20</v>
      </c>
      <c r="N1916">
        <v>7643.18</v>
      </c>
      <c r="O1916" t="s">
        <v>47</v>
      </c>
    </row>
    <row r="1917" spans="1:15" x14ac:dyDescent="0.3">
      <c r="A1917" t="s">
        <v>1985</v>
      </c>
      <c r="B1917" s="2">
        <v>47207</v>
      </c>
      <c r="C1917" t="s">
        <v>15</v>
      </c>
      <c r="D1917" t="str">
        <f t="shared" si="29"/>
        <v>March</v>
      </c>
      <c r="E1917" t="s">
        <v>72</v>
      </c>
      <c r="F1917" t="s">
        <v>25</v>
      </c>
      <c r="G1917" t="s">
        <v>56</v>
      </c>
      <c r="H1917" t="s">
        <v>45</v>
      </c>
      <c r="I1917" t="s">
        <v>34</v>
      </c>
      <c r="J1917" t="s">
        <v>46</v>
      </c>
      <c r="K1917">
        <v>1</v>
      </c>
      <c r="L1917">
        <v>2174.89</v>
      </c>
      <c r="M1917">
        <v>10</v>
      </c>
      <c r="N1917">
        <v>1957.4</v>
      </c>
      <c r="O1917" t="s">
        <v>22</v>
      </c>
    </row>
    <row r="1918" spans="1:15" x14ac:dyDescent="0.3">
      <c r="A1918" t="s">
        <v>1986</v>
      </c>
      <c r="B1918" s="2">
        <v>47208</v>
      </c>
      <c r="C1918" t="s">
        <v>38</v>
      </c>
      <c r="D1918" t="str">
        <f t="shared" si="29"/>
        <v>March</v>
      </c>
      <c r="E1918" t="s">
        <v>32</v>
      </c>
      <c r="F1918" t="s">
        <v>40</v>
      </c>
      <c r="G1918" t="s">
        <v>115</v>
      </c>
      <c r="H1918" t="s">
        <v>27</v>
      </c>
      <c r="I1918" t="s">
        <v>34</v>
      </c>
      <c r="J1918" t="s">
        <v>21</v>
      </c>
      <c r="K1918">
        <v>1</v>
      </c>
      <c r="L1918">
        <v>5798.68</v>
      </c>
      <c r="M1918">
        <v>15</v>
      </c>
      <c r="N1918">
        <v>4928.88</v>
      </c>
      <c r="O1918" t="s">
        <v>47</v>
      </c>
    </row>
    <row r="1919" spans="1:15" x14ac:dyDescent="0.3">
      <c r="A1919" t="s">
        <v>1987</v>
      </c>
      <c r="B1919" s="2">
        <v>47209</v>
      </c>
      <c r="C1919" t="s">
        <v>58</v>
      </c>
      <c r="D1919" t="str">
        <f t="shared" si="29"/>
        <v>April</v>
      </c>
      <c r="E1919" t="s">
        <v>52</v>
      </c>
      <c r="F1919" t="s">
        <v>53</v>
      </c>
      <c r="G1919" t="s">
        <v>105</v>
      </c>
      <c r="H1919" t="s">
        <v>33</v>
      </c>
      <c r="I1919" t="s">
        <v>20</v>
      </c>
      <c r="J1919" t="s">
        <v>43</v>
      </c>
      <c r="K1919">
        <v>1</v>
      </c>
      <c r="L1919">
        <v>31079.52</v>
      </c>
      <c r="M1919">
        <v>5</v>
      </c>
      <c r="N1919">
        <v>29525.54</v>
      </c>
      <c r="O1919" t="s">
        <v>22</v>
      </c>
    </row>
    <row r="1920" spans="1:15" x14ac:dyDescent="0.3">
      <c r="A1920" t="s">
        <v>1988</v>
      </c>
      <c r="B1920" s="2">
        <v>47210</v>
      </c>
      <c r="C1920" t="s">
        <v>49</v>
      </c>
      <c r="D1920" t="str">
        <f t="shared" si="29"/>
        <v>April</v>
      </c>
      <c r="E1920" t="s">
        <v>52</v>
      </c>
      <c r="F1920" t="s">
        <v>40</v>
      </c>
      <c r="G1920" t="s">
        <v>115</v>
      </c>
      <c r="H1920" t="s">
        <v>33</v>
      </c>
      <c r="I1920" t="s">
        <v>20</v>
      </c>
      <c r="J1920" t="s">
        <v>28</v>
      </c>
      <c r="K1920">
        <v>3</v>
      </c>
      <c r="L1920">
        <v>7831.25</v>
      </c>
      <c r="M1920">
        <v>15</v>
      </c>
      <c r="N1920">
        <v>19969.689999999999</v>
      </c>
      <c r="O1920" t="s">
        <v>47</v>
      </c>
    </row>
    <row r="1921" spans="1:15" x14ac:dyDescent="0.3">
      <c r="A1921" t="s">
        <v>1989</v>
      </c>
      <c r="B1921" s="2">
        <v>47211</v>
      </c>
      <c r="C1921" t="s">
        <v>31</v>
      </c>
      <c r="D1921" t="str">
        <f t="shared" si="29"/>
        <v>April</v>
      </c>
      <c r="E1921" t="s">
        <v>69</v>
      </c>
      <c r="F1921" t="s">
        <v>17</v>
      </c>
      <c r="G1921" t="s">
        <v>63</v>
      </c>
      <c r="H1921" t="s">
        <v>45</v>
      </c>
      <c r="I1921" t="s">
        <v>42</v>
      </c>
      <c r="J1921" t="s">
        <v>21</v>
      </c>
      <c r="K1921">
        <v>4</v>
      </c>
      <c r="L1921">
        <v>54602.48</v>
      </c>
      <c r="M1921">
        <v>20</v>
      </c>
      <c r="N1921">
        <v>174727.93</v>
      </c>
      <c r="O1921" t="s">
        <v>47</v>
      </c>
    </row>
    <row r="1922" spans="1:15" x14ac:dyDescent="0.3">
      <c r="A1922" t="s">
        <v>1990</v>
      </c>
      <c r="B1922" s="2">
        <v>47212</v>
      </c>
      <c r="C1922" t="s">
        <v>58</v>
      </c>
      <c r="D1922" t="str">
        <f t="shared" si="29"/>
        <v>April</v>
      </c>
      <c r="E1922" t="s">
        <v>50</v>
      </c>
      <c r="F1922" t="s">
        <v>25</v>
      </c>
      <c r="G1922" t="s">
        <v>92</v>
      </c>
      <c r="H1922" t="s">
        <v>45</v>
      </c>
      <c r="I1922" t="s">
        <v>34</v>
      </c>
      <c r="J1922" t="s">
        <v>43</v>
      </c>
      <c r="K1922">
        <v>3</v>
      </c>
      <c r="L1922">
        <v>2413.8200000000002</v>
      </c>
      <c r="M1922">
        <v>15</v>
      </c>
      <c r="N1922">
        <v>6155.25</v>
      </c>
      <c r="O1922" t="s">
        <v>47</v>
      </c>
    </row>
    <row r="1923" spans="1:15" x14ac:dyDescent="0.3">
      <c r="A1923" t="s">
        <v>1991</v>
      </c>
      <c r="B1923" s="2">
        <v>47213</v>
      </c>
      <c r="C1923" t="s">
        <v>38</v>
      </c>
      <c r="D1923" t="str">
        <f t="shared" ref="D1923:D1986" si="30">TEXT(B1923,"mmmm")</f>
        <v>April</v>
      </c>
      <c r="E1923" t="s">
        <v>16</v>
      </c>
      <c r="F1923" t="s">
        <v>60</v>
      </c>
      <c r="G1923" t="s">
        <v>78</v>
      </c>
      <c r="H1923" t="s">
        <v>45</v>
      </c>
      <c r="I1923" t="s">
        <v>20</v>
      </c>
      <c r="J1923" t="s">
        <v>28</v>
      </c>
      <c r="K1923">
        <v>1</v>
      </c>
      <c r="L1923">
        <v>42549.61</v>
      </c>
      <c r="M1923">
        <v>10</v>
      </c>
      <c r="N1923">
        <v>38294.65</v>
      </c>
      <c r="O1923" t="s">
        <v>36</v>
      </c>
    </row>
    <row r="1924" spans="1:15" x14ac:dyDescent="0.3">
      <c r="A1924" t="s">
        <v>1992</v>
      </c>
      <c r="B1924" s="2">
        <v>47214</v>
      </c>
      <c r="C1924" t="s">
        <v>38</v>
      </c>
      <c r="D1924" t="str">
        <f t="shared" si="30"/>
        <v>April</v>
      </c>
      <c r="E1924" t="s">
        <v>39</v>
      </c>
      <c r="F1924" t="s">
        <v>53</v>
      </c>
      <c r="G1924" t="s">
        <v>65</v>
      </c>
      <c r="H1924" t="s">
        <v>45</v>
      </c>
      <c r="I1924" t="s">
        <v>34</v>
      </c>
      <c r="J1924" t="s">
        <v>35</v>
      </c>
      <c r="K1924">
        <v>1</v>
      </c>
      <c r="L1924">
        <v>29143.65</v>
      </c>
      <c r="M1924">
        <v>15</v>
      </c>
      <c r="N1924">
        <v>24772.1</v>
      </c>
      <c r="O1924" t="s">
        <v>36</v>
      </c>
    </row>
    <row r="1925" spans="1:15" x14ac:dyDescent="0.3">
      <c r="A1925" t="s">
        <v>1993</v>
      </c>
      <c r="B1925" s="2">
        <v>47215</v>
      </c>
      <c r="C1925" t="s">
        <v>49</v>
      </c>
      <c r="D1925" t="str">
        <f t="shared" si="30"/>
        <v>April</v>
      </c>
      <c r="E1925" t="s">
        <v>50</v>
      </c>
      <c r="F1925" t="s">
        <v>25</v>
      </c>
      <c r="G1925" t="s">
        <v>81</v>
      </c>
      <c r="H1925" t="s">
        <v>33</v>
      </c>
      <c r="I1925" t="s">
        <v>42</v>
      </c>
      <c r="J1925" t="s">
        <v>43</v>
      </c>
      <c r="K1925">
        <v>2</v>
      </c>
      <c r="L1925">
        <v>2174.86</v>
      </c>
      <c r="M1925">
        <v>10</v>
      </c>
      <c r="N1925">
        <v>3914.75</v>
      </c>
      <c r="O1925" t="s">
        <v>29</v>
      </c>
    </row>
    <row r="1926" spans="1:15" x14ac:dyDescent="0.3">
      <c r="A1926" t="s">
        <v>1994</v>
      </c>
      <c r="B1926" s="2">
        <v>47216</v>
      </c>
      <c r="C1926" t="s">
        <v>15</v>
      </c>
      <c r="D1926" t="str">
        <f t="shared" si="30"/>
        <v>April</v>
      </c>
      <c r="E1926" t="s">
        <v>39</v>
      </c>
      <c r="F1926" t="s">
        <v>40</v>
      </c>
      <c r="G1926" t="s">
        <v>118</v>
      </c>
      <c r="H1926" t="s">
        <v>45</v>
      </c>
      <c r="I1926" t="s">
        <v>20</v>
      </c>
      <c r="J1926" t="s">
        <v>35</v>
      </c>
      <c r="K1926">
        <v>3</v>
      </c>
      <c r="L1926">
        <v>8041.17</v>
      </c>
      <c r="M1926">
        <v>0</v>
      </c>
      <c r="N1926">
        <v>24123.5</v>
      </c>
      <c r="O1926" t="s">
        <v>36</v>
      </c>
    </row>
    <row r="1927" spans="1:15" x14ac:dyDescent="0.3">
      <c r="A1927" t="s">
        <v>1995</v>
      </c>
      <c r="B1927" s="2">
        <v>47217</v>
      </c>
      <c r="C1927" t="s">
        <v>58</v>
      </c>
      <c r="D1927" t="str">
        <f t="shared" si="30"/>
        <v>April</v>
      </c>
      <c r="E1927" t="s">
        <v>50</v>
      </c>
      <c r="F1927" t="s">
        <v>40</v>
      </c>
      <c r="G1927" t="s">
        <v>118</v>
      </c>
      <c r="H1927" t="s">
        <v>27</v>
      </c>
      <c r="I1927" t="s">
        <v>20</v>
      </c>
      <c r="J1927" t="s">
        <v>43</v>
      </c>
      <c r="K1927">
        <v>2</v>
      </c>
      <c r="L1927">
        <v>7849.68</v>
      </c>
      <c r="M1927">
        <v>20</v>
      </c>
      <c r="N1927">
        <v>12559.48</v>
      </c>
      <c r="O1927" t="s">
        <v>36</v>
      </c>
    </row>
    <row r="1928" spans="1:15" x14ac:dyDescent="0.3">
      <c r="A1928" t="s">
        <v>1996</v>
      </c>
      <c r="B1928" s="2">
        <v>47218</v>
      </c>
      <c r="C1928" t="s">
        <v>49</v>
      </c>
      <c r="D1928" t="str">
        <f t="shared" si="30"/>
        <v>April</v>
      </c>
      <c r="E1928" t="s">
        <v>69</v>
      </c>
      <c r="F1928" t="s">
        <v>25</v>
      </c>
      <c r="G1928" t="s">
        <v>26</v>
      </c>
      <c r="H1928" t="s">
        <v>27</v>
      </c>
      <c r="I1928" t="s">
        <v>42</v>
      </c>
      <c r="J1928" t="s">
        <v>46</v>
      </c>
      <c r="K1928">
        <v>3</v>
      </c>
      <c r="L1928">
        <v>2271.46</v>
      </c>
      <c r="M1928">
        <v>10</v>
      </c>
      <c r="N1928">
        <v>6132.95</v>
      </c>
      <c r="O1928" t="s">
        <v>29</v>
      </c>
    </row>
    <row r="1929" spans="1:15" x14ac:dyDescent="0.3">
      <c r="A1929" t="s">
        <v>1997</v>
      </c>
      <c r="B1929" s="2">
        <v>47219</v>
      </c>
      <c r="C1929" t="s">
        <v>38</v>
      </c>
      <c r="D1929" t="str">
        <f t="shared" si="30"/>
        <v>April</v>
      </c>
      <c r="E1929" t="s">
        <v>39</v>
      </c>
      <c r="F1929" t="s">
        <v>53</v>
      </c>
      <c r="G1929" t="s">
        <v>129</v>
      </c>
      <c r="H1929" t="s">
        <v>27</v>
      </c>
      <c r="I1929" t="s">
        <v>42</v>
      </c>
      <c r="J1929" t="s">
        <v>21</v>
      </c>
      <c r="K1929">
        <v>4</v>
      </c>
      <c r="L1929">
        <v>29836.25</v>
      </c>
      <c r="M1929">
        <v>0</v>
      </c>
      <c r="N1929">
        <v>119345</v>
      </c>
      <c r="O1929" t="s">
        <v>36</v>
      </c>
    </row>
    <row r="1930" spans="1:15" x14ac:dyDescent="0.3">
      <c r="A1930" t="s">
        <v>1998</v>
      </c>
      <c r="B1930" s="2">
        <v>47220</v>
      </c>
      <c r="C1930" t="s">
        <v>38</v>
      </c>
      <c r="D1930" t="str">
        <f t="shared" si="30"/>
        <v>April</v>
      </c>
      <c r="E1930" t="s">
        <v>16</v>
      </c>
      <c r="F1930" t="s">
        <v>40</v>
      </c>
      <c r="G1930" t="s">
        <v>41</v>
      </c>
      <c r="H1930" t="s">
        <v>45</v>
      </c>
      <c r="I1930" t="s">
        <v>42</v>
      </c>
      <c r="J1930" t="s">
        <v>43</v>
      </c>
      <c r="K1930">
        <v>5</v>
      </c>
      <c r="L1930">
        <v>6291.3</v>
      </c>
      <c r="M1930">
        <v>5</v>
      </c>
      <c r="N1930">
        <v>29883.67</v>
      </c>
      <c r="O1930" t="s">
        <v>47</v>
      </c>
    </row>
    <row r="1931" spans="1:15" x14ac:dyDescent="0.3">
      <c r="A1931" t="s">
        <v>1999</v>
      </c>
      <c r="B1931" s="2">
        <v>47221</v>
      </c>
      <c r="C1931" t="s">
        <v>58</v>
      </c>
      <c r="D1931" t="str">
        <f t="shared" si="30"/>
        <v>April</v>
      </c>
      <c r="E1931" t="s">
        <v>72</v>
      </c>
      <c r="F1931" t="s">
        <v>40</v>
      </c>
      <c r="G1931" t="s">
        <v>41</v>
      </c>
      <c r="H1931" t="s">
        <v>33</v>
      </c>
      <c r="I1931" t="s">
        <v>34</v>
      </c>
      <c r="J1931" t="s">
        <v>28</v>
      </c>
      <c r="K1931">
        <v>3</v>
      </c>
      <c r="L1931">
        <v>5744.25</v>
      </c>
      <c r="M1931">
        <v>0</v>
      </c>
      <c r="N1931">
        <v>17232.75</v>
      </c>
      <c r="O1931" t="s">
        <v>29</v>
      </c>
    </row>
    <row r="1932" spans="1:15" x14ac:dyDescent="0.3">
      <c r="A1932" t="s">
        <v>2000</v>
      </c>
      <c r="B1932" s="2">
        <v>47222</v>
      </c>
      <c r="C1932" t="s">
        <v>15</v>
      </c>
      <c r="D1932" t="str">
        <f t="shared" si="30"/>
        <v>April</v>
      </c>
      <c r="E1932" t="s">
        <v>52</v>
      </c>
      <c r="F1932" t="s">
        <v>53</v>
      </c>
      <c r="G1932" t="s">
        <v>54</v>
      </c>
      <c r="H1932" t="s">
        <v>33</v>
      </c>
      <c r="I1932" t="s">
        <v>20</v>
      </c>
      <c r="J1932" t="s">
        <v>21</v>
      </c>
      <c r="K1932">
        <v>4</v>
      </c>
      <c r="L1932">
        <v>34891.35</v>
      </c>
      <c r="M1932">
        <v>0</v>
      </c>
      <c r="N1932">
        <v>139565.41</v>
      </c>
      <c r="O1932" t="s">
        <v>36</v>
      </c>
    </row>
    <row r="1933" spans="1:15" x14ac:dyDescent="0.3">
      <c r="A1933" t="s">
        <v>2001</v>
      </c>
      <c r="B1933" s="2">
        <v>47223</v>
      </c>
      <c r="C1933" t="s">
        <v>49</v>
      </c>
      <c r="D1933" t="str">
        <f t="shared" si="30"/>
        <v>April</v>
      </c>
      <c r="E1933" t="s">
        <v>77</v>
      </c>
      <c r="F1933" t="s">
        <v>17</v>
      </c>
      <c r="G1933" t="s">
        <v>63</v>
      </c>
      <c r="H1933" t="s">
        <v>27</v>
      </c>
      <c r="I1933" t="s">
        <v>42</v>
      </c>
      <c r="J1933" t="s">
        <v>35</v>
      </c>
      <c r="K1933">
        <v>4</v>
      </c>
      <c r="L1933">
        <v>45968.1</v>
      </c>
      <c r="M1933">
        <v>15</v>
      </c>
      <c r="N1933">
        <v>156291.53</v>
      </c>
      <c r="O1933" t="s">
        <v>36</v>
      </c>
    </row>
    <row r="1934" spans="1:15" x14ac:dyDescent="0.3">
      <c r="A1934" t="s">
        <v>2002</v>
      </c>
      <c r="B1934" s="2">
        <v>47224</v>
      </c>
      <c r="C1934" t="s">
        <v>31</v>
      </c>
      <c r="D1934" t="str">
        <f t="shared" si="30"/>
        <v>April</v>
      </c>
      <c r="E1934" t="s">
        <v>50</v>
      </c>
      <c r="F1934" t="s">
        <v>40</v>
      </c>
      <c r="G1934" t="s">
        <v>115</v>
      </c>
      <c r="H1934" t="s">
        <v>33</v>
      </c>
      <c r="I1934" t="s">
        <v>42</v>
      </c>
      <c r="J1934" t="s">
        <v>35</v>
      </c>
      <c r="K1934">
        <v>2</v>
      </c>
      <c r="L1934">
        <v>7834.88</v>
      </c>
      <c r="M1934">
        <v>0</v>
      </c>
      <c r="N1934">
        <v>15669.76</v>
      </c>
      <c r="O1934" t="s">
        <v>47</v>
      </c>
    </row>
    <row r="1935" spans="1:15" x14ac:dyDescent="0.3">
      <c r="A1935" t="s">
        <v>2003</v>
      </c>
      <c r="B1935" s="2">
        <v>47225</v>
      </c>
      <c r="C1935" t="s">
        <v>38</v>
      </c>
      <c r="D1935" t="str">
        <f t="shared" si="30"/>
        <v>April</v>
      </c>
      <c r="E1935" t="s">
        <v>32</v>
      </c>
      <c r="F1935" t="s">
        <v>53</v>
      </c>
      <c r="G1935" t="s">
        <v>65</v>
      </c>
      <c r="H1935" t="s">
        <v>27</v>
      </c>
      <c r="I1935" t="s">
        <v>20</v>
      </c>
      <c r="J1935" t="s">
        <v>35</v>
      </c>
      <c r="K1935">
        <v>3</v>
      </c>
      <c r="L1935">
        <v>31545.919999999998</v>
      </c>
      <c r="M1935">
        <v>0</v>
      </c>
      <c r="N1935">
        <v>94637.77</v>
      </c>
      <c r="O1935" t="s">
        <v>36</v>
      </c>
    </row>
    <row r="1936" spans="1:15" x14ac:dyDescent="0.3">
      <c r="A1936" t="s">
        <v>2004</v>
      </c>
      <c r="B1936" s="2">
        <v>47226</v>
      </c>
      <c r="C1936" t="s">
        <v>38</v>
      </c>
      <c r="D1936" t="str">
        <f t="shared" si="30"/>
        <v>April</v>
      </c>
      <c r="E1936" t="s">
        <v>50</v>
      </c>
      <c r="F1936" t="s">
        <v>53</v>
      </c>
      <c r="G1936" t="s">
        <v>129</v>
      </c>
      <c r="H1936" t="s">
        <v>19</v>
      </c>
      <c r="I1936" t="s">
        <v>34</v>
      </c>
      <c r="J1936" t="s">
        <v>28</v>
      </c>
      <c r="K1936">
        <v>1</v>
      </c>
      <c r="L1936">
        <v>25791.07</v>
      </c>
      <c r="M1936">
        <v>15</v>
      </c>
      <c r="N1936">
        <v>21922.41</v>
      </c>
      <c r="O1936" t="s">
        <v>47</v>
      </c>
    </row>
    <row r="1937" spans="1:15" x14ac:dyDescent="0.3">
      <c r="A1937" t="s">
        <v>2005</v>
      </c>
      <c r="B1937" s="2">
        <v>47227</v>
      </c>
      <c r="C1937" t="s">
        <v>38</v>
      </c>
      <c r="D1937" t="str">
        <f t="shared" si="30"/>
        <v>April</v>
      </c>
      <c r="E1937" t="s">
        <v>39</v>
      </c>
      <c r="F1937" t="s">
        <v>40</v>
      </c>
      <c r="G1937" t="s">
        <v>115</v>
      </c>
      <c r="H1937" t="s">
        <v>33</v>
      </c>
      <c r="I1937" t="s">
        <v>20</v>
      </c>
      <c r="J1937" t="s">
        <v>35</v>
      </c>
      <c r="K1937">
        <v>4</v>
      </c>
      <c r="L1937">
        <v>5048.76</v>
      </c>
      <c r="M1937">
        <v>5</v>
      </c>
      <c r="N1937">
        <v>19185.29</v>
      </c>
      <c r="O1937" t="s">
        <v>47</v>
      </c>
    </row>
    <row r="1938" spans="1:15" x14ac:dyDescent="0.3">
      <c r="A1938" t="s">
        <v>2006</v>
      </c>
      <c r="B1938" s="2">
        <v>47228</v>
      </c>
      <c r="C1938" t="s">
        <v>58</v>
      </c>
      <c r="D1938" t="str">
        <f t="shared" si="30"/>
        <v>April</v>
      </c>
      <c r="E1938" t="s">
        <v>100</v>
      </c>
      <c r="F1938" t="s">
        <v>17</v>
      </c>
      <c r="G1938" t="s">
        <v>18</v>
      </c>
      <c r="H1938" t="s">
        <v>45</v>
      </c>
      <c r="I1938" t="s">
        <v>34</v>
      </c>
      <c r="J1938" t="s">
        <v>46</v>
      </c>
      <c r="K1938">
        <v>2</v>
      </c>
      <c r="L1938">
        <v>61611.65</v>
      </c>
      <c r="M1938">
        <v>10</v>
      </c>
      <c r="N1938">
        <v>110900.97</v>
      </c>
      <c r="O1938" t="s">
        <v>47</v>
      </c>
    </row>
    <row r="1939" spans="1:15" x14ac:dyDescent="0.3">
      <c r="A1939" t="s">
        <v>2007</v>
      </c>
      <c r="B1939" s="2">
        <v>47229</v>
      </c>
      <c r="C1939" t="s">
        <v>15</v>
      </c>
      <c r="D1939" t="str">
        <f t="shared" si="30"/>
        <v>April</v>
      </c>
      <c r="E1939" t="s">
        <v>77</v>
      </c>
      <c r="F1939" t="s">
        <v>40</v>
      </c>
      <c r="G1939" t="s">
        <v>118</v>
      </c>
      <c r="H1939" t="s">
        <v>33</v>
      </c>
      <c r="I1939" t="s">
        <v>42</v>
      </c>
      <c r="J1939" t="s">
        <v>35</v>
      </c>
      <c r="K1939">
        <v>4</v>
      </c>
      <c r="L1939">
        <v>5980.21</v>
      </c>
      <c r="M1939">
        <v>10</v>
      </c>
      <c r="N1939">
        <v>21528.76</v>
      </c>
      <c r="O1939" t="s">
        <v>47</v>
      </c>
    </row>
    <row r="1940" spans="1:15" x14ac:dyDescent="0.3">
      <c r="A1940" t="s">
        <v>2008</v>
      </c>
      <c r="B1940" s="2">
        <v>47230</v>
      </c>
      <c r="C1940" t="s">
        <v>49</v>
      </c>
      <c r="D1940" t="str">
        <f t="shared" si="30"/>
        <v>April</v>
      </c>
      <c r="E1940" t="s">
        <v>77</v>
      </c>
      <c r="F1940" t="s">
        <v>17</v>
      </c>
      <c r="G1940" t="s">
        <v>123</v>
      </c>
      <c r="H1940" t="s">
        <v>27</v>
      </c>
      <c r="I1940" t="s">
        <v>42</v>
      </c>
      <c r="J1940" t="s">
        <v>28</v>
      </c>
      <c r="K1940">
        <v>3</v>
      </c>
      <c r="L1940">
        <v>60098.85</v>
      </c>
      <c r="M1940">
        <v>0</v>
      </c>
      <c r="N1940">
        <v>180296.55</v>
      </c>
      <c r="O1940" t="s">
        <v>47</v>
      </c>
    </row>
    <row r="1941" spans="1:15" x14ac:dyDescent="0.3">
      <c r="A1941" t="s">
        <v>2009</v>
      </c>
      <c r="B1941" s="2">
        <v>47231</v>
      </c>
      <c r="C1941" t="s">
        <v>38</v>
      </c>
      <c r="D1941" t="str">
        <f t="shared" si="30"/>
        <v>April</v>
      </c>
      <c r="E1941" t="s">
        <v>16</v>
      </c>
      <c r="F1941" t="s">
        <v>60</v>
      </c>
      <c r="G1941" t="s">
        <v>70</v>
      </c>
      <c r="H1941" t="s">
        <v>19</v>
      </c>
      <c r="I1941" t="s">
        <v>20</v>
      </c>
      <c r="J1941" t="s">
        <v>28</v>
      </c>
      <c r="K1941">
        <v>3</v>
      </c>
      <c r="L1941">
        <v>47558.62</v>
      </c>
      <c r="M1941">
        <v>5</v>
      </c>
      <c r="N1941">
        <v>135542.07999999999</v>
      </c>
      <c r="O1941" t="s">
        <v>22</v>
      </c>
    </row>
    <row r="1942" spans="1:15" x14ac:dyDescent="0.3">
      <c r="A1942" t="s">
        <v>2010</v>
      </c>
      <c r="B1942" s="2">
        <v>47232</v>
      </c>
      <c r="C1942" t="s">
        <v>31</v>
      </c>
      <c r="D1942" t="str">
        <f t="shared" si="30"/>
        <v>April</v>
      </c>
      <c r="E1942" t="s">
        <v>77</v>
      </c>
      <c r="F1942" t="s">
        <v>25</v>
      </c>
      <c r="G1942" t="s">
        <v>81</v>
      </c>
      <c r="H1942" t="s">
        <v>27</v>
      </c>
      <c r="I1942" t="s">
        <v>20</v>
      </c>
      <c r="J1942" t="s">
        <v>28</v>
      </c>
      <c r="K1942">
        <v>5</v>
      </c>
      <c r="L1942">
        <v>2448.2199999999998</v>
      </c>
      <c r="M1942">
        <v>15</v>
      </c>
      <c r="N1942">
        <v>10404.92</v>
      </c>
      <c r="O1942" t="s">
        <v>22</v>
      </c>
    </row>
    <row r="1943" spans="1:15" x14ac:dyDescent="0.3">
      <c r="A1943" t="s">
        <v>2011</v>
      </c>
      <c r="B1943" s="2">
        <v>47233</v>
      </c>
      <c r="C1943" t="s">
        <v>49</v>
      </c>
      <c r="D1943" t="str">
        <f t="shared" si="30"/>
        <v>April</v>
      </c>
      <c r="E1943" t="s">
        <v>77</v>
      </c>
      <c r="F1943" t="s">
        <v>60</v>
      </c>
      <c r="G1943" t="s">
        <v>61</v>
      </c>
      <c r="H1943" t="s">
        <v>33</v>
      </c>
      <c r="I1943" t="s">
        <v>20</v>
      </c>
      <c r="J1943" t="s">
        <v>35</v>
      </c>
      <c r="K1943">
        <v>4</v>
      </c>
      <c r="L1943">
        <v>44973.03</v>
      </c>
      <c r="M1943">
        <v>0</v>
      </c>
      <c r="N1943">
        <v>179892.12</v>
      </c>
      <c r="O1943" t="s">
        <v>47</v>
      </c>
    </row>
    <row r="1944" spans="1:15" x14ac:dyDescent="0.3">
      <c r="A1944" t="s">
        <v>2012</v>
      </c>
      <c r="B1944" s="2">
        <v>47234</v>
      </c>
      <c r="C1944" t="s">
        <v>58</v>
      </c>
      <c r="D1944" t="str">
        <f t="shared" si="30"/>
        <v>April</v>
      </c>
      <c r="E1944" t="s">
        <v>16</v>
      </c>
      <c r="F1944" t="s">
        <v>53</v>
      </c>
      <c r="G1944" t="s">
        <v>65</v>
      </c>
      <c r="H1944" t="s">
        <v>19</v>
      </c>
      <c r="I1944" t="s">
        <v>20</v>
      </c>
      <c r="J1944" t="s">
        <v>43</v>
      </c>
      <c r="K1944">
        <v>5</v>
      </c>
      <c r="L1944">
        <v>34706.19</v>
      </c>
      <c r="M1944">
        <v>5</v>
      </c>
      <c r="N1944">
        <v>164854.39000000001</v>
      </c>
      <c r="O1944" t="s">
        <v>47</v>
      </c>
    </row>
    <row r="1945" spans="1:15" x14ac:dyDescent="0.3">
      <c r="A1945" t="s">
        <v>2013</v>
      </c>
      <c r="B1945" s="2">
        <v>47235</v>
      </c>
      <c r="C1945" t="s">
        <v>15</v>
      </c>
      <c r="D1945" t="str">
        <f t="shared" si="30"/>
        <v>April</v>
      </c>
      <c r="E1945" t="s">
        <v>39</v>
      </c>
      <c r="F1945" t="s">
        <v>53</v>
      </c>
      <c r="G1945" t="s">
        <v>54</v>
      </c>
      <c r="H1945" t="s">
        <v>33</v>
      </c>
      <c r="I1945" t="s">
        <v>20</v>
      </c>
      <c r="J1945" t="s">
        <v>21</v>
      </c>
      <c r="K1945">
        <v>5</v>
      </c>
      <c r="L1945">
        <v>37586.65</v>
      </c>
      <c r="M1945">
        <v>10</v>
      </c>
      <c r="N1945">
        <v>169139.92</v>
      </c>
      <c r="O1945" t="s">
        <v>22</v>
      </c>
    </row>
    <row r="1946" spans="1:15" x14ac:dyDescent="0.3">
      <c r="A1946" t="s">
        <v>2014</v>
      </c>
      <c r="B1946" s="2">
        <v>47236</v>
      </c>
      <c r="C1946" t="s">
        <v>31</v>
      </c>
      <c r="D1946" t="str">
        <f t="shared" si="30"/>
        <v>April</v>
      </c>
      <c r="E1946" t="s">
        <v>16</v>
      </c>
      <c r="F1946" t="s">
        <v>17</v>
      </c>
      <c r="G1946" t="s">
        <v>123</v>
      </c>
      <c r="H1946" t="s">
        <v>33</v>
      </c>
      <c r="I1946" t="s">
        <v>20</v>
      </c>
      <c r="J1946" t="s">
        <v>46</v>
      </c>
      <c r="K1946">
        <v>1</v>
      </c>
      <c r="L1946">
        <v>70075.44</v>
      </c>
      <c r="M1946">
        <v>5</v>
      </c>
      <c r="N1946">
        <v>66571.67</v>
      </c>
      <c r="O1946" t="s">
        <v>47</v>
      </c>
    </row>
    <row r="1947" spans="1:15" x14ac:dyDescent="0.3">
      <c r="A1947" t="s">
        <v>2015</v>
      </c>
      <c r="B1947" s="2">
        <v>47237</v>
      </c>
      <c r="C1947" t="s">
        <v>49</v>
      </c>
      <c r="D1947" t="str">
        <f t="shared" si="30"/>
        <v>April</v>
      </c>
      <c r="E1947" t="s">
        <v>100</v>
      </c>
      <c r="F1947" t="s">
        <v>25</v>
      </c>
      <c r="G1947" t="s">
        <v>92</v>
      </c>
      <c r="H1947" t="s">
        <v>27</v>
      </c>
      <c r="I1947" t="s">
        <v>34</v>
      </c>
      <c r="J1947" t="s">
        <v>46</v>
      </c>
      <c r="K1947">
        <v>5</v>
      </c>
      <c r="L1947">
        <v>2022.38</v>
      </c>
      <c r="M1947">
        <v>0</v>
      </c>
      <c r="N1947">
        <v>10111.92</v>
      </c>
      <c r="O1947" t="s">
        <v>47</v>
      </c>
    </row>
    <row r="1948" spans="1:15" x14ac:dyDescent="0.3">
      <c r="A1948" t="s">
        <v>2016</v>
      </c>
      <c r="B1948" s="2">
        <v>47238</v>
      </c>
      <c r="C1948" t="s">
        <v>31</v>
      </c>
      <c r="D1948" t="str">
        <f t="shared" si="30"/>
        <v>April</v>
      </c>
      <c r="E1948" t="s">
        <v>50</v>
      </c>
      <c r="F1948" t="s">
        <v>17</v>
      </c>
      <c r="G1948" t="s">
        <v>63</v>
      </c>
      <c r="H1948" t="s">
        <v>33</v>
      </c>
      <c r="I1948" t="s">
        <v>42</v>
      </c>
      <c r="J1948" t="s">
        <v>28</v>
      </c>
      <c r="K1948">
        <v>1</v>
      </c>
      <c r="L1948">
        <v>44809.57</v>
      </c>
      <c r="M1948">
        <v>5</v>
      </c>
      <c r="N1948">
        <v>42569.1</v>
      </c>
      <c r="O1948" t="s">
        <v>22</v>
      </c>
    </row>
    <row r="1949" spans="1:15" x14ac:dyDescent="0.3">
      <c r="A1949" t="s">
        <v>2017</v>
      </c>
      <c r="B1949" s="2">
        <v>47239</v>
      </c>
      <c r="C1949" t="s">
        <v>58</v>
      </c>
      <c r="D1949" t="str">
        <f t="shared" si="30"/>
        <v>May</v>
      </c>
      <c r="E1949" t="s">
        <v>50</v>
      </c>
      <c r="F1949" t="s">
        <v>40</v>
      </c>
      <c r="G1949" t="s">
        <v>41</v>
      </c>
      <c r="H1949" t="s">
        <v>27</v>
      </c>
      <c r="I1949" t="s">
        <v>42</v>
      </c>
      <c r="J1949" t="s">
        <v>21</v>
      </c>
      <c r="K1949">
        <v>4</v>
      </c>
      <c r="L1949">
        <v>6405.38</v>
      </c>
      <c r="M1949">
        <v>10</v>
      </c>
      <c r="N1949">
        <v>23059.37</v>
      </c>
      <c r="O1949" t="s">
        <v>47</v>
      </c>
    </row>
    <row r="1950" spans="1:15" x14ac:dyDescent="0.3">
      <c r="A1950" t="s">
        <v>2018</v>
      </c>
      <c r="B1950" s="2">
        <v>47240</v>
      </c>
      <c r="C1950" t="s">
        <v>31</v>
      </c>
      <c r="D1950" t="str">
        <f t="shared" si="30"/>
        <v>May</v>
      </c>
      <c r="E1950" t="s">
        <v>16</v>
      </c>
      <c r="F1950" t="s">
        <v>17</v>
      </c>
      <c r="G1950" t="s">
        <v>123</v>
      </c>
      <c r="H1950" t="s">
        <v>45</v>
      </c>
      <c r="I1950" t="s">
        <v>20</v>
      </c>
      <c r="J1950" t="s">
        <v>35</v>
      </c>
      <c r="K1950">
        <v>4</v>
      </c>
      <c r="L1950">
        <v>52045.34</v>
      </c>
      <c r="M1950">
        <v>0</v>
      </c>
      <c r="N1950">
        <v>208181.37</v>
      </c>
      <c r="O1950" t="s">
        <v>36</v>
      </c>
    </row>
    <row r="1951" spans="1:15" x14ac:dyDescent="0.3">
      <c r="A1951" t="s">
        <v>2019</v>
      </c>
      <c r="B1951" s="2">
        <v>47241</v>
      </c>
      <c r="C1951" t="s">
        <v>15</v>
      </c>
      <c r="D1951" t="str">
        <f t="shared" si="30"/>
        <v>May</v>
      </c>
      <c r="E1951" t="s">
        <v>16</v>
      </c>
      <c r="F1951" t="s">
        <v>53</v>
      </c>
      <c r="G1951" t="s">
        <v>105</v>
      </c>
      <c r="H1951" t="s">
        <v>33</v>
      </c>
      <c r="I1951" t="s">
        <v>42</v>
      </c>
      <c r="J1951" t="s">
        <v>28</v>
      </c>
      <c r="K1951">
        <v>2</v>
      </c>
      <c r="L1951">
        <v>35186.04</v>
      </c>
      <c r="M1951">
        <v>0</v>
      </c>
      <c r="N1951">
        <v>70372.070000000007</v>
      </c>
      <c r="O1951" t="s">
        <v>22</v>
      </c>
    </row>
    <row r="1952" spans="1:15" x14ac:dyDescent="0.3">
      <c r="A1952" t="s">
        <v>2020</v>
      </c>
      <c r="B1952" s="2">
        <v>47242</v>
      </c>
      <c r="C1952" t="s">
        <v>31</v>
      </c>
      <c r="D1952" t="str">
        <f t="shared" si="30"/>
        <v>May</v>
      </c>
      <c r="E1952" t="s">
        <v>100</v>
      </c>
      <c r="F1952" t="s">
        <v>40</v>
      </c>
      <c r="G1952" t="s">
        <v>75</v>
      </c>
      <c r="H1952" t="s">
        <v>33</v>
      </c>
      <c r="I1952" t="s">
        <v>34</v>
      </c>
      <c r="J1952" t="s">
        <v>21</v>
      </c>
      <c r="K1952">
        <v>2</v>
      </c>
      <c r="L1952">
        <v>7377.14</v>
      </c>
      <c r="M1952">
        <v>5</v>
      </c>
      <c r="N1952">
        <v>14016.57</v>
      </c>
      <c r="O1952" t="s">
        <v>22</v>
      </c>
    </row>
    <row r="1953" spans="1:15" x14ac:dyDescent="0.3">
      <c r="A1953" t="s">
        <v>2021</v>
      </c>
      <c r="B1953" s="2">
        <v>47243</v>
      </c>
      <c r="C1953" t="s">
        <v>15</v>
      </c>
      <c r="D1953" t="str">
        <f t="shared" si="30"/>
        <v>May</v>
      </c>
      <c r="E1953" t="s">
        <v>100</v>
      </c>
      <c r="F1953" t="s">
        <v>53</v>
      </c>
      <c r="G1953" t="s">
        <v>65</v>
      </c>
      <c r="H1953" t="s">
        <v>45</v>
      </c>
      <c r="I1953" t="s">
        <v>42</v>
      </c>
      <c r="J1953" t="s">
        <v>28</v>
      </c>
      <c r="K1953">
        <v>4</v>
      </c>
      <c r="L1953">
        <v>39960.69</v>
      </c>
      <c r="M1953">
        <v>5</v>
      </c>
      <c r="N1953">
        <v>151850.62</v>
      </c>
      <c r="O1953" t="s">
        <v>47</v>
      </c>
    </row>
    <row r="1954" spans="1:15" x14ac:dyDescent="0.3">
      <c r="A1954" t="s">
        <v>2022</v>
      </c>
      <c r="B1954" s="2">
        <v>47244</v>
      </c>
      <c r="C1954" t="s">
        <v>31</v>
      </c>
      <c r="D1954" t="str">
        <f t="shared" si="30"/>
        <v>May</v>
      </c>
      <c r="E1954" t="s">
        <v>72</v>
      </c>
      <c r="F1954" t="s">
        <v>60</v>
      </c>
      <c r="G1954" t="s">
        <v>73</v>
      </c>
      <c r="H1954" t="s">
        <v>45</v>
      </c>
      <c r="I1954" t="s">
        <v>20</v>
      </c>
      <c r="J1954" t="s">
        <v>28</v>
      </c>
      <c r="K1954">
        <v>4</v>
      </c>
      <c r="L1954">
        <v>43807.74</v>
      </c>
      <c r="M1954">
        <v>5</v>
      </c>
      <c r="N1954">
        <v>166469.42000000001</v>
      </c>
      <c r="O1954" t="s">
        <v>47</v>
      </c>
    </row>
    <row r="1955" spans="1:15" x14ac:dyDescent="0.3">
      <c r="A1955" t="s">
        <v>2023</v>
      </c>
      <c r="B1955" s="2">
        <v>47245</v>
      </c>
      <c r="C1955" t="s">
        <v>31</v>
      </c>
      <c r="D1955" t="str">
        <f t="shared" si="30"/>
        <v>May</v>
      </c>
      <c r="E1955" t="s">
        <v>16</v>
      </c>
      <c r="F1955" t="s">
        <v>17</v>
      </c>
      <c r="G1955" t="s">
        <v>123</v>
      </c>
      <c r="H1955" t="s">
        <v>19</v>
      </c>
      <c r="I1955" t="s">
        <v>34</v>
      </c>
      <c r="J1955" t="s">
        <v>21</v>
      </c>
      <c r="K1955">
        <v>3</v>
      </c>
      <c r="L1955">
        <v>55632.7</v>
      </c>
      <c r="M1955">
        <v>5</v>
      </c>
      <c r="N1955">
        <v>158553.20000000001</v>
      </c>
      <c r="O1955" t="s">
        <v>47</v>
      </c>
    </row>
    <row r="1956" spans="1:15" x14ac:dyDescent="0.3">
      <c r="A1956" t="s">
        <v>2024</v>
      </c>
      <c r="B1956" s="2">
        <v>47246</v>
      </c>
      <c r="C1956" t="s">
        <v>58</v>
      </c>
      <c r="D1956" t="str">
        <f t="shared" si="30"/>
        <v>May</v>
      </c>
      <c r="E1956" t="s">
        <v>77</v>
      </c>
      <c r="F1956" t="s">
        <v>53</v>
      </c>
      <c r="G1956" t="s">
        <v>129</v>
      </c>
      <c r="H1956" t="s">
        <v>27</v>
      </c>
      <c r="I1956" t="s">
        <v>34</v>
      </c>
      <c r="J1956" t="s">
        <v>46</v>
      </c>
      <c r="K1956">
        <v>3</v>
      </c>
      <c r="L1956">
        <v>26775.98</v>
      </c>
      <c r="M1956">
        <v>10</v>
      </c>
      <c r="N1956">
        <v>72295.149999999994</v>
      </c>
      <c r="O1956" t="s">
        <v>22</v>
      </c>
    </row>
    <row r="1957" spans="1:15" x14ac:dyDescent="0.3">
      <c r="A1957" t="s">
        <v>2025</v>
      </c>
      <c r="B1957" s="2">
        <v>47247</v>
      </c>
      <c r="C1957" t="s">
        <v>49</v>
      </c>
      <c r="D1957" t="str">
        <f t="shared" si="30"/>
        <v>May</v>
      </c>
      <c r="E1957" t="s">
        <v>50</v>
      </c>
      <c r="F1957" t="s">
        <v>17</v>
      </c>
      <c r="G1957" t="s">
        <v>63</v>
      </c>
      <c r="H1957" t="s">
        <v>27</v>
      </c>
      <c r="I1957" t="s">
        <v>34</v>
      </c>
      <c r="J1957" t="s">
        <v>21</v>
      </c>
      <c r="K1957">
        <v>1</v>
      </c>
      <c r="L1957">
        <v>53783.38</v>
      </c>
      <c r="M1957">
        <v>5</v>
      </c>
      <c r="N1957">
        <v>51094.21</v>
      </c>
      <c r="O1957" t="s">
        <v>36</v>
      </c>
    </row>
    <row r="1958" spans="1:15" x14ac:dyDescent="0.3">
      <c r="A1958" t="s">
        <v>2026</v>
      </c>
      <c r="B1958" s="2">
        <v>47248</v>
      </c>
      <c r="C1958" t="s">
        <v>38</v>
      </c>
      <c r="D1958" t="str">
        <f t="shared" si="30"/>
        <v>May</v>
      </c>
      <c r="E1958" t="s">
        <v>50</v>
      </c>
      <c r="F1958" t="s">
        <v>17</v>
      </c>
      <c r="G1958" t="s">
        <v>18</v>
      </c>
      <c r="H1958" t="s">
        <v>33</v>
      </c>
      <c r="I1958" t="s">
        <v>34</v>
      </c>
      <c r="J1958" t="s">
        <v>35</v>
      </c>
      <c r="K1958">
        <v>3</v>
      </c>
      <c r="L1958">
        <v>55666.98</v>
      </c>
      <c r="M1958">
        <v>10</v>
      </c>
      <c r="N1958">
        <v>150300.84</v>
      </c>
      <c r="O1958" t="s">
        <v>22</v>
      </c>
    </row>
    <row r="1959" spans="1:15" x14ac:dyDescent="0.3">
      <c r="A1959" t="s">
        <v>2027</v>
      </c>
      <c r="B1959" s="2">
        <v>47249</v>
      </c>
      <c r="C1959" t="s">
        <v>15</v>
      </c>
      <c r="D1959" t="str">
        <f t="shared" si="30"/>
        <v>May</v>
      </c>
      <c r="E1959" t="s">
        <v>52</v>
      </c>
      <c r="F1959" t="s">
        <v>60</v>
      </c>
      <c r="G1959" t="s">
        <v>78</v>
      </c>
      <c r="H1959" t="s">
        <v>33</v>
      </c>
      <c r="I1959" t="s">
        <v>42</v>
      </c>
      <c r="J1959" t="s">
        <v>35</v>
      </c>
      <c r="K1959">
        <v>2</v>
      </c>
      <c r="L1959">
        <v>42806.57</v>
      </c>
      <c r="M1959">
        <v>0</v>
      </c>
      <c r="N1959">
        <v>85613.14</v>
      </c>
      <c r="O1959" t="s">
        <v>29</v>
      </c>
    </row>
    <row r="1960" spans="1:15" x14ac:dyDescent="0.3">
      <c r="A1960" t="s">
        <v>2028</v>
      </c>
      <c r="B1960" s="2">
        <v>47250</v>
      </c>
      <c r="C1960" t="s">
        <v>15</v>
      </c>
      <c r="D1960" t="str">
        <f t="shared" si="30"/>
        <v>May</v>
      </c>
      <c r="E1960" t="s">
        <v>72</v>
      </c>
      <c r="F1960" t="s">
        <v>40</v>
      </c>
      <c r="G1960" t="s">
        <v>75</v>
      </c>
      <c r="H1960" t="s">
        <v>27</v>
      </c>
      <c r="I1960" t="s">
        <v>34</v>
      </c>
      <c r="J1960" t="s">
        <v>21</v>
      </c>
      <c r="K1960">
        <v>5</v>
      </c>
      <c r="L1960">
        <v>5090.88</v>
      </c>
      <c r="M1960">
        <v>0</v>
      </c>
      <c r="N1960">
        <v>25454.38</v>
      </c>
      <c r="O1960" t="s">
        <v>29</v>
      </c>
    </row>
    <row r="1961" spans="1:15" x14ac:dyDescent="0.3">
      <c r="A1961" t="s">
        <v>2029</v>
      </c>
      <c r="B1961" s="2">
        <v>47251</v>
      </c>
      <c r="C1961" t="s">
        <v>38</v>
      </c>
      <c r="D1961" t="str">
        <f t="shared" si="30"/>
        <v>May</v>
      </c>
      <c r="E1961" t="s">
        <v>77</v>
      </c>
      <c r="F1961" t="s">
        <v>60</v>
      </c>
      <c r="G1961" t="s">
        <v>70</v>
      </c>
      <c r="H1961" t="s">
        <v>45</v>
      </c>
      <c r="I1961" t="s">
        <v>42</v>
      </c>
      <c r="J1961" t="s">
        <v>21</v>
      </c>
      <c r="K1961">
        <v>4</v>
      </c>
      <c r="L1961">
        <v>52166.42</v>
      </c>
      <c r="M1961">
        <v>0</v>
      </c>
      <c r="N1961">
        <v>208665.68</v>
      </c>
      <c r="O1961" t="s">
        <v>22</v>
      </c>
    </row>
    <row r="1962" spans="1:15" x14ac:dyDescent="0.3">
      <c r="A1962" t="s">
        <v>2030</v>
      </c>
      <c r="B1962" s="2">
        <v>47252</v>
      </c>
      <c r="C1962" t="s">
        <v>31</v>
      </c>
      <c r="D1962" t="str">
        <f t="shared" si="30"/>
        <v>May</v>
      </c>
      <c r="E1962" t="s">
        <v>50</v>
      </c>
      <c r="F1962" t="s">
        <v>25</v>
      </c>
      <c r="G1962" t="s">
        <v>92</v>
      </c>
      <c r="H1962" t="s">
        <v>27</v>
      </c>
      <c r="I1962" t="s">
        <v>42</v>
      </c>
      <c r="J1962" t="s">
        <v>35</v>
      </c>
      <c r="K1962">
        <v>3</v>
      </c>
      <c r="L1962">
        <v>2793.36</v>
      </c>
      <c r="M1962">
        <v>5</v>
      </c>
      <c r="N1962">
        <v>7961.07</v>
      </c>
      <c r="O1962" t="s">
        <v>47</v>
      </c>
    </row>
    <row r="1963" spans="1:15" x14ac:dyDescent="0.3">
      <c r="A1963" t="s">
        <v>2031</v>
      </c>
      <c r="B1963" s="2">
        <v>47253</v>
      </c>
      <c r="C1963" t="s">
        <v>49</v>
      </c>
      <c r="D1963" t="str">
        <f t="shared" si="30"/>
        <v>May</v>
      </c>
      <c r="E1963" t="s">
        <v>39</v>
      </c>
      <c r="F1963" t="s">
        <v>25</v>
      </c>
      <c r="G1963" t="s">
        <v>56</v>
      </c>
      <c r="H1963" t="s">
        <v>33</v>
      </c>
      <c r="I1963" t="s">
        <v>20</v>
      </c>
      <c r="J1963" t="s">
        <v>28</v>
      </c>
      <c r="K1963">
        <v>3</v>
      </c>
      <c r="L1963">
        <v>2696.14</v>
      </c>
      <c r="M1963">
        <v>15</v>
      </c>
      <c r="N1963">
        <v>6875.15</v>
      </c>
      <c r="O1963" t="s">
        <v>22</v>
      </c>
    </row>
    <row r="1964" spans="1:15" x14ac:dyDescent="0.3">
      <c r="A1964" t="s">
        <v>2032</v>
      </c>
      <c r="B1964" s="2">
        <v>47254</v>
      </c>
      <c r="C1964" t="s">
        <v>31</v>
      </c>
      <c r="D1964" t="str">
        <f t="shared" si="30"/>
        <v>May</v>
      </c>
      <c r="E1964" t="s">
        <v>69</v>
      </c>
      <c r="F1964" t="s">
        <v>40</v>
      </c>
      <c r="G1964" t="s">
        <v>115</v>
      </c>
      <c r="H1964" t="s">
        <v>45</v>
      </c>
      <c r="I1964" t="s">
        <v>34</v>
      </c>
      <c r="J1964" t="s">
        <v>35</v>
      </c>
      <c r="K1964">
        <v>1</v>
      </c>
      <c r="L1964">
        <v>5484.07</v>
      </c>
      <c r="M1964">
        <v>5</v>
      </c>
      <c r="N1964">
        <v>5209.87</v>
      </c>
      <c r="O1964" t="s">
        <v>47</v>
      </c>
    </row>
    <row r="1965" spans="1:15" x14ac:dyDescent="0.3">
      <c r="A1965" t="s">
        <v>2033</v>
      </c>
      <c r="B1965" s="2">
        <v>47255</v>
      </c>
      <c r="C1965" t="s">
        <v>15</v>
      </c>
      <c r="D1965" t="str">
        <f t="shared" si="30"/>
        <v>May</v>
      </c>
      <c r="E1965" t="s">
        <v>72</v>
      </c>
      <c r="F1965" t="s">
        <v>17</v>
      </c>
      <c r="G1965" t="s">
        <v>67</v>
      </c>
      <c r="H1965" t="s">
        <v>45</v>
      </c>
      <c r="I1965" t="s">
        <v>34</v>
      </c>
      <c r="J1965" t="s">
        <v>43</v>
      </c>
      <c r="K1965">
        <v>2</v>
      </c>
      <c r="L1965">
        <v>64028.12</v>
      </c>
      <c r="M1965">
        <v>10</v>
      </c>
      <c r="N1965">
        <v>115250.62</v>
      </c>
      <c r="O1965" t="s">
        <v>36</v>
      </c>
    </row>
    <row r="1966" spans="1:15" x14ac:dyDescent="0.3">
      <c r="A1966" t="s">
        <v>2034</v>
      </c>
      <c r="B1966" s="2">
        <v>47256</v>
      </c>
      <c r="C1966" t="s">
        <v>49</v>
      </c>
      <c r="D1966" t="str">
        <f t="shared" si="30"/>
        <v>May</v>
      </c>
      <c r="E1966" t="s">
        <v>32</v>
      </c>
      <c r="F1966" t="s">
        <v>25</v>
      </c>
      <c r="G1966" t="s">
        <v>81</v>
      </c>
      <c r="H1966" t="s">
        <v>45</v>
      </c>
      <c r="I1966" t="s">
        <v>20</v>
      </c>
      <c r="J1966" t="s">
        <v>28</v>
      </c>
      <c r="K1966">
        <v>2</v>
      </c>
      <c r="L1966">
        <v>2421.0300000000002</v>
      </c>
      <c r="M1966">
        <v>10</v>
      </c>
      <c r="N1966">
        <v>4357.8599999999997</v>
      </c>
      <c r="O1966" t="s">
        <v>47</v>
      </c>
    </row>
    <row r="1967" spans="1:15" x14ac:dyDescent="0.3">
      <c r="A1967" t="s">
        <v>2035</v>
      </c>
      <c r="B1967" s="2">
        <v>47257</v>
      </c>
      <c r="C1967" t="s">
        <v>49</v>
      </c>
      <c r="D1967" t="str">
        <f t="shared" si="30"/>
        <v>May</v>
      </c>
      <c r="E1967" t="s">
        <v>50</v>
      </c>
      <c r="F1967" t="s">
        <v>17</v>
      </c>
      <c r="G1967" t="s">
        <v>18</v>
      </c>
      <c r="H1967" t="s">
        <v>33</v>
      </c>
      <c r="I1967" t="s">
        <v>42</v>
      </c>
      <c r="J1967" t="s">
        <v>43</v>
      </c>
      <c r="K1967">
        <v>4</v>
      </c>
      <c r="L1967">
        <v>63654.9</v>
      </c>
      <c r="M1967">
        <v>0</v>
      </c>
      <c r="N1967">
        <v>254619.62</v>
      </c>
      <c r="O1967" t="s">
        <v>29</v>
      </c>
    </row>
    <row r="1968" spans="1:15" x14ac:dyDescent="0.3">
      <c r="A1968" t="s">
        <v>2036</v>
      </c>
      <c r="B1968" s="2">
        <v>47258</v>
      </c>
      <c r="C1968" t="s">
        <v>58</v>
      </c>
      <c r="D1968" t="str">
        <f t="shared" si="30"/>
        <v>May</v>
      </c>
      <c r="E1968" t="s">
        <v>24</v>
      </c>
      <c r="F1968" t="s">
        <v>40</v>
      </c>
      <c r="G1968" t="s">
        <v>75</v>
      </c>
      <c r="H1968" t="s">
        <v>33</v>
      </c>
      <c r="I1968" t="s">
        <v>20</v>
      </c>
      <c r="J1968" t="s">
        <v>43</v>
      </c>
      <c r="K1968">
        <v>3</v>
      </c>
      <c r="L1968">
        <v>5166.5200000000004</v>
      </c>
      <c r="M1968">
        <v>5</v>
      </c>
      <c r="N1968">
        <v>14724.58</v>
      </c>
      <c r="O1968" t="s">
        <v>47</v>
      </c>
    </row>
    <row r="1969" spans="1:15" x14ac:dyDescent="0.3">
      <c r="A1969" t="s">
        <v>2037</v>
      </c>
      <c r="B1969" s="2">
        <v>47259</v>
      </c>
      <c r="C1969" t="s">
        <v>15</v>
      </c>
      <c r="D1969" t="str">
        <f t="shared" si="30"/>
        <v>May</v>
      </c>
      <c r="E1969" t="s">
        <v>100</v>
      </c>
      <c r="F1969" t="s">
        <v>17</v>
      </c>
      <c r="G1969" t="s">
        <v>123</v>
      </c>
      <c r="H1969" t="s">
        <v>27</v>
      </c>
      <c r="I1969" t="s">
        <v>42</v>
      </c>
      <c r="J1969" t="s">
        <v>28</v>
      </c>
      <c r="K1969">
        <v>3</v>
      </c>
      <c r="L1969">
        <v>44648.21</v>
      </c>
      <c r="M1969">
        <v>20</v>
      </c>
      <c r="N1969">
        <v>107155.71</v>
      </c>
      <c r="O1969" t="s">
        <v>22</v>
      </c>
    </row>
    <row r="1970" spans="1:15" x14ac:dyDescent="0.3">
      <c r="A1970" t="s">
        <v>2038</v>
      </c>
      <c r="B1970" s="2">
        <v>47260</v>
      </c>
      <c r="C1970" t="s">
        <v>49</v>
      </c>
      <c r="D1970" t="str">
        <f t="shared" si="30"/>
        <v>May</v>
      </c>
      <c r="E1970" t="s">
        <v>39</v>
      </c>
      <c r="F1970" t="s">
        <v>40</v>
      </c>
      <c r="G1970" t="s">
        <v>118</v>
      </c>
      <c r="H1970" t="s">
        <v>19</v>
      </c>
      <c r="I1970" t="s">
        <v>42</v>
      </c>
      <c r="J1970" t="s">
        <v>43</v>
      </c>
      <c r="K1970">
        <v>2</v>
      </c>
      <c r="L1970">
        <v>6027.44</v>
      </c>
      <c r="M1970">
        <v>15</v>
      </c>
      <c r="N1970">
        <v>10246.64</v>
      </c>
      <c r="O1970" t="s">
        <v>47</v>
      </c>
    </row>
    <row r="1971" spans="1:15" x14ac:dyDescent="0.3">
      <c r="A1971" t="s">
        <v>2039</v>
      </c>
      <c r="B1971" s="2">
        <v>47261</v>
      </c>
      <c r="C1971" t="s">
        <v>49</v>
      </c>
      <c r="D1971" t="str">
        <f t="shared" si="30"/>
        <v>May</v>
      </c>
      <c r="E1971" t="s">
        <v>50</v>
      </c>
      <c r="F1971" t="s">
        <v>17</v>
      </c>
      <c r="G1971" t="s">
        <v>18</v>
      </c>
      <c r="H1971" t="s">
        <v>19</v>
      </c>
      <c r="I1971" t="s">
        <v>20</v>
      </c>
      <c r="J1971" t="s">
        <v>21</v>
      </c>
      <c r="K1971">
        <v>3</v>
      </c>
      <c r="L1971">
        <v>70687.199999999997</v>
      </c>
      <c r="M1971">
        <v>0</v>
      </c>
      <c r="N1971">
        <v>212061.59</v>
      </c>
      <c r="O1971" t="s">
        <v>47</v>
      </c>
    </row>
    <row r="1972" spans="1:15" x14ac:dyDescent="0.3">
      <c r="A1972" t="s">
        <v>2040</v>
      </c>
      <c r="B1972" s="2">
        <v>47262</v>
      </c>
      <c r="C1972" t="s">
        <v>58</v>
      </c>
      <c r="D1972" t="str">
        <f t="shared" si="30"/>
        <v>May</v>
      </c>
      <c r="E1972" t="s">
        <v>77</v>
      </c>
      <c r="F1972" t="s">
        <v>60</v>
      </c>
      <c r="G1972" t="s">
        <v>73</v>
      </c>
      <c r="H1972" t="s">
        <v>45</v>
      </c>
      <c r="I1972" t="s">
        <v>20</v>
      </c>
      <c r="J1972" t="s">
        <v>46</v>
      </c>
      <c r="K1972">
        <v>5</v>
      </c>
      <c r="L1972">
        <v>47691.7</v>
      </c>
      <c r="M1972">
        <v>0</v>
      </c>
      <c r="N1972">
        <v>238458.48</v>
      </c>
      <c r="O1972" t="s">
        <v>22</v>
      </c>
    </row>
    <row r="1973" spans="1:15" x14ac:dyDescent="0.3">
      <c r="A1973" t="s">
        <v>2041</v>
      </c>
      <c r="B1973" s="2">
        <v>47263</v>
      </c>
      <c r="C1973" t="s">
        <v>49</v>
      </c>
      <c r="D1973" t="str">
        <f t="shared" si="30"/>
        <v>May</v>
      </c>
      <c r="E1973" t="s">
        <v>50</v>
      </c>
      <c r="F1973" t="s">
        <v>60</v>
      </c>
      <c r="G1973" t="s">
        <v>78</v>
      </c>
      <c r="H1973" t="s">
        <v>45</v>
      </c>
      <c r="I1973" t="s">
        <v>34</v>
      </c>
      <c r="J1973" t="s">
        <v>21</v>
      </c>
      <c r="K1973">
        <v>2</v>
      </c>
      <c r="L1973">
        <v>38633.35</v>
      </c>
      <c r="M1973">
        <v>5</v>
      </c>
      <c r="N1973">
        <v>73403.360000000001</v>
      </c>
      <c r="O1973" t="s">
        <v>22</v>
      </c>
    </row>
    <row r="1974" spans="1:15" x14ac:dyDescent="0.3">
      <c r="A1974" t="s">
        <v>2042</v>
      </c>
      <c r="B1974" s="2">
        <v>47264</v>
      </c>
      <c r="C1974" t="s">
        <v>38</v>
      </c>
      <c r="D1974" t="str">
        <f t="shared" si="30"/>
        <v>May</v>
      </c>
      <c r="E1974" t="s">
        <v>77</v>
      </c>
      <c r="F1974" t="s">
        <v>60</v>
      </c>
      <c r="G1974" t="s">
        <v>61</v>
      </c>
      <c r="H1974" t="s">
        <v>45</v>
      </c>
      <c r="I1974" t="s">
        <v>42</v>
      </c>
      <c r="J1974" t="s">
        <v>28</v>
      </c>
      <c r="K1974">
        <v>2</v>
      </c>
      <c r="L1974">
        <v>52438.080000000002</v>
      </c>
      <c r="M1974">
        <v>5</v>
      </c>
      <c r="N1974">
        <v>99632.35</v>
      </c>
      <c r="O1974" t="s">
        <v>22</v>
      </c>
    </row>
    <row r="1975" spans="1:15" x14ac:dyDescent="0.3">
      <c r="A1975" t="s">
        <v>2043</v>
      </c>
      <c r="B1975" s="2">
        <v>47265</v>
      </c>
      <c r="C1975" t="s">
        <v>31</v>
      </c>
      <c r="D1975" t="str">
        <f t="shared" si="30"/>
        <v>May</v>
      </c>
      <c r="E1975" t="s">
        <v>32</v>
      </c>
      <c r="F1975" t="s">
        <v>25</v>
      </c>
      <c r="G1975" t="s">
        <v>26</v>
      </c>
      <c r="H1975" t="s">
        <v>19</v>
      </c>
      <c r="I1975" t="s">
        <v>20</v>
      </c>
      <c r="J1975" t="s">
        <v>46</v>
      </c>
      <c r="K1975">
        <v>3</v>
      </c>
      <c r="L1975">
        <v>2581.23</v>
      </c>
      <c r="M1975">
        <v>15</v>
      </c>
      <c r="N1975">
        <v>6582.14</v>
      </c>
      <c r="O1975" t="s">
        <v>29</v>
      </c>
    </row>
    <row r="1976" spans="1:15" x14ac:dyDescent="0.3">
      <c r="A1976" t="s">
        <v>2044</v>
      </c>
      <c r="B1976" s="2">
        <v>47266</v>
      </c>
      <c r="C1976" t="s">
        <v>38</v>
      </c>
      <c r="D1976" t="str">
        <f t="shared" si="30"/>
        <v>May</v>
      </c>
      <c r="E1976" t="s">
        <v>77</v>
      </c>
      <c r="F1976" t="s">
        <v>17</v>
      </c>
      <c r="G1976" t="s">
        <v>18</v>
      </c>
      <c r="H1976" t="s">
        <v>33</v>
      </c>
      <c r="I1976" t="s">
        <v>42</v>
      </c>
      <c r="J1976" t="s">
        <v>28</v>
      </c>
      <c r="K1976">
        <v>4</v>
      </c>
      <c r="L1976">
        <v>55203.5</v>
      </c>
      <c r="M1976">
        <v>15</v>
      </c>
      <c r="N1976">
        <v>187691.89</v>
      </c>
      <c r="O1976" t="s">
        <v>47</v>
      </c>
    </row>
    <row r="1977" spans="1:15" x14ac:dyDescent="0.3">
      <c r="A1977" t="s">
        <v>2045</v>
      </c>
      <c r="B1977" s="2">
        <v>47267</v>
      </c>
      <c r="C1977" t="s">
        <v>15</v>
      </c>
      <c r="D1977" t="str">
        <f t="shared" si="30"/>
        <v>May</v>
      </c>
      <c r="E1977" t="s">
        <v>50</v>
      </c>
      <c r="F1977" t="s">
        <v>40</v>
      </c>
      <c r="G1977" t="s">
        <v>115</v>
      </c>
      <c r="H1977" t="s">
        <v>45</v>
      </c>
      <c r="I1977" t="s">
        <v>42</v>
      </c>
      <c r="J1977" t="s">
        <v>43</v>
      </c>
      <c r="K1977">
        <v>1</v>
      </c>
      <c r="L1977">
        <v>7200.94</v>
      </c>
      <c r="M1977">
        <v>15</v>
      </c>
      <c r="N1977">
        <v>6120.8</v>
      </c>
      <c r="O1977" t="s">
        <v>47</v>
      </c>
    </row>
    <row r="1978" spans="1:15" x14ac:dyDescent="0.3">
      <c r="A1978" t="s">
        <v>2046</v>
      </c>
      <c r="B1978" s="2">
        <v>47268</v>
      </c>
      <c r="C1978" t="s">
        <v>15</v>
      </c>
      <c r="D1978" t="str">
        <f t="shared" si="30"/>
        <v>May</v>
      </c>
      <c r="E1978" t="s">
        <v>32</v>
      </c>
      <c r="F1978" t="s">
        <v>53</v>
      </c>
      <c r="G1978" t="s">
        <v>129</v>
      </c>
      <c r="H1978" t="s">
        <v>27</v>
      </c>
      <c r="I1978" t="s">
        <v>34</v>
      </c>
      <c r="J1978" t="s">
        <v>21</v>
      </c>
      <c r="K1978">
        <v>3</v>
      </c>
      <c r="L1978">
        <v>35625.620000000003</v>
      </c>
      <c r="M1978">
        <v>0</v>
      </c>
      <c r="N1978">
        <v>106876.87</v>
      </c>
      <c r="O1978" t="s">
        <v>47</v>
      </c>
    </row>
    <row r="1979" spans="1:15" x14ac:dyDescent="0.3">
      <c r="A1979" t="s">
        <v>2047</v>
      </c>
      <c r="B1979" s="2">
        <v>47269</v>
      </c>
      <c r="C1979" t="s">
        <v>49</v>
      </c>
      <c r="D1979" t="str">
        <f t="shared" si="30"/>
        <v>May</v>
      </c>
      <c r="E1979" t="s">
        <v>72</v>
      </c>
      <c r="F1979" t="s">
        <v>40</v>
      </c>
      <c r="G1979" t="s">
        <v>41</v>
      </c>
      <c r="H1979" t="s">
        <v>27</v>
      </c>
      <c r="I1979" t="s">
        <v>42</v>
      </c>
      <c r="J1979" t="s">
        <v>35</v>
      </c>
      <c r="K1979">
        <v>1</v>
      </c>
      <c r="L1979">
        <v>5855.05</v>
      </c>
      <c r="M1979">
        <v>0</v>
      </c>
      <c r="N1979">
        <v>5855.05</v>
      </c>
      <c r="O1979" t="s">
        <v>47</v>
      </c>
    </row>
    <row r="1980" spans="1:15" x14ac:dyDescent="0.3">
      <c r="A1980" t="s">
        <v>2048</v>
      </c>
      <c r="B1980" s="2">
        <v>47270</v>
      </c>
      <c r="C1980" t="s">
        <v>31</v>
      </c>
      <c r="D1980" t="str">
        <f t="shared" si="30"/>
        <v>June</v>
      </c>
      <c r="E1980" t="s">
        <v>16</v>
      </c>
      <c r="F1980" t="s">
        <v>40</v>
      </c>
      <c r="G1980" t="s">
        <v>118</v>
      </c>
      <c r="H1980" t="s">
        <v>27</v>
      </c>
      <c r="I1980" t="s">
        <v>20</v>
      </c>
      <c r="J1980" t="s">
        <v>43</v>
      </c>
      <c r="K1980">
        <v>4</v>
      </c>
      <c r="L1980">
        <v>6469.27</v>
      </c>
      <c r="M1980">
        <v>20</v>
      </c>
      <c r="N1980">
        <v>20701.66</v>
      </c>
      <c r="O1980" t="s">
        <v>47</v>
      </c>
    </row>
    <row r="1981" spans="1:15" x14ac:dyDescent="0.3">
      <c r="A1981" t="s">
        <v>2049</v>
      </c>
      <c r="B1981" s="2">
        <v>47271</v>
      </c>
      <c r="C1981" t="s">
        <v>58</v>
      </c>
      <c r="D1981" t="str">
        <f t="shared" si="30"/>
        <v>June</v>
      </c>
      <c r="E1981" t="s">
        <v>16</v>
      </c>
      <c r="F1981" t="s">
        <v>17</v>
      </c>
      <c r="G1981" t="s">
        <v>63</v>
      </c>
      <c r="H1981" t="s">
        <v>27</v>
      </c>
      <c r="I1981" t="s">
        <v>20</v>
      </c>
      <c r="J1981" t="s">
        <v>43</v>
      </c>
      <c r="K1981">
        <v>5</v>
      </c>
      <c r="L1981">
        <v>71055.520000000004</v>
      </c>
      <c r="M1981">
        <v>10</v>
      </c>
      <c r="N1981">
        <v>319749.84999999998</v>
      </c>
      <c r="O1981" t="s">
        <v>36</v>
      </c>
    </row>
    <row r="1982" spans="1:15" x14ac:dyDescent="0.3">
      <c r="A1982" t="s">
        <v>2050</v>
      </c>
      <c r="B1982" s="2">
        <v>47272</v>
      </c>
      <c r="C1982" t="s">
        <v>31</v>
      </c>
      <c r="D1982" t="str">
        <f t="shared" si="30"/>
        <v>June</v>
      </c>
      <c r="E1982" t="s">
        <v>39</v>
      </c>
      <c r="F1982" t="s">
        <v>53</v>
      </c>
      <c r="G1982" t="s">
        <v>105</v>
      </c>
      <c r="H1982" t="s">
        <v>27</v>
      </c>
      <c r="I1982" t="s">
        <v>34</v>
      </c>
      <c r="J1982" t="s">
        <v>28</v>
      </c>
      <c r="K1982">
        <v>3</v>
      </c>
      <c r="L1982">
        <v>26879.47</v>
      </c>
      <c r="M1982">
        <v>10</v>
      </c>
      <c r="N1982">
        <v>72574.58</v>
      </c>
      <c r="O1982" t="s">
        <v>22</v>
      </c>
    </row>
    <row r="1983" spans="1:15" x14ac:dyDescent="0.3">
      <c r="A1983" t="s">
        <v>2051</v>
      </c>
      <c r="B1983" s="2">
        <v>47273</v>
      </c>
      <c r="C1983" t="s">
        <v>31</v>
      </c>
      <c r="D1983" t="str">
        <f t="shared" si="30"/>
        <v>June</v>
      </c>
      <c r="E1983" t="s">
        <v>100</v>
      </c>
      <c r="F1983" t="s">
        <v>25</v>
      </c>
      <c r="G1983" t="s">
        <v>92</v>
      </c>
      <c r="H1983" t="s">
        <v>33</v>
      </c>
      <c r="I1983" t="s">
        <v>20</v>
      </c>
      <c r="J1983" t="s">
        <v>28</v>
      </c>
      <c r="K1983">
        <v>4</v>
      </c>
      <c r="L1983">
        <v>2109.59</v>
      </c>
      <c r="M1983">
        <v>0</v>
      </c>
      <c r="N1983">
        <v>8438.34</v>
      </c>
      <c r="O1983" t="s">
        <v>47</v>
      </c>
    </row>
    <row r="1984" spans="1:15" x14ac:dyDescent="0.3">
      <c r="A1984" t="s">
        <v>2052</v>
      </c>
      <c r="B1984" s="2">
        <v>47274</v>
      </c>
      <c r="C1984" t="s">
        <v>38</v>
      </c>
      <c r="D1984" t="str">
        <f t="shared" si="30"/>
        <v>June</v>
      </c>
      <c r="E1984" t="s">
        <v>32</v>
      </c>
      <c r="F1984" t="s">
        <v>17</v>
      </c>
      <c r="G1984" t="s">
        <v>63</v>
      </c>
      <c r="H1984" t="s">
        <v>19</v>
      </c>
      <c r="I1984" t="s">
        <v>20</v>
      </c>
      <c r="J1984" t="s">
        <v>46</v>
      </c>
      <c r="K1984">
        <v>3</v>
      </c>
      <c r="L1984">
        <v>50591.58</v>
      </c>
      <c r="M1984">
        <v>0</v>
      </c>
      <c r="N1984">
        <v>151774.73000000001</v>
      </c>
      <c r="O1984" t="s">
        <v>22</v>
      </c>
    </row>
    <row r="1985" spans="1:15" x14ac:dyDescent="0.3">
      <c r="A1985" t="s">
        <v>2053</v>
      </c>
      <c r="B1985" s="2">
        <v>47275</v>
      </c>
      <c r="C1985" t="s">
        <v>31</v>
      </c>
      <c r="D1985" t="str">
        <f t="shared" si="30"/>
        <v>June</v>
      </c>
      <c r="E1985" t="s">
        <v>32</v>
      </c>
      <c r="F1985" t="s">
        <v>40</v>
      </c>
      <c r="G1985" t="s">
        <v>75</v>
      </c>
      <c r="H1985" t="s">
        <v>27</v>
      </c>
      <c r="I1985" t="s">
        <v>20</v>
      </c>
      <c r="J1985" t="s">
        <v>21</v>
      </c>
      <c r="K1985">
        <v>2</v>
      </c>
      <c r="L1985">
        <v>7255.97</v>
      </c>
      <c r="M1985">
        <v>10</v>
      </c>
      <c r="N1985">
        <v>13060.75</v>
      </c>
      <c r="O1985" t="s">
        <v>47</v>
      </c>
    </row>
    <row r="1986" spans="1:15" x14ac:dyDescent="0.3">
      <c r="A1986" t="s">
        <v>2054</v>
      </c>
      <c r="B1986" s="2">
        <v>47276</v>
      </c>
      <c r="C1986" t="s">
        <v>58</v>
      </c>
      <c r="D1986" t="str">
        <f t="shared" si="30"/>
        <v>June</v>
      </c>
      <c r="E1986" t="s">
        <v>50</v>
      </c>
      <c r="F1986" t="s">
        <v>40</v>
      </c>
      <c r="G1986" t="s">
        <v>118</v>
      </c>
      <c r="H1986" t="s">
        <v>45</v>
      </c>
      <c r="I1986" t="s">
        <v>42</v>
      </c>
      <c r="J1986" t="s">
        <v>46</v>
      </c>
      <c r="K1986">
        <v>1</v>
      </c>
      <c r="L1986">
        <v>8096.24</v>
      </c>
      <c r="M1986">
        <v>10</v>
      </c>
      <c r="N1986">
        <v>7286.62</v>
      </c>
      <c r="O1986" t="s">
        <v>47</v>
      </c>
    </row>
    <row r="1987" spans="1:15" x14ac:dyDescent="0.3">
      <c r="A1987" t="s">
        <v>2055</v>
      </c>
      <c r="B1987" s="2">
        <v>47277</v>
      </c>
      <c r="C1987" t="s">
        <v>58</v>
      </c>
      <c r="D1987" t="str">
        <f t="shared" ref="D1987:D2050" si="31">TEXT(B1987,"mmmm")</f>
        <v>June</v>
      </c>
      <c r="E1987" t="s">
        <v>16</v>
      </c>
      <c r="F1987" t="s">
        <v>25</v>
      </c>
      <c r="G1987" t="s">
        <v>81</v>
      </c>
      <c r="H1987" t="s">
        <v>45</v>
      </c>
      <c r="I1987" t="s">
        <v>42</v>
      </c>
      <c r="J1987" t="s">
        <v>21</v>
      </c>
      <c r="K1987">
        <v>3</v>
      </c>
      <c r="L1987">
        <v>2538.23</v>
      </c>
      <c r="M1987">
        <v>10</v>
      </c>
      <c r="N1987">
        <v>6853.23</v>
      </c>
      <c r="O1987" t="s">
        <v>22</v>
      </c>
    </row>
    <row r="1988" spans="1:15" x14ac:dyDescent="0.3">
      <c r="A1988" t="s">
        <v>2056</v>
      </c>
      <c r="B1988" s="2">
        <v>47278</v>
      </c>
      <c r="C1988" t="s">
        <v>58</v>
      </c>
      <c r="D1988" t="str">
        <f t="shared" si="31"/>
        <v>June</v>
      </c>
      <c r="E1988" t="s">
        <v>50</v>
      </c>
      <c r="F1988" t="s">
        <v>25</v>
      </c>
      <c r="G1988" t="s">
        <v>26</v>
      </c>
      <c r="H1988" t="s">
        <v>19</v>
      </c>
      <c r="I1988" t="s">
        <v>42</v>
      </c>
      <c r="J1988" t="s">
        <v>28</v>
      </c>
      <c r="K1988">
        <v>1</v>
      </c>
      <c r="L1988">
        <v>2186.89</v>
      </c>
      <c r="M1988">
        <v>0</v>
      </c>
      <c r="N1988">
        <v>2186.89</v>
      </c>
      <c r="O1988" t="s">
        <v>29</v>
      </c>
    </row>
    <row r="1989" spans="1:15" x14ac:dyDescent="0.3">
      <c r="A1989" t="s">
        <v>2057</v>
      </c>
      <c r="B1989" s="2">
        <v>47279</v>
      </c>
      <c r="C1989" t="s">
        <v>38</v>
      </c>
      <c r="D1989" t="str">
        <f t="shared" si="31"/>
        <v>June</v>
      </c>
      <c r="E1989" t="s">
        <v>100</v>
      </c>
      <c r="F1989" t="s">
        <v>40</v>
      </c>
      <c r="G1989" t="s">
        <v>118</v>
      </c>
      <c r="H1989" t="s">
        <v>33</v>
      </c>
      <c r="I1989" t="s">
        <v>34</v>
      </c>
      <c r="J1989" t="s">
        <v>35</v>
      </c>
      <c r="K1989">
        <v>5</v>
      </c>
      <c r="L1989">
        <v>7930.49</v>
      </c>
      <c r="M1989">
        <v>15</v>
      </c>
      <c r="N1989">
        <v>33704.589999999997</v>
      </c>
      <c r="O1989" t="s">
        <v>22</v>
      </c>
    </row>
    <row r="1990" spans="1:15" x14ac:dyDescent="0.3">
      <c r="A1990" t="s">
        <v>2058</v>
      </c>
      <c r="B1990" s="2">
        <v>47280</v>
      </c>
      <c r="C1990" t="s">
        <v>58</v>
      </c>
      <c r="D1990" t="str">
        <f t="shared" si="31"/>
        <v>June</v>
      </c>
      <c r="E1990" t="s">
        <v>16</v>
      </c>
      <c r="F1990" t="s">
        <v>40</v>
      </c>
      <c r="G1990" t="s">
        <v>75</v>
      </c>
      <c r="H1990" t="s">
        <v>33</v>
      </c>
      <c r="I1990" t="s">
        <v>20</v>
      </c>
      <c r="J1990" t="s">
        <v>46</v>
      </c>
      <c r="K1990">
        <v>2</v>
      </c>
      <c r="L1990">
        <v>6712.91</v>
      </c>
      <c r="M1990">
        <v>5</v>
      </c>
      <c r="N1990">
        <v>12754.52</v>
      </c>
      <c r="O1990" t="s">
        <v>36</v>
      </c>
    </row>
    <row r="1991" spans="1:15" x14ac:dyDescent="0.3">
      <c r="A1991" t="s">
        <v>2059</v>
      </c>
      <c r="B1991" s="2">
        <v>47281</v>
      </c>
      <c r="C1991" t="s">
        <v>49</v>
      </c>
      <c r="D1991" t="str">
        <f t="shared" si="31"/>
        <v>June</v>
      </c>
      <c r="E1991" t="s">
        <v>50</v>
      </c>
      <c r="F1991" t="s">
        <v>60</v>
      </c>
      <c r="G1991" t="s">
        <v>73</v>
      </c>
      <c r="H1991" t="s">
        <v>45</v>
      </c>
      <c r="I1991" t="s">
        <v>20</v>
      </c>
      <c r="J1991" t="s">
        <v>28</v>
      </c>
      <c r="K1991">
        <v>4</v>
      </c>
      <c r="L1991">
        <v>34229.919999999998</v>
      </c>
      <c r="M1991">
        <v>5</v>
      </c>
      <c r="N1991">
        <v>130073.7</v>
      </c>
      <c r="O1991" t="s">
        <v>22</v>
      </c>
    </row>
    <row r="1992" spans="1:15" x14ac:dyDescent="0.3">
      <c r="A1992" t="s">
        <v>2060</v>
      </c>
      <c r="B1992" s="2">
        <v>47282</v>
      </c>
      <c r="C1992" t="s">
        <v>58</v>
      </c>
      <c r="D1992" t="str">
        <f t="shared" si="31"/>
        <v>June</v>
      </c>
      <c r="E1992" t="s">
        <v>39</v>
      </c>
      <c r="F1992" t="s">
        <v>25</v>
      </c>
      <c r="G1992" t="s">
        <v>26</v>
      </c>
      <c r="H1992" t="s">
        <v>45</v>
      </c>
      <c r="I1992" t="s">
        <v>42</v>
      </c>
      <c r="J1992" t="s">
        <v>21</v>
      </c>
      <c r="K1992">
        <v>2</v>
      </c>
      <c r="L1992">
        <v>1877.02</v>
      </c>
      <c r="M1992">
        <v>5</v>
      </c>
      <c r="N1992">
        <v>3566.33</v>
      </c>
      <c r="O1992" t="s">
        <v>47</v>
      </c>
    </row>
    <row r="1993" spans="1:15" x14ac:dyDescent="0.3">
      <c r="A1993" t="s">
        <v>2061</v>
      </c>
      <c r="B1993" s="2">
        <v>47283</v>
      </c>
      <c r="C1993" t="s">
        <v>15</v>
      </c>
      <c r="D1993" t="str">
        <f t="shared" si="31"/>
        <v>June</v>
      </c>
      <c r="E1993" t="s">
        <v>32</v>
      </c>
      <c r="F1993" t="s">
        <v>40</v>
      </c>
      <c r="G1993" t="s">
        <v>118</v>
      </c>
      <c r="H1993" t="s">
        <v>45</v>
      </c>
      <c r="I1993" t="s">
        <v>34</v>
      </c>
      <c r="J1993" t="s">
        <v>28</v>
      </c>
      <c r="K1993">
        <v>4</v>
      </c>
      <c r="L1993">
        <v>7159.62</v>
      </c>
      <c r="M1993">
        <v>0</v>
      </c>
      <c r="N1993">
        <v>28638.47</v>
      </c>
      <c r="O1993" t="s">
        <v>47</v>
      </c>
    </row>
    <row r="1994" spans="1:15" x14ac:dyDescent="0.3">
      <c r="A1994" t="s">
        <v>2062</v>
      </c>
      <c r="B1994" s="2">
        <v>47284</v>
      </c>
      <c r="C1994" t="s">
        <v>38</v>
      </c>
      <c r="D1994" t="str">
        <f t="shared" si="31"/>
        <v>June</v>
      </c>
      <c r="E1994" t="s">
        <v>52</v>
      </c>
      <c r="F1994" t="s">
        <v>53</v>
      </c>
      <c r="G1994" t="s">
        <v>54</v>
      </c>
      <c r="H1994" t="s">
        <v>45</v>
      </c>
      <c r="I1994" t="s">
        <v>34</v>
      </c>
      <c r="J1994" t="s">
        <v>43</v>
      </c>
      <c r="K1994">
        <v>5</v>
      </c>
      <c r="L1994">
        <v>38714.99</v>
      </c>
      <c r="M1994">
        <v>5</v>
      </c>
      <c r="N1994">
        <v>183896.19</v>
      </c>
      <c r="O1994" t="s">
        <v>47</v>
      </c>
    </row>
    <row r="1995" spans="1:15" x14ac:dyDescent="0.3">
      <c r="A1995" t="s">
        <v>2063</v>
      </c>
      <c r="B1995" s="2">
        <v>47285</v>
      </c>
      <c r="C1995" t="s">
        <v>38</v>
      </c>
      <c r="D1995" t="str">
        <f t="shared" si="31"/>
        <v>June</v>
      </c>
      <c r="E1995" t="s">
        <v>32</v>
      </c>
      <c r="F1995" t="s">
        <v>60</v>
      </c>
      <c r="G1995" t="s">
        <v>70</v>
      </c>
      <c r="H1995" t="s">
        <v>33</v>
      </c>
      <c r="I1995" t="s">
        <v>20</v>
      </c>
      <c r="J1995" t="s">
        <v>46</v>
      </c>
      <c r="K1995">
        <v>5</v>
      </c>
      <c r="L1995">
        <v>42981.01</v>
      </c>
      <c r="M1995">
        <v>10</v>
      </c>
      <c r="N1995">
        <v>193414.55</v>
      </c>
      <c r="O1995" t="s">
        <v>36</v>
      </c>
    </row>
    <row r="1996" spans="1:15" x14ac:dyDescent="0.3">
      <c r="A1996" t="s">
        <v>2064</v>
      </c>
      <c r="B1996" s="2">
        <v>47286</v>
      </c>
      <c r="C1996" t="s">
        <v>49</v>
      </c>
      <c r="D1996" t="str">
        <f t="shared" si="31"/>
        <v>June</v>
      </c>
      <c r="E1996" t="s">
        <v>50</v>
      </c>
      <c r="F1996" t="s">
        <v>25</v>
      </c>
      <c r="G1996" t="s">
        <v>56</v>
      </c>
      <c r="H1996" t="s">
        <v>33</v>
      </c>
      <c r="I1996" t="s">
        <v>20</v>
      </c>
      <c r="J1996" t="s">
        <v>35</v>
      </c>
      <c r="K1996">
        <v>5</v>
      </c>
      <c r="L1996">
        <v>2540.44</v>
      </c>
      <c r="M1996">
        <v>10</v>
      </c>
      <c r="N1996">
        <v>11431.99</v>
      </c>
      <c r="O1996" t="s">
        <v>29</v>
      </c>
    </row>
    <row r="1997" spans="1:15" x14ac:dyDescent="0.3">
      <c r="A1997" t="s">
        <v>2065</v>
      </c>
      <c r="B1997" s="2">
        <v>47287</v>
      </c>
      <c r="C1997" t="s">
        <v>31</v>
      </c>
      <c r="D1997" t="str">
        <f t="shared" si="31"/>
        <v>June</v>
      </c>
      <c r="E1997" t="s">
        <v>100</v>
      </c>
      <c r="F1997" t="s">
        <v>60</v>
      </c>
      <c r="G1997" t="s">
        <v>70</v>
      </c>
      <c r="H1997" t="s">
        <v>27</v>
      </c>
      <c r="I1997" t="s">
        <v>34</v>
      </c>
      <c r="J1997" t="s">
        <v>43</v>
      </c>
      <c r="K1997">
        <v>2</v>
      </c>
      <c r="L1997">
        <v>43437.65</v>
      </c>
      <c r="M1997">
        <v>10</v>
      </c>
      <c r="N1997">
        <v>78187.77</v>
      </c>
      <c r="O1997" t="s">
        <v>29</v>
      </c>
    </row>
    <row r="1998" spans="1:15" x14ac:dyDescent="0.3">
      <c r="A1998" t="s">
        <v>2066</v>
      </c>
      <c r="B1998" s="2">
        <v>47288</v>
      </c>
      <c r="C1998" t="s">
        <v>31</v>
      </c>
      <c r="D1998" t="str">
        <f t="shared" si="31"/>
        <v>June</v>
      </c>
      <c r="E1998" t="s">
        <v>32</v>
      </c>
      <c r="F1998" t="s">
        <v>25</v>
      </c>
      <c r="G1998" t="s">
        <v>26</v>
      </c>
      <c r="H1998" t="s">
        <v>19</v>
      </c>
      <c r="I1998" t="s">
        <v>42</v>
      </c>
      <c r="J1998" t="s">
        <v>28</v>
      </c>
      <c r="K1998">
        <v>3</v>
      </c>
      <c r="L1998">
        <v>3099.87</v>
      </c>
      <c r="M1998">
        <v>0</v>
      </c>
      <c r="N1998">
        <v>9299.61</v>
      </c>
      <c r="O1998" t="s">
        <v>22</v>
      </c>
    </row>
    <row r="1999" spans="1:15" x14ac:dyDescent="0.3">
      <c r="A1999" t="s">
        <v>2067</v>
      </c>
      <c r="B1999" s="2">
        <v>47289</v>
      </c>
      <c r="C1999" t="s">
        <v>31</v>
      </c>
      <c r="D1999" t="str">
        <f t="shared" si="31"/>
        <v>June</v>
      </c>
      <c r="E1999" t="s">
        <v>39</v>
      </c>
      <c r="F1999" t="s">
        <v>60</v>
      </c>
      <c r="G1999" t="s">
        <v>70</v>
      </c>
      <c r="H1999" t="s">
        <v>45</v>
      </c>
      <c r="I1999" t="s">
        <v>42</v>
      </c>
      <c r="J1999" t="s">
        <v>21</v>
      </c>
      <c r="K1999">
        <v>4</v>
      </c>
      <c r="L1999">
        <v>38752.28</v>
      </c>
      <c r="M1999">
        <v>0</v>
      </c>
      <c r="N1999">
        <v>155009.14000000001</v>
      </c>
      <c r="O1999" t="s">
        <v>22</v>
      </c>
    </row>
    <row r="2000" spans="1:15" x14ac:dyDescent="0.3">
      <c r="A2000" t="s">
        <v>2068</v>
      </c>
      <c r="B2000" s="2">
        <v>47290</v>
      </c>
      <c r="C2000" t="s">
        <v>49</v>
      </c>
      <c r="D2000" t="str">
        <f t="shared" si="31"/>
        <v>June</v>
      </c>
      <c r="E2000" t="s">
        <v>52</v>
      </c>
      <c r="F2000" t="s">
        <v>53</v>
      </c>
      <c r="G2000" t="s">
        <v>65</v>
      </c>
      <c r="H2000" t="s">
        <v>27</v>
      </c>
      <c r="I2000" t="s">
        <v>34</v>
      </c>
      <c r="J2000" t="s">
        <v>46</v>
      </c>
      <c r="K2000">
        <v>2</v>
      </c>
      <c r="L2000">
        <v>25442.77</v>
      </c>
      <c r="M2000">
        <v>10</v>
      </c>
      <c r="N2000">
        <v>45796.99</v>
      </c>
      <c r="O2000" t="s">
        <v>47</v>
      </c>
    </row>
    <row r="2001" spans="1:15" x14ac:dyDescent="0.3">
      <c r="A2001" t="s">
        <v>2069</v>
      </c>
      <c r="B2001" s="2">
        <v>47291</v>
      </c>
      <c r="C2001" t="s">
        <v>38</v>
      </c>
      <c r="D2001" t="str">
        <f t="shared" si="31"/>
        <v>June</v>
      </c>
      <c r="E2001" t="s">
        <v>69</v>
      </c>
      <c r="F2001" t="s">
        <v>17</v>
      </c>
      <c r="G2001" t="s">
        <v>123</v>
      </c>
      <c r="H2001" t="s">
        <v>45</v>
      </c>
      <c r="I2001" t="s">
        <v>42</v>
      </c>
      <c r="J2001" t="s">
        <v>28</v>
      </c>
      <c r="K2001">
        <v>5</v>
      </c>
      <c r="L2001">
        <v>45455.72</v>
      </c>
      <c r="M2001">
        <v>0</v>
      </c>
      <c r="N2001">
        <v>227278.59</v>
      </c>
      <c r="O2001" t="s">
        <v>47</v>
      </c>
    </row>
    <row r="2002" spans="1:15" x14ac:dyDescent="0.3">
      <c r="A2002" t="s">
        <v>2070</v>
      </c>
      <c r="B2002" s="2">
        <v>47292</v>
      </c>
      <c r="C2002" t="s">
        <v>49</v>
      </c>
      <c r="D2002" t="str">
        <f t="shared" si="31"/>
        <v>June</v>
      </c>
      <c r="E2002" t="s">
        <v>52</v>
      </c>
      <c r="F2002" t="s">
        <v>60</v>
      </c>
      <c r="G2002" t="s">
        <v>78</v>
      </c>
      <c r="H2002" t="s">
        <v>33</v>
      </c>
      <c r="I2002" t="s">
        <v>42</v>
      </c>
      <c r="J2002" t="s">
        <v>46</v>
      </c>
      <c r="K2002">
        <v>4</v>
      </c>
      <c r="L2002">
        <v>50407.18</v>
      </c>
      <c r="M2002">
        <v>15</v>
      </c>
      <c r="N2002">
        <v>171384.41</v>
      </c>
      <c r="O2002" t="s">
        <v>36</v>
      </c>
    </row>
    <row r="2003" spans="1:15" x14ac:dyDescent="0.3">
      <c r="A2003" t="s">
        <v>2071</v>
      </c>
      <c r="B2003" s="2">
        <v>47293</v>
      </c>
      <c r="C2003" t="s">
        <v>38</v>
      </c>
      <c r="D2003" t="str">
        <f t="shared" si="31"/>
        <v>June</v>
      </c>
      <c r="E2003" t="s">
        <v>69</v>
      </c>
      <c r="F2003" t="s">
        <v>60</v>
      </c>
      <c r="G2003" t="s">
        <v>70</v>
      </c>
      <c r="H2003" t="s">
        <v>27</v>
      </c>
      <c r="I2003" t="s">
        <v>20</v>
      </c>
      <c r="J2003" t="s">
        <v>28</v>
      </c>
      <c r="K2003">
        <v>4</v>
      </c>
      <c r="L2003">
        <v>46091.18</v>
      </c>
      <c r="M2003">
        <v>0</v>
      </c>
      <c r="N2003">
        <v>184364.73</v>
      </c>
      <c r="O2003" t="s">
        <v>47</v>
      </c>
    </row>
    <row r="2004" spans="1:15" x14ac:dyDescent="0.3">
      <c r="A2004" t="s">
        <v>2072</v>
      </c>
      <c r="B2004" s="2">
        <v>47294</v>
      </c>
      <c r="C2004" t="s">
        <v>38</v>
      </c>
      <c r="D2004" t="str">
        <f t="shared" si="31"/>
        <v>June</v>
      </c>
      <c r="E2004" t="s">
        <v>39</v>
      </c>
      <c r="F2004" t="s">
        <v>17</v>
      </c>
      <c r="G2004" t="s">
        <v>123</v>
      </c>
      <c r="H2004" t="s">
        <v>27</v>
      </c>
      <c r="I2004" t="s">
        <v>34</v>
      </c>
      <c r="J2004" t="s">
        <v>28</v>
      </c>
      <c r="K2004">
        <v>3</v>
      </c>
      <c r="L2004">
        <v>68742.14</v>
      </c>
      <c r="M2004">
        <v>5</v>
      </c>
      <c r="N2004">
        <v>195915.11</v>
      </c>
      <c r="O2004" t="s">
        <v>36</v>
      </c>
    </row>
    <row r="2005" spans="1:15" x14ac:dyDescent="0.3">
      <c r="A2005" t="s">
        <v>2073</v>
      </c>
      <c r="B2005" s="2">
        <v>47295</v>
      </c>
      <c r="C2005" t="s">
        <v>58</v>
      </c>
      <c r="D2005" t="str">
        <f t="shared" si="31"/>
        <v>June</v>
      </c>
      <c r="E2005" t="s">
        <v>50</v>
      </c>
      <c r="F2005" t="s">
        <v>40</v>
      </c>
      <c r="G2005" t="s">
        <v>41</v>
      </c>
      <c r="H2005" t="s">
        <v>45</v>
      </c>
      <c r="I2005" t="s">
        <v>42</v>
      </c>
      <c r="J2005" t="s">
        <v>21</v>
      </c>
      <c r="K2005">
        <v>1</v>
      </c>
      <c r="L2005">
        <v>7580.52</v>
      </c>
      <c r="M2005">
        <v>5</v>
      </c>
      <c r="N2005">
        <v>7201.49</v>
      </c>
      <c r="O2005" t="s">
        <v>47</v>
      </c>
    </row>
    <row r="2006" spans="1:15" x14ac:dyDescent="0.3">
      <c r="A2006" t="s">
        <v>2074</v>
      </c>
      <c r="B2006" s="2">
        <v>47296</v>
      </c>
      <c r="C2006" t="s">
        <v>58</v>
      </c>
      <c r="D2006" t="str">
        <f t="shared" si="31"/>
        <v>June</v>
      </c>
      <c r="E2006" t="s">
        <v>52</v>
      </c>
      <c r="F2006" t="s">
        <v>40</v>
      </c>
      <c r="G2006" t="s">
        <v>115</v>
      </c>
      <c r="H2006" t="s">
        <v>19</v>
      </c>
      <c r="I2006" t="s">
        <v>34</v>
      </c>
      <c r="J2006" t="s">
        <v>28</v>
      </c>
      <c r="K2006">
        <v>5</v>
      </c>
      <c r="L2006">
        <v>5851.11</v>
      </c>
      <c r="M2006">
        <v>10</v>
      </c>
      <c r="N2006">
        <v>26330.01</v>
      </c>
      <c r="O2006" t="s">
        <v>22</v>
      </c>
    </row>
    <row r="2007" spans="1:15" x14ac:dyDescent="0.3">
      <c r="A2007" t="s">
        <v>2075</v>
      </c>
      <c r="B2007" s="2">
        <v>47297</v>
      </c>
      <c r="C2007" t="s">
        <v>58</v>
      </c>
      <c r="D2007" t="str">
        <f t="shared" si="31"/>
        <v>June</v>
      </c>
      <c r="E2007" t="s">
        <v>72</v>
      </c>
      <c r="F2007" t="s">
        <v>53</v>
      </c>
      <c r="G2007" t="s">
        <v>54</v>
      </c>
      <c r="H2007" t="s">
        <v>27</v>
      </c>
      <c r="I2007" t="s">
        <v>20</v>
      </c>
      <c r="J2007" t="s">
        <v>21</v>
      </c>
      <c r="K2007">
        <v>2</v>
      </c>
      <c r="L2007">
        <v>33204.720000000001</v>
      </c>
      <c r="M2007">
        <v>10</v>
      </c>
      <c r="N2007">
        <v>59768.5</v>
      </c>
      <c r="O2007" t="s">
        <v>47</v>
      </c>
    </row>
    <row r="2008" spans="1:15" x14ac:dyDescent="0.3">
      <c r="A2008" t="s">
        <v>2076</v>
      </c>
      <c r="B2008" s="2">
        <v>47298</v>
      </c>
      <c r="C2008" t="s">
        <v>49</v>
      </c>
      <c r="D2008" t="str">
        <f t="shared" si="31"/>
        <v>June</v>
      </c>
      <c r="E2008" t="s">
        <v>24</v>
      </c>
      <c r="F2008" t="s">
        <v>25</v>
      </c>
      <c r="G2008" t="s">
        <v>26</v>
      </c>
      <c r="H2008" t="s">
        <v>19</v>
      </c>
      <c r="I2008" t="s">
        <v>34</v>
      </c>
      <c r="J2008" t="s">
        <v>43</v>
      </c>
      <c r="K2008">
        <v>5</v>
      </c>
      <c r="L2008">
        <v>2113.56</v>
      </c>
      <c r="M2008">
        <v>10</v>
      </c>
      <c r="N2008">
        <v>9511.01</v>
      </c>
      <c r="O2008" t="s">
        <v>47</v>
      </c>
    </row>
    <row r="2009" spans="1:15" x14ac:dyDescent="0.3">
      <c r="A2009" t="s">
        <v>2077</v>
      </c>
      <c r="B2009" s="2">
        <v>47299</v>
      </c>
      <c r="C2009" t="s">
        <v>38</v>
      </c>
      <c r="D2009" t="str">
        <f t="shared" si="31"/>
        <v>June</v>
      </c>
      <c r="E2009" t="s">
        <v>77</v>
      </c>
      <c r="F2009" t="s">
        <v>60</v>
      </c>
      <c r="G2009" t="s">
        <v>61</v>
      </c>
      <c r="H2009" t="s">
        <v>19</v>
      </c>
      <c r="I2009" t="s">
        <v>20</v>
      </c>
      <c r="J2009" t="s">
        <v>35</v>
      </c>
      <c r="K2009">
        <v>4</v>
      </c>
      <c r="L2009">
        <v>44422.29</v>
      </c>
      <c r="M2009">
        <v>10</v>
      </c>
      <c r="N2009">
        <v>159920.25</v>
      </c>
      <c r="O2009" t="s">
        <v>47</v>
      </c>
    </row>
    <row r="2010" spans="1:15" x14ac:dyDescent="0.3">
      <c r="A2010" t="s">
        <v>2078</v>
      </c>
      <c r="B2010" s="2">
        <v>47300</v>
      </c>
      <c r="C2010" t="s">
        <v>38</v>
      </c>
      <c r="D2010" t="str">
        <f t="shared" si="31"/>
        <v>July</v>
      </c>
      <c r="E2010" t="s">
        <v>50</v>
      </c>
      <c r="F2010" t="s">
        <v>40</v>
      </c>
      <c r="G2010" t="s">
        <v>118</v>
      </c>
      <c r="H2010" t="s">
        <v>33</v>
      </c>
      <c r="I2010" t="s">
        <v>42</v>
      </c>
      <c r="J2010" t="s">
        <v>43</v>
      </c>
      <c r="K2010">
        <v>5</v>
      </c>
      <c r="L2010">
        <v>6009.73</v>
      </c>
      <c r="M2010">
        <v>0</v>
      </c>
      <c r="N2010">
        <v>30048.63</v>
      </c>
      <c r="O2010" t="s">
        <v>47</v>
      </c>
    </row>
    <row r="2011" spans="1:15" x14ac:dyDescent="0.3">
      <c r="A2011" t="s">
        <v>2079</v>
      </c>
      <c r="B2011" s="2">
        <v>47301</v>
      </c>
      <c r="C2011" t="s">
        <v>58</v>
      </c>
      <c r="D2011" t="str">
        <f t="shared" si="31"/>
        <v>July</v>
      </c>
      <c r="E2011" t="s">
        <v>72</v>
      </c>
      <c r="F2011" t="s">
        <v>25</v>
      </c>
      <c r="G2011" t="s">
        <v>56</v>
      </c>
      <c r="H2011" t="s">
        <v>45</v>
      </c>
      <c r="I2011" t="s">
        <v>34</v>
      </c>
      <c r="J2011" t="s">
        <v>28</v>
      </c>
      <c r="K2011">
        <v>4</v>
      </c>
      <c r="L2011">
        <v>2824.4</v>
      </c>
      <c r="M2011">
        <v>5</v>
      </c>
      <c r="N2011">
        <v>10732.71</v>
      </c>
      <c r="O2011" t="s">
        <v>47</v>
      </c>
    </row>
    <row r="2012" spans="1:15" x14ac:dyDescent="0.3">
      <c r="A2012" t="s">
        <v>2080</v>
      </c>
      <c r="B2012" s="2">
        <v>47302</v>
      </c>
      <c r="C2012" t="s">
        <v>31</v>
      </c>
      <c r="D2012" t="str">
        <f t="shared" si="31"/>
        <v>July</v>
      </c>
      <c r="E2012" t="s">
        <v>39</v>
      </c>
      <c r="F2012" t="s">
        <v>53</v>
      </c>
      <c r="G2012" t="s">
        <v>105</v>
      </c>
      <c r="H2012" t="s">
        <v>45</v>
      </c>
      <c r="I2012" t="s">
        <v>20</v>
      </c>
      <c r="J2012" t="s">
        <v>43</v>
      </c>
      <c r="K2012">
        <v>4</v>
      </c>
      <c r="L2012">
        <v>26519.52</v>
      </c>
      <c r="M2012">
        <v>5</v>
      </c>
      <c r="N2012">
        <v>100774.18</v>
      </c>
      <c r="O2012" t="s">
        <v>29</v>
      </c>
    </row>
    <row r="2013" spans="1:15" x14ac:dyDescent="0.3">
      <c r="A2013" t="s">
        <v>2081</v>
      </c>
      <c r="B2013" s="2">
        <v>47303</v>
      </c>
      <c r="C2013" t="s">
        <v>31</v>
      </c>
      <c r="D2013" t="str">
        <f t="shared" si="31"/>
        <v>July</v>
      </c>
      <c r="E2013" t="s">
        <v>52</v>
      </c>
      <c r="F2013" t="s">
        <v>40</v>
      </c>
      <c r="G2013" t="s">
        <v>118</v>
      </c>
      <c r="H2013" t="s">
        <v>27</v>
      </c>
      <c r="I2013" t="s">
        <v>20</v>
      </c>
      <c r="J2013" t="s">
        <v>46</v>
      </c>
      <c r="K2013">
        <v>1</v>
      </c>
      <c r="L2013">
        <v>7507.62</v>
      </c>
      <c r="M2013">
        <v>10</v>
      </c>
      <c r="N2013">
        <v>6756.86</v>
      </c>
      <c r="O2013" t="s">
        <v>47</v>
      </c>
    </row>
    <row r="2014" spans="1:15" x14ac:dyDescent="0.3">
      <c r="A2014" t="s">
        <v>2082</v>
      </c>
      <c r="B2014" s="2">
        <v>47304</v>
      </c>
      <c r="C2014" t="s">
        <v>15</v>
      </c>
      <c r="D2014" t="str">
        <f t="shared" si="31"/>
        <v>July</v>
      </c>
      <c r="E2014" t="s">
        <v>77</v>
      </c>
      <c r="F2014" t="s">
        <v>60</v>
      </c>
      <c r="G2014" t="s">
        <v>73</v>
      </c>
      <c r="H2014" t="s">
        <v>45</v>
      </c>
      <c r="I2014" t="s">
        <v>34</v>
      </c>
      <c r="J2014" t="s">
        <v>21</v>
      </c>
      <c r="K2014">
        <v>2</v>
      </c>
      <c r="L2014">
        <v>51989.54</v>
      </c>
      <c r="M2014">
        <v>5</v>
      </c>
      <c r="N2014">
        <v>98780.12</v>
      </c>
      <c r="O2014" t="s">
        <v>47</v>
      </c>
    </row>
    <row r="2015" spans="1:15" x14ac:dyDescent="0.3">
      <c r="A2015" t="s">
        <v>2083</v>
      </c>
      <c r="B2015" s="2">
        <v>47305</v>
      </c>
      <c r="C2015" t="s">
        <v>49</v>
      </c>
      <c r="D2015" t="str">
        <f t="shared" si="31"/>
        <v>July</v>
      </c>
      <c r="E2015" t="s">
        <v>100</v>
      </c>
      <c r="F2015" t="s">
        <v>40</v>
      </c>
      <c r="G2015" t="s">
        <v>41</v>
      </c>
      <c r="H2015" t="s">
        <v>27</v>
      </c>
      <c r="I2015" t="s">
        <v>42</v>
      </c>
      <c r="J2015" t="s">
        <v>28</v>
      </c>
      <c r="K2015">
        <v>1</v>
      </c>
      <c r="L2015">
        <v>5952.92</v>
      </c>
      <c r="M2015">
        <v>5</v>
      </c>
      <c r="N2015">
        <v>5655.28</v>
      </c>
      <c r="O2015" t="s">
        <v>47</v>
      </c>
    </row>
    <row r="2016" spans="1:15" x14ac:dyDescent="0.3">
      <c r="A2016" t="s">
        <v>2084</v>
      </c>
      <c r="B2016" s="2">
        <v>47306</v>
      </c>
      <c r="C2016" t="s">
        <v>38</v>
      </c>
      <c r="D2016" t="str">
        <f t="shared" si="31"/>
        <v>July</v>
      </c>
      <c r="E2016" t="s">
        <v>100</v>
      </c>
      <c r="F2016" t="s">
        <v>40</v>
      </c>
      <c r="G2016" t="s">
        <v>41</v>
      </c>
      <c r="H2016" t="s">
        <v>33</v>
      </c>
      <c r="I2016" t="s">
        <v>20</v>
      </c>
      <c r="J2016" t="s">
        <v>43</v>
      </c>
      <c r="K2016">
        <v>1</v>
      </c>
      <c r="L2016">
        <v>6573.53</v>
      </c>
      <c r="M2016">
        <v>10</v>
      </c>
      <c r="N2016">
        <v>5916.17</v>
      </c>
      <c r="O2016" t="s">
        <v>36</v>
      </c>
    </row>
    <row r="2017" spans="1:15" x14ac:dyDescent="0.3">
      <c r="A2017" t="s">
        <v>2085</v>
      </c>
      <c r="B2017" s="2">
        <v>47307</v>
      </c>
      <c r="C2017" t="s">
        <v>58</v>
      </c>
      <c r="D2017" t="str">
        <f t="shared" si="31"/>
        <v>July</v>
      </c>
      <c r="E2017" t="s">
        <v>52</v>
      </c>
      <c r="F2017" t="s">
        <v>40</v>
      </c>
      <c r="G2017" t="s">
        <v>115</v>
      </c>
      <c r="H2017" t="s">
        <v>19</v>
      </c>
      <c r="I2017" t="s">
        <v>34</v>
      </c>
      <c r="J2017" t="s">
        <v>35</v>
      </c>
      <c r="K2017">
        <v>3</v>
      </c>
      <c r="L2017">
        <v>5327.43</v>
      </c>
      <c r="M2017">
        <v>5</v>
      </c>
      <c r="N2017">
        <v>15183.18</v>
      </c>
      <c r="O2017" t="s">
        <v>47</v>
      </c>
    </row>
    <row r="2018" spans="1:15" x14ac:dyDescent="0.3">
      <c r="A2018" t="s">
        <v>2086</v>
      </c>
      <c r="B2018" s="2">
        <v>47308</v>
      </c>
      <c r="C2018" t="s">
        <v>38</v>
      </c>
      <c r="D2018" t="str">
        <f t="shared" si="31"/>
        <v>July</v>
      </c>
      <c r="E2018" t="s">
        <v>69</v>
      </c>
      <c r="F2018" t="s">
        <v>60</v>
      </c>
      <c r="G2018" t="s">
        <v>78</v>
      </c>
      <c r="H2018" t="s">
        <v>45</v>
      </c>
      <c r="I2018" t="s">
        <v>34</v>
      </c>
      <c r="J2018" t="s">
        <v>35</v>
      </c>
      <c r="K2018">
        <v>2</v>
      </c>
      <c r="L2018">
        <v>51842.47</v>
      </c>
      <c r="M2018">
        <v>10</v>
      </c>
      <c r="N2018">
        <v>93316.44</v>
      </c>
      <c r="O2018" t="s">
        <v>47</v>
      </c>
    </row>
    <row r="2019" spans="1:15" x14ac:dyDescent="0.3">
      <c r="A2019" t="s">
        <v>2087</v>
      </c>
      <c r="B2019" s="2">
        <v>47309</v>
      </c>
      <c r="C2019" t="s">
        <v>31</v>
      </c>
      <c r="D2019" t="str">
        <f t="shared" si="31"/>
        <v>July</v>
      </c>
      <c r="E2019" t="s">
        <v>100</v>
      </c>
      <c r="F2019" t="s">
        <v>40</v>
      </c>
      <c r="G2019" t="s">
        <v>41</v>
      </c>
      <c r="H2019" t="s">
        <v>19</v>
      </c>
      <c r="I2019" t="s">
        <v>20</v>
      </c>
      <c r="J2019" t="s">
        <v>46</v>
      </c>
      <c r="K2019">
        <v>2</v>
      </c>
      <c r="L2019">
        <v>7440.92</v>
      </c>
      <c r="M2019">
        <v>10</v>
      </c>
      <c r="N2019">
        <v>13393.66</v>
      </c>
      <c r="O2019" t="s">
        <v>22</v>
      </c>
    </row>
    <row r="2020" spans="1:15" x14ac:dyDescent="0.3">
      <c r="A2020" t="s">
        <v>2088</v>
      </c>
      <c r="B2020" s="2">
        <v>47310</v>
      </c>
      <c r="C2020" t="s">
        <v>58</v>
      </c>
      <c r="D2020" t="str">
        <f t="shared" si="31"/>
        <v>July</v>
      </c>
      <c r="E2020" t="s">
        <v>100</v>
      </c>
      <c r="F2020" t="s">
        <v>53</v>
      </c>
      <c r="G2020" t="s">
        <v>54</v>
      </c>
      <c r="H2020" t="s">
        <v>19</v>
      </c>
      <c r="I2020" t="s">
        <v>20</v>
      </c>
      <c r="J2020" t="s">
        <v>21</v>
      </c>
      <c r="K2020">
        <v>4</v>
      </c>
      <c r="L2020">
        <v>38362.1</v>
      </c>
      <c r="M2020">
        <v>5</v>
      </c>
      <c r="N2020">
        <v>145775.99</v>
      </c>
      <c r="O2020" t="s">
        <v>47</v>
      </c>
    </row>
    <row r="2021" spans="1:15" x14ac:dyDescent="0.3">
      <c r="A2021" t="s">
        <v>2089</v>
      </c>
      <c r="B2021" s="2">
        <v>47311</v>
      </c>
      <c r="C2021" t="s">
        <v>58</v>
      </c>
      <c r="D2021" t="str">
        <f t="shared" si="31"/>
        <v>July</v>
      </c>
      <c r="E2021" t="s">
        <v>50</v>
      </c>
      <c r="F2021" t="s">
        <v>17</v>
      </c>
      <c r="G2021" t="s">
        <v>67</v>
      </c>
      <c r="H2021" t="s">
        <v>45</v>
      </c>
      <c r="I2021" t="s">
        <v>20</v>
      </c>
      <c r="J2021" t="s">
        <v>46</v>
      </c>
      <c r="K2021">
        <v>2</v>
      </c>
      <c r="L2021">
        <v>61819.93</v>
      </c>
      <c r="M2021">
        <v>5</v>
      </c>
      <c r="N2021">
        <v>117457.86</v>
      </c>
      <c r="O2021" t="s">
        <v>47</v>
      </c>
    </row>
    <row r="2022" spans="1:15" x14ac:dyDescent="0.3">
      <c r="A2022" t="s">
        <v>2090</v>
      </c>
      <c r="B2022" s="2">
        <v>47312</v>
      </c>
      <c r="C2022" t="s">
        <v>15</v>
      </c>
      <c r="D2022" t="str">
        <f t="shared" si="31"/>
        <v>July</v>
      </c>
      <c r="E2022" t="s">
        <v>50</v>
      </c>
      <c r="F2022" t="s">
        <v>53</v>
      </c>
      <c r="G2022" t="s">
        <v>105</v>
      </c>
      <c r="H2022" t="s">
        <v>27</v>
      </c>
      <c r="I2022" t="s">
        <v>42</v>
      </c>
      <c r="J2022" t="s">
        <v>43</v>
      </c>
      <c r="K2022">
        <v>4</v>
      </c>
      <c r="L2022">
        <v>25109.75</v>
      </c>
      <c r="M2022">
        <v>0</v>
      </c>
      <c r="N2022">
        <v>100438.99</v>
      </c>
      <c r="O2022" t="s">
        <v>47</v>
      </c>
    </row>
    <row r="2023" spans="1:15" x14ac:dyDescent="0.3">
      <c r="A2023" t="s">
        <v>2091</v>
      </c>
      <c r="B2023" s="2">
        <v>47313</v>
      </c>
      <c r="C2023" t="s">
        <v>15</v>
      </c>
      <c r="D2023" t="str">
        <f t="shared" si="31"/>
        <v>July</v>
      </c>
      <c r="E2023" t="s">
        <v>16</v>
      </c>
      <c r="F2023" t="s">
        <v>17</v>
      </c>
      <c r="G2023" t="s">
        <v>63</v>
      </c>
      <c r="H2023" t="s">
        <v>27</v>
      </c>
      <c r="I2023" t="s">
        <v>34</v>
      </c>
      <c r="J2023" t="s">
        <v>46</v>
      </c>
      <c r="K2023">
        <v>3</v>
      </c>
      <c r="L2023">
        <v>56612.37</v>
      </c>
      <c r="M2023">
        <v>5</v>
      </c>
      <c r="N2023">
        <v>161345.26</v>
      </c>
      <c r="O2023" t="s">
        <v>36</v>
      </c>
    </row>
    <row r="2024" spans="1:15" x14ac:dyDescent="0.3">
      <c r="A2024" t="s">
        <v>2092</v>
      </c>
      <c r="B2024" s="2">
        <v>47314</v>
      </c>
      <c r="C2024" t="s">
        <v>58</v>
      </c>
      <c r="D2024" t="str">
        <f t="shared" si="31"/>
        <v>July</v>
      </c>
      <c r="E2024" t="s">
        <v>39</v>
      </c>
      <c r="F2024" t="s">
        <v>53</v>
      </c>
      <c r="G2024" t="s">
        <v>129</v>
      </c>
      <c r="H2024" t="s">
        <v>19</v>
      </c>
      <c r="I2024" t="s">
        <v>20</v>
      </c>
      <c r="J2024" t="s">
        <v>43</v>
      </c>
      <c r="K2024">
        <v>2</v>
      </c>
      <c r="L2024">
        <v>25487.34</v>
      </c>
      <c r="M2024">
        <v>10</v>
      </c>
      <c r="N2024">
        <v>45877.22</v>
      </c>
      <c r="O2024" t="s">
        <v>36</v>
      </c>
    </row>
    <row r="2025" spans="1:15" x14ac:dyDescent="0.3">
      <c r="A2025" t="s">
        <v>2093</v>
      </c>
      <c r="B2025" s="2">
        <v>47315</v>
      </c>
      <c r="C2025" t="s">
        <v>49</v>
      </c>
      <c r="D2025" t="str">
        <f t="shared" si="31"/>
        <v>July</v>
      </c>
      <c r="E2025" t="s">
        <v>32</v>
      </c>
      <c r="F2025" t="s">
        <v>17</v>
      </c>
      <c r="G2025" t="s">
        <v>63</v>
      </c>
      <c r="H2025" t="s">
        <v>27</v>
      </c>
      <c r="I2025" t="s">
        <v>20</v>
      </c>
      <c r="J2025" t="s">
        <v>43</v>
      </c>
      <c r="K2025">
        <v>5</v>
      </c>
      <c r="L2025">
        <v>44782.720000000001</v>
      </c>
      <c r="M2025">
        <v>5</v>
      </c>
      <c r="N2025">
        <v>212717.9</v>
      </c>
      <c r="O2025" t="s">
        <v>47</v>
      </c>
    </row>
    <row r="2026" spans="1:15" x14ac:dyDescent="0.3">
      <c r="A2026" t="s">
        <v>2094</v>
      </c>
      <c r="B2026" s="2">
        <v>47316</v>
      </c>
      <c r="C2026" t="s">
        <v>49</v>
      </c>
      <c r="D2026" t="str">
        <f t="shared" si="31"/>
        <v>July</v>
      </c>
      <c r="E2026" t="s">
        <v>39</v>
      </c>
      <c r="F2026" t="s">
        <v>53</v>
      </c>
      <c r="G2026" t="s">
        <v>65</v>
      </c>
      <c r="H2026" t="s">
        <v>33</v>
      </c>
      <c r="I2026" t="s">
        <v>20</v>
      </c>
      <c r="J2026" t="s">
        <v>43</v>
      </c>
      <c r="K2026">
        <v>3</v>
      </c>
      <c r="L2026">
        <v>28386.86</v>
      </c>
      <c r="M2026">
        <v>10</v>
      </c>
      <c r="N2026">
        <v>76644.509999999995</v>
      </c>
      <c r="O2026" t="s">
        <v>36</v>
      </c>
    </row>
    <row r="2027" spans="1:15" x14ac:dyDescent="0.3">
      <c r="A2027" t="s">
        <v>2095</v>
      </c>
      <c r="B2027" s="2">
        <v>47317</v>
      </c>
      <c r="C2027" t="s">
        <v>58</v>
      </c>
      <c r="D2027" t="str">
        <f t="shared" si="31"/>
        <v>July</v>
      </c>
      <c r="E2027" t="s">
        <v>16</v>
      </c>
      <c r="F2027" t="s">
        <v>25</v>
      </c>
      <c r="G2027" t="s">
        <v>26</v>
      </c>
      <c r="H2027" t="s">
        <v>45</v>
      </c>
      <c r="I2027" t="s">
        <v>34</v>
      </c>
      <c r="J2027" t="s">
        <v>43</v>
      </c>
      <c r="K2027">
        <v>3</v>
      </c>
      <c r="L2027">
        <v>2845.86</v>
      </c>
      <c r="M2027">
        <v>20</v>
      </c>
      <c r="N2027">
        <v>6830.07</v>
      </c>
      <c r="O2027" t="s">
        <v>47</v>
      </c>
    </row>
    <row r="2028" spans="1:15" x14ac:dyDescent="0.3">
      <c r="A2028" t="s">
        <v>2096</v>
      </c>
      <c r="B2028" s="2">
        <v>47318</v>
      </c>
      <c r="C2028" t="s">
        <v>15</v>
      </c>
      <c r="D2028" t="str">
        <f t="shared" si="31"/>
        <v>July</v>
      </c>
      <c r="E2028" t="s">
        <v>32</v>
      </c>
      <c r="F2028" t="s">
        <v>17</v>
      </c>
      <c r="G2028" t="s">
        <v>63</v>
      </c>
      <c r="H2028" t="s">
        <v>19</v>
      </c>
      <c r="I2028" t="s">
        <v>20</v>
      </c>
      <c r="J2028" t="s">
        <v>46</v>
      </c>
      <c r="K2028">
        <v>5</v>
      </c>
      <c r="L2028">
        <v>44180.98</v>
      </c>
      <c r="M2028">
        <v>15</v>
      </c>
      <c r="N2028">
        <v>187769.15</v>
      </c>
      <c r="O2028" t="s">
        <v>47</v>
      </c>
    </row>
    <row r="2029" spans="1:15" x14ac:dyDescent="0.3">
      <c r="A2029" t="s">
        <v>2097</v>
      </c>
      <c r="B2029" s="2">
        <v>47319</v>
      </c>
      <c r="C2029" t="s">
        <v>38</v>
      </c>
      <c r="D2029" t="str">
        <f t="shared" si="31"/>
        <v>July</v>
      </c>
      <c r="E2029" t="s">
        <v>77</v>
      </c>
      <c r="F2029" t="s">
        <v>25</v>
      </c>
      <c r="G2029" t="s">
        <v>26</v>
      </c>
      <c r="H2029" t="s">
        <v>33</v>
      </c>
      <c r="I2029" t="s">
        <v>34</v>
      </c>
      <c r="J2029" t="s">
        <v>46</v>
      </c>
      <c r="K2029">
        <v>4</v>
      </c>
      <c r="L2029">
        <v>2043.12</v>
      </c>
      <c r="M2029">
        <v>10</v>
      </c>
      <c r="N2029">
        <v>7355.24</v>
      </c>
      <c r="O2029" t="s">
        <v>22</v>
      </c>
    </row>
    <row r="2030" spans="1:15" x14ac:dyDescent="0.3">
      <c r="A2030" t="s">
        <v>2098</v>
      </c>
      <c r="B2030" s="2">
        <v>47320</v>
      </c>
      <c r="C2030" t="s">
        <v>31</v>
      </c>
      <c r="D2030" t="str">
        <f t="shared" si="31"/>
        <v>July</v>
      </c>
      <c r="E2030" t="s">
        <v>39</v>
      </c>
      <c r="F2030" t="s">
        <v>25</v>
      </c>
      <c r="G2030" t="s">
        <v>26</v>
      </c>
      <c r="H2030" t="s">
        <v>27</v>
      </c>
      <c r="I2030" t="s">
        <v>42</v>
      </c>
      <c r="J2030" t="s">
        <v>35</v>
      </c>
      <c r="K2030">
        <v>3</v>
      </c>
      <c r="L2030">
        <v>2183.44</v>
      </c>
      <c r="M2030">
        <v>0</v>
      </c>
      <c r="N2030">
        <v>6550.33</v>
      </c>
      <c r="O2030" t="s">
        <v>47</v>
      </c>
    </row>
    <row r="2031" spans="1:15" x14ac:dyDescent="0.3">
      <c r="A2031" t="s">
        <v>2099</v>
      </c>
      <c r="B2031" s="2">
        <v>47321</v>
      </c>
      <c r="C2031" t="s">
        <v>58</v>
      </c>
      <c r="D2031" t="str">
        <f t="shared" si="31"/>
        <v>July</v>
      </c>
      <c r="E2031" t="s">
        <v>52</v>
      </c>
      <c r="F2031" t="s">
        <v>25</v>
      </c>
      <c r="G2031" t="s">
        <v>26</v>
      </c>
      <c r="H2031" t="s">
        <v>45</v>
      </c>
      <c r="I2031" t="s">
        <v>34</v>
      </c>
      <c r="J2031" t="s">
        <v>28</v>
      </c>
      <c r="K2031">
        <v>1</v>
      </c>
      <c r="L2031">
        <v>1975.92</v>
      </c>
      <c r="M2031">
        <v>5</v>
      </c>
      <c r="N2031">
        <v>1877.12</v>
      </c>
      <c r="O2031" t="s">
        <v>47</v>
      </c>
    </row>
    <row r="2032" spans="1:15" x14ac:dyDescent="0.3">
      <c r="A2032" t="s">
        <v>2100</v>
      </c>
      <c r="B2032" s="2">
        <v>47322</v>
      </c>
      <c r="C2032" t="s">
        <v>38</v>
      </c>
      <c r="D2032" t="str">
        <f t="shared" si="31"/>
        <v>July</v>
      </c>
      <c r="E2032" t="s">
        <v>77</v>
      </c>
      <c r="F2032" t="s">
        <v>25</v>
      </c>
      <c r="G2032" t="s">
        <v>56</v>
      </c>
      <c r="H2032" t="s">
        <v>19</v>
      </c>
      <c r="I2032" t="s">
        <v>42</v>
      </c>
      <c r="J2032" t="s">
        <v>28</v>
      </c>
      <c r="K2032">
        <v>2</v>
      </c>
      <c r="L2032">
        <v>2191.44</v>
      </c>
      <c r="M2032">
        <v>20</v>
      </c>
      <c r="N2032">
        <v>3506.31</v>
      </c>
      <c r="O2032" t="s">
        <v>47</v>
      </c>
    </row>
    <row r="2033" spans="1:15" x14ac:dyDescent="0.3">
      <c r="A2033" t="s">
        <v>2101</v>
      </c>
      <c r="B2033" s="2">
        <v>47323</v>
      </c>
      <c r="C2033" t="s">
        <v>15</v>
      </c>
      <c r="D2033" t="str">
        <f t="shared" si="31"/>
        <v>July</v>
      </c>
      <c r="E2033" t="s">
        <v>50</v>
      </c>
      <c r="F2033" t="s">
        <v>53</v>
      </c>
      <c r="G2033" t="s">
        <v>105</v>
      </c>
      <c r="H2033" t="s">
        <v>45</v>
      </c>
      <c r="I2033" t="s">
        <v>34</v>
      </c>
      <c r="J2033" t="s">
        <v>35</v>
      </c>
      <c r="K2033">
        <v>4</v>
      </c>
      <c r="L2033">
        <v>38132.1</v>
      </c>
      <c r="M2033">
        <v>10</v>
      </c>
      <c r="N2033">
        <v>137275.57999999999</v>
      </c>
      <c r="O2033" t="s">
        <v>36</v>
      </c>
    </row>
    <row r="2034" spans="1:15" x14ac:dyDescent="0.3">
      <c r="A2034" t="s">
        <v>2102</v>
      </c>
      <c r="B2034" s="2">
        <v>47324</v>
      </c>
      <c r="C2034" t="s">
        <v>58</v>
      </c>
      <c r="D2034" t="str">
        <f t="shared" si="31"/>
        <v>July</v>
      </c>
      <c r="E2034" t="s">
        <v>77</v>
      </c>
      <c r="F2034" t="s">
        <v>25</v>
      </c>
      <c r="G2034" t="s">
        <v>26</v>
      </c>
      <c r="H2034" t="s">
        <v>33</v>
      </c>
      <c r="I2034" t="s">
        <v>34</v>
      </c>
      <c r="J2034" t="s">
        <v>46</v>
      </c>
      <c r="K2034">
        <v>1</v>
      </c>
      <c r="L2034">
        <v>1891.64</v>
      </c>
      <c r="M2034">
        <v>15</v>
      </c>
      <c r="N2034">
        <v>1607.89</v>
      </c>
      <c r="O2034" t="s">
        <v>47</v>
      </c>
    </row>
    <row r="2035" spans="1:15" x14ac:dyDescent="0.3">
      <c r="A2035" t="s">
        <v>2103</v>
      </c>
      <c r="B2035" s="2">
        <v>47325</v>
      </c>
      <c r="C2035" t="s">
        <v>15</v>
      </c>
      <c r="D2035" t="str">
        <f t="shared" si="31"/>
        <v>July</v>
      </c>
      <c r="E2035" t="s">
        <v>50</v>
      </c>
      <c r="F2035" t="s">
        <v>17</v>
      </c>
      <c r="G2035" t="s">
        <v>63</v>
      </c>
      <c r="H2035" t="s">
        <v>19</v>
      </c>
      <c r="I2035" t="s">
        <v>34</v>
      </c>
      <c r="J2035" t="s">
        <v>21</v>
      </c>
      <c r="K2035">
        <v>2</v>
      </c>
      <c r="L2035">
        <v>68740.570000000007</v>
      </c>
      <c r="M2035">
        <v>5</v>
      </c>
      <c r="N2035">
        <v>130607.08</v>
      </c>
      <c r="O2035" t="s">
        <v>29</v>
      </c>
    </row>
    <row r="2036" spans="1:15" x14ac:dyDescent="0.3">
      <c r="A2036" t="s">
        <v>2104</v>
      </c>
      <c r="B2036" s="2">
        <v>47326</v>
      </c>
      <c r="C2036" t="s">
        <v>58</v>
      </c>
      <c r="D2036" t="str">
        <f t="shared" si="31"/>
        <v>July</v>
      </c>
      <c r="E2036" t="s">
        <v>32</v>
      </c>
      <c r="F2036" t="s">
        <v>25</v>
      </c>
      <c r="G2036" t="s">
        <v>26</v>
      </c>
      <c r="H2036" t="s">
        <v>19</v>
      </c>
      <c r="I2036" t="s">
        <v>20</v>
      </c>
      <c r="J2036" t="s">
        <v>46</v>
      </c>
      <c r="K2036">
        <v>4</v>
      </c>
      <c r="L2036">
        <v>2132.69</v>
      </c>
      <c r="M2036">
        <v>0</v>
      </c>
      <c r="N2036">
        <v>8530.76</v>
      </c>
      <c r="O2036" t="s">
        <v>29</v>
      </c>
    </row>
    <row r="2037" spans="1:15" x14ac:dyDescent="0.3">
      <c r="A2037" t="s">
        <v>2105</v>
      </c>
      <c r="B2037" s="2">
        <v>47327</v>
      </c>
      <c r="C2037" t="s">
        <v>38</v>
      </c>
      <c r="D2037" t="str">
        <f t="shared" si="31"/>
        <v>July</v>
      </c>
      <c r="E2037" t="s">
        <v>77</v>
      </c>
      <c r="F2037" t="s">
        <v>60</v>
      </c>
      <c r="G2037" t="s">
        <v>61</v>
      </c>
      <c r="H2037" t="s">
        <v>19</v>
      </c>
      <c r="I2037" t="s">
        <v>20</v>
      </c>
      <c r="J2037" t="s">
        <v>46</v>
      </c>
      <c r="K2037">
        <v>1</v>
      </c>
      <c r="L2037">
        <v>36175.629999999997</v>
      </c>
      <c r="M2037">
        <v>5</v>
      </c>
      <c r="N2037">
        <v>34366.85</v>
      </c>
      <c r="O2037" t="s">
        <v>29</v>
      </c>
    </row>
    <row r="2038" spans="1:15" x14ac:dyDescent="0.3">
      <c r="A2038" t="s">
        <v>2106</v>
      </c>
      <c r="B2038" s="2">
        <v>47328</v>
      </c>
      <c r="C2038" t="s">
        <v>15</v>
      </c>
      <c r="D2038" t="str">
        <f t="shared" si="31"/>
        <v>July</v>
      </c>
      <c r="E2038" t="s">
        <v>77</v>
      </c>
      <c r="F2038" t="s">
        <v>40</v>
      </c>
      <c r="G2038" t="s">
        <v>118</v>
      </c>
      <c r="H2038" t="s">
        <v>33</v>
      </c>
      <c r="I2038" t="s">
        <v>34</v>
      </c>
      <c r="J2038" t="s">
        <v>28</v>
      </c>
      <c r="K2038">
        <v>2</v>
      </c>
      <c r="L2038">
        <v>6937.52</v>
      </c>
      <c r="M2038">
        <v>15</v>
      </c>
      <c r="N2038">
        <v>11793.79</v>
      </c>
      <c r="O2038" t="s">
        <v>22</v>
      </c>
    </row>
    <row r="2039" spans="1:15" x14ac:dyDescent="0.3">
      <c r="A2039" t="s">
        <v>2107</v>
      </c>
      <c r="B2039" s="2">
        <v>47329</v>
      </c>
      <c r="C2039" t="s">
        <v>38</v>
      </c>
      <c r="D2039" t="str">
        <f t="shared" si="31"/>
        <v>July</v>
      </c>
      <c r="E2039" t="s">
        <v>72</v>
      </c>
      <c r="F2039" t="s">
        <v>53</v>
      </c>
      <c r="G2039" t="s">
        <v>129</v>
      </c>
      <c r="H2039" t="s">
        <v>19</v>
      </c>
      <c r="I2039" t="s">
        <v>20</v>
      </c>
      <c r="J2039" t="s">
        <v>46</v>
      </c>
      <c r="K2039">
        <v>4</v>
      </c>
      <c r="L2039">
        <v>33425.43</v>
      </c>
      <c r="M2039">
        <v>5</v>
      </c>
      <c r="N2039">
        <v>127016.63</v>
      </c>
      <c r="O2039" t="s">
        <v>29</v>
      </c>
    </row>
    <row r="2040" spans="1:15" x14ac:dyDescent="0.3">
      <c r="A2040" t="s">
        <v>2108</v>
      </c>
      <c r="B2040" s="2">
        <v>47330</v>
      </c>
      <c r="C2040" t="s">
        <v>58</v>
      </c>
      <c r="D2040" t="str">
        <f t="shared" si="31"/>
        <v>July</v>
      </c>
      <c r="E2040" t="s">
        <v>100</v>
      </c>
      <c r="F2040" t="s">
        <v>25</v>
      </c>
      <c r="G2040" t="s">
        <v>56</v>
      </c>
      <c r="H2040" t="s">
        <v>27</v>
      </c>
      <c r="I2040" t="s">
        <v>20</v>
      </c>
      <c r="J2040" t="s">
        <v>46</v>
      </c>
      <c r="K2040">
        <v>5</v>
      </c>
      <c r="L2040">
        <v>2110.0700000000002</v>
      </c>
      <c r="M2040">
        <v>0</v>
      </c>
      <c r="N2040">
        <v>10550.33</v>
      </c>
      <c r="O2040" t="s">
        <v>47</v>
      </c>
    </row>
    <row r="2041" spans="1:15" x14ac:dyDescent="0.3">
      <c r="A2041" t="s">
        <v>2109</v>
      </c>
      <c r="B2041" s="2">
        <v>47331</v>
      </c>
      <c r="C2041" t="s">
        <v>31</v>
      </c>
      <c r="D2041" t="str">
        <f t="shared" si="31"/>
        <v>August</v>
      </c>
      <c r="E2041" t="s">
        <v>100</v>
      </c>
      <c r="F2041" t="s">
        <v>60</v>
      </c>
      <c r="G2041" t="s">
        <v>78</v>
      </c>
      <c r="H2041" t="s">
        <v>45</v>
      </c>
      <c r="I2041" t="s">
        <v>20</v>
      </c>
      <c r="J2041" t="s">
        <v>43</v>
      </c>
      <c r="K2041">
        <v>3</v>
      </c>
      <c r="L2041">
        <v>33896.339999999997</v>
      </c>
      <c r="M2041">
        <v>15</v>
      </c>
      <c r="N2041">
        <v>86435.67</v>
      </c>
      <c r="O2041" t="s">
        <v>29</v>
      </c>
    </row>
    <row r="2042" spans="1:15" x14ac:dyDescent="0.3">
      <c r="A2042" t="s">
        <v>2110</v>
      </c>
      <c r="B2042" s="2">
        <v>47332</v>
      </c>
      <c r="C2042" t="s">
        <v>31</v>
      </c>
      <c r="D2042" t="str">
        <f t="shared" si="31"/>
        <v>August</v>
      </c>
      <c r="E2042" t="s">
        <v>77</v>
      </c>
      <c r="F2042" t="s">
        <v>25</v>
      </c>
      <c r="G2042" t="s">
        <v>26</v>
      </c>
      <c r="H2042" t="s">
        <v>33</v>
      </c>
      <c r="I2042" t="s">
        <v>20</v>
      </c>
      <c r="J2042" t="s">
        <v>28</v>
      </c>
      <c r="K2042">
        <v>3</v>
      </c>
      <c r="L2042">
        <v>2818.65</v>
      </c>
      <c r="M2042">
        <v>10</v>
      </c>
      <c r="N2042">
        <v>7610.36</v>
      </c>
      <c r="O2042" t="s">
        <v>22</v>
      </c>
    </row>
    <row r="2043" spans="1:15" x14ac:dyDescent="0.3">
      <c r="A2043" t="s">
        <v>2111</v>
      </c>
      <c r="B2043" s="2">
        <v>47333</v>
      </c>
      <c r="C2043" t="s">
        <v>31</v>
      </c>
      <c r="D2043" t="str">
        <f t="shared" si="31"/>
        <v>August</v>
      </c>
      <c r="E2043" t="s">
        <v>100</v>
      </c>
      <c r="F2043" t="s">
        <v>60</v>
      </c>
      <c r="G2043" t="s">
        <v>73</v>
      </c>
      <c r="H2043" t="s">
        <v>45</v>
      </c>
      <c r="I2043" t="s">
        <v>42</v>
      </c>
      <c r="J2043" t="s">
        <v>28</v>
      </c>
      <c r="K2043">
        <v>4</v>
      </c>
      <c r="L2043">
        <v>51343.55</v>
      </c>
      <c r="M2043">
        <v>5</v>
      </c>
      <c r="N2043">
        <v>195105.5</v>
      </c>
      <c r="O2043" t="s">
        <v>47</v>
      </c>
    </row>
    <row r="2044" spans="1:15" x14ac:dyDescent="0.3">
      <c r="A2044" t="s">
        <v>2112</v>
      </c>
      <c r="B2044" s="2">
        <v>47334</v>
      </c>
      <c r="C2044" t="s">
        <v>38</v>
      </c>
      <c r="D2044" t="str">
        <f t="shared" si="31"/>
        <v>August</v>
      </c>
      <c r="E2044" t="s">
        <v>32</v>
      </c>
      <c r="F2044" t="s">
        <v>53</v>
      </c>
      <c r="G2044" t="s">
        <v>54</v>
      </c>
      <c r="H2044" t="s">
        <v>19</v>
      </c>
      <c r="I2044" t="s">
        <v>20</v>
      </c>
      <c r="J2044" t="s">
        <v>35</v>
      </c>
      <c r="K2044">
        <v>5</v>
      </c>
      <c r="L2044">
        <v>37818.629999999997</v>
      </c>
      <c r="M2044">
        <v>5</v>
      </c>
      <c r="N2044">
        <v>179638.47</v>
      </c>
      <c r="O2044" t="s">
        <v>36</v>
      </c>
    </row>
    <row r="2045" spans="1:15" x14ac:dyDescent="0.3">
      <c r="A2045" t="s">
        <v>2113</v>
      </c>
      <c r="B2045" s="2">
        <v>47335</v>
      </c>
      <c r="C2045" t="s">
        <v>49</v>
      </c>
      <c r="D2045" t="str">
        <f t="shared" si="31"/>
        <v>August</v>
      </c>
      <c r="E2045" t="s">
        <v>100</v>
      </c>
      <c r="F2045" t="s">
        <v>60</v>
      </c>
      <c r="G2045" t="s">
        <v>61</v>
      </c>
      <c r="H2045" t="s">
        <v>33</v>
      </c>
      <c r="I2045" t="s">
        <v>20</v>
      </c>
      <c r="J2045" t="s">
        <v>46</v>
      </c>
      <c r="K2045">
        <v>5</v>
      </c>
      <c r="L2045">
        <v>35723.839999999997</v>
      </c>
      <c r="M2045">
        <v>10</v>
      </c>
      <c r="N2045">
        <v>160757.26</v>
      </c>
      <c r="O2045" t="s">
        <v>36</v>
      </c>
    </row>
    <row r="2046" spans="1:15" x14ac:dyDescent="0.3">
      <c r="A2046" t="s">
        <v>2114</v>
      </c>
      <c r="B2046" s="2">
        <v>47336</v>
      </c>
      <c r="C2046" t="s">
        <v>58</v>
      </c>
      <c r="D2046" t="str">
        <f t="shared" si="31"/>
        <v>August</v>
      </c>
      <c r="E2046" t="s">
        <v>16</v>
      </c>
      <c r="F2046" t="s">
        <v>60</v>
      </c>
      <c r="G2046" t="s">
        <v>73</v>
      </c>
      <c r="H2046" t="s">
        <v>45</v>
      </c>
      <c r="I2046" t="s">
        <v>42</v>
      </c>
      <c r="J2046" t="s">
        <v>35</v>
      </c>
      <c r="K2046">
        <v>5</v>
      </c>
      <c r="L2046">
        <v>43793.440000000002</v>
      </c>
      <c r="M2046">
        <v>15</v>
      </c>
      <c r="N2046">
        <v>186122.11</v>
      </c>
      <c r="O2046" t="s">
        <v>22</v>
      </c>
    </row>
    <row r="2047" spans="1:15" x14ac:dyDescent="0.3">
      <c r="A2047" t="s">
        <v>2115</v>
      </c>
      <c r="B2047" s="2">
        <v>47337</v>
      </c>
      <c r="C2047" t="s">
        <v>38</v>
      </c>
      <c r="D2047" t="str">
        <f t="shared" si="31"/>
        <v>August</v>
      </c>
      <c r="E2047" t="s">
        <v>52</v>
      </c>
      <c r="F2047" t="s">
        <v>40</v>
      </c>
      <c r="G2047" t="s">
        <v>115</v>
      </c>
      <c r="H2047" t="s">
        <v>33</v>
      </c>
      <c r="I2047" t="s">
        <v>34</v>
      </c>
      <c r="J2047" t="s">
        <v>28</v>
      </c>
      <c r="K2047">
        <v>1</v>
      </c>
      <c r="L2047">
        <v>5744.67</v>
      </c>
      <c r="M2047">
        <v>10</v>
      </c>
      <c r="N2047">
        <v>5170.2</v>
      </c>
      <c r="O2047" t="s">
        <v>29</v>
      </c>
    </row>
    <row r="2048" spans="1:15" x14ac:dyDescent="0.3">
      <c r="A2048" t="s">
        <v>2116</v>
      </c>
      <c r="B2048" s="2">
        <v>47338</v>
      </c>
      <c r="C2048" t="s">
        <v>58</v>
      </c>
      <c r="D2048" t="str">
        <f t="shared" si="31"/>
        <v>August</v>
      </c>
      <c r="E2048" t="s">
        <v>16</v>
      </c>
      <c r="F2048" t="s">
        <v>17</v>
      </c>
      <c r="G2048" t="s">
        <v>123</v>
      </c>
      <c r="H2048" t="s">
        <v>45</v>
      </c>
      <c r="I2048" t="s">
        <v>20</v>
      </c>
      <c r="J2048" t="s">
        <v>43</v>
      </c>
      <c r="K2048">
        <v>5</v>
      </c>
      <c r="L2048">
        <v>65489.15</v>
      </c>
      <c r="M2048">
        <v>0</v>
      </c>
      <c r="N2048">
        <v>327445.76000000001</v>
      </c>
      <c r="O2048" t="s">
        <v>36</v>
      </c>
    </row>
    <row r="2049" spans="1:15" x14ac:dyDescent="0.3">
      <c r="A2049" t="s">
        <v>2117</v>
      </c>
      <c r="B2049" s="2">
        <v>47339</v>
      </c>
      <c r="C2049" t="s">
        <v>58</v>
      </c>
      <c r="D2049" t="str">
        <f t="shared" si="31"/>
        <v>August</v>
      </c>
      <c r="E2049" t="s">
        <v>52</v>
      </c>
      <c r="F2049" t="s">
        <v>53</v>
      </c>
      <c r="G2049" t="s">
        <v>65</v>
      </c>
      <c r="H2049" t="s">
        <v>45</v>
      </c>
      <c r="I2049" t="s">
        <v>34</v>
      </c>
      <c r="J2049" t="s">
        <v>35</v>
      </c>
      <c r="K2049">
        <v>4</v>
      </c>
      <c r="L2049">
        <v>35710.75</v>
      </c>
      <c r="M2049">
        <v>15</v>
      </c>
      <c r="N2049">
        <v>121416.56</v>
      </c>
      <c r="O2049" t="s">
        <v>22</v>
      </c>
    </row>
    <row r="2050" spans="1:15" x14ac:dyDescent="0.3">
      <c r="A2050" t="s">
        <v>2118</v>
      </c>
      <c r="B2050" s="2">
        <v>47340</v>
      </c>
      <c r="C2050" t="s">
        <v>31</v>
      </c>
      <c r="D2050" t="str">
        <f t="shared" si="31"/>
        <v>August</v>
      </c>
      <c r="E2050" t="s">
        <v>77</v>
      </c>
      <c r="F2050" t="s">
        <v>40</v>
      </c>
      <c r="G2050" t="s">
        <v>41</v>
      </c>
      <c r="H2050" t="s">
        <v>19</v>
      </c>
      <c r="I2050" t="s">
        <v>20</v>
      </c>
      <c r="J2050" t="s">
        <v>35</v>
      </c>
      <c r="K2050">
        <v>4</v>
      </c>
      <c r="L2050">
        <v>5490.58</v>
      </c>
      <c r="M2050">
        <v>20</v>
      </c>
      <c r="N2050">
        <v>17569.87</v>
      </c>
      <c r="O2050" t="s">
        <v>29</v>
      </c>
    </row>
    <row r="2051" spans="1:15" x14ac:dyDescent="0.3">
      <c r="A2051" t="s">
        <v>2119</v>
      </c>
      <c r="B2051" s="2">
        <v>47341</v>
      </c>
      <c r="C2051" t="s">
        <v>31</v>
      </c>
      <c r="D2051" t="str">
        <f t="shared" ref="D2051:D2114" si="32">TEXT(B2051,"mmmm")</f>
        <v>August</v>
      </c>
      <c r="E2051" t="s">
        <v>69</v>
      </c>
      <c r="F2051" t="s">
        <v>17</v>
      </c>
      <c r="G2051" t="s">
        <v>63</v>
      </c>
      <c r="H2051" t="s">
        <v>19</v>
      </c>
      <c r="I2051" t="s">
        <v>34</v>
      </c>
      <c r="J2051" t="s">
        <v>46</v>
      </c>
      <c r="K2051">
        <v>2</v>
      </c>
      <c r="L2051">
        <v>60013.78</v>
      </c>
      <c r="M2051">
        <v>0</v>
      </c>
      <c r="N2051">
        <v>120027.57</v>
      </c>
      <c r="O2051" t="s">
        <v>47</v>
      </c>
    </row>
    <row r="2052" spans="1:15" x14ac:dyDescent="0.3">
      <c r="A2052" t="s">
        <v>2120</v>
      </c>
      <c r="B2052" s="2">
        <v>47342</v>
      </c>
      <c r="C2052" t="s">
        <v>58</v>
      </c>
      <c r="D2052" t="str">
        <f t="shared" si="32"/>
        <v>August</v>
      </c>
      <c r="E2052" t="s">
        <v>52</v>
      </c>
      <c r="F2052" t="s">
        <v>53</v>
      </c>
      <c r="G2052" t="s">
        <v>54</v>
      </c>
      <c r="H2052" t="s">
        <v>45</v>
      </c>
      <c r="I2052" t="s">
        <v>34</v>
      </c>
      <c r="J2052" t="s">
        <v>21</v>
      </c>
      <c r="K2052">
        <v>1</v>
      </c>
      <c r="L2052">
        <v>30817.21</v>
      </c>
      <c r="M2052">
        <v>5</v>
      </c>
      <c r="N2052">
        <v>29276.35</v>
      </c>
      <c r="O2052" t="s">
        <v>29</v>
      </c>
    </row>
    <row r="2053" spans="1:15" x14ac:dyDescent="0.3">
      <c r="A2053" t="s">
        <v>2121</v>
      </c>
      <c r="B2053" s="2">
        <v>47343</v>
      </c>
      <c r="C2053" t="s">
        <v>49</v>
      </c>
      <c r="D2053" t="str">
        <f t="shared" si="32"/>
        <v>August</v>
      </c>
      <c r="E2053" t="s">
        <v>77</v>
      </c>
      <c r="F2053" t="s">
        <v>40</v>
      </c>
      <c r="G2053" t="s">
        <v>41</v>
      </c>
      <c r="H2053" t="s">
        <v>45</v>
      </c>
      <c r="I2053" t="s">
        <v>42</v>
      </c>
      <c r="J2053" t="s">
        <v>28</v>
      </c>
      <c r="K2053">
        <v>2</v>
      </c>
      <c r="L2053">
        <v>5247.69</v>
      </c>
      <c r="M2053">
        <v>10</v>
      </c>
      <c r="N2053">
        <v>9445.85</v>
      </c>
      <c r="O2053" t="s">
        <v>47</v>
      </c>
    </row>
    <row r="2054" spans="1:15" x14ac:dyDescent="0.3">
      <c r="A2054" t="s">
        <v>2122</v>
      </c>
      <c r="B2054" s="2">
        <v>47344</v>
      </c>
      <c r="C2054" t="s">
        <v>15</v>
      </c>
      <c r="D2054" t="str">
        <f t="shared" si="32"/>
        <v>August</v>
      </c>
      <c r="E2054" t="s">
        <v>52</v>
      </c>
      <c r="F2054" t="s">
        <v>17</v>
      </c>
      <c r="G2054" t="s">
        <v>63</v>
      </c>
      <c r="H2054" t="s">
        <v>19</v>
      </c>
      <c r="I2054" t="s">
        <v>34</v>
      </c>
      <c r="J2054" t="s">
        <v>46</v>
      </c>
      <c r="K2054">
        <v>2</v>
      </c>
      <c r="L2054">
        <v>43804.63</v>
      </c>
      <c r="M2054">
        <v>0</v>
      </c>
      <c r="N2054">
        <v>87609.27</v>
      </c>
      <c r="O2054" t="s">
        <v>36</v>
      </c>
    </row>
    <row r="2055" spans="1:15" x14ac:dyDescent="0.3">
      <c r="A2055" t="s">
        <v>2123</v>
      </c>
      <c r="B2055" s="2">
        <v>47345</v>
      </c>
      <c r="C2055" t="s">
        <v>15</v>
      </c>
      <c r="D2055" t="str">
        <f t="shared" si="32"/>
        <v>August</v>
      </c>
      <c r="E2055" t="s">
        <v>69</v>
      </c>
      <c r="F2055" t="s">
        <v>25</v>
      </c>
      <c r="G2055" t="s">
        <v>92</v>
      </c>
      <c r="H2055" t="s">
        <v>45</v>
      </c>
      <c r="I2055" t="s">
        <v>20</v>
      </c>
      <c r="J2055" t="s">
        <v>43</v>
      </c>
      <c r="K2055">
        <v>5</v>
      </c>
      <c r="L2055">
        <v>2455.46</v>
      </c>
      <c r="M2055">
        <v>5</v>
      </c>
      <c r="N2055">
        <v>11663.44</v>
      </c>
      <c r="O2055" t="s">
        <v>29</v>
      </c>
    </row>
    <row r="2056" spans="1:15" x14ac:dyDescent="0.3">
      <c r="A2056" t="s">
        <v>2124</v>
      </c>
      <c r="B2056" s="2">
        <v>47346</v>
      </c>
      <c r="C2056" t="s">
        <v>31</v>
      </c>
      <c r="D2056" t="str">
        <f t="shared" si="32"/>
        <v>August</v>
      </c>
      <c r="E2056" t="s">
        <v>69</v>
      </c>
      <c r="F2056" t="s">
        <v>40</v>
      </c>
      <c r="G2056" t="s">
        <v>115</v>
      </c>
      <c r="H2056" t="s">
        <v>27</v>
      </c>
      <c r="I2056" t="s">
        <v>34</v>
      </c>
      <c r="J2056" t="s">
        <v>28</v>
      </c>
      <c r="K2056">
        <v>5</v>
      </c>
      <c r="L2056">
        <v>7607.46</v>
      </c>
      <c r="M2056">
        <v>20</v>
      </c>
      <c r="N2056">
        <v>30429.86</v>
      </c>
      <c r="O2056" t="s">
        <v>47</v>
      </c>
    </row>
    <row r="2057" spans="1:15" x14ac:dyDescent="0.3">
      <c r="A2057" t="s">
        <v>2125</v>
      </c>
      <c r="B2057" s="2">
        <v>47347</v>
      </c>
      <c r="C2057" t="s">
        <v>58</v>
      </c>
      <c r="D2057" t="str">
        <f t="shared" si="32"/>
        <v>August</v>
      </c>
      <c r="E2057" t="s">
        <v>52</v>
      </c>
      <c r="F2057" t="s">
        <v>60</v>
      </c>
      <c r="G2057" t="s">
        <v>61</v>
      </c>
      <c r="H2057" t="s">
        <v>19</v>
      </c>
      <c r="I2057" t="s">
        <v>20</v>
      </c>
      <c r="J2057" t="s">
        <v>28</v>
      </c>
      <c r="K2057">
        <v>4</v>
      </c>
      <c r="L2057">
        <v>33901.51</v>
      </c>
      <c r="M2057">
        <v>0</v>
      </c>
      <c r="N2057">
        <v>135606.06</v>
      </c>
      <c r="O2057" t="s">
        <v>29</v>
      </c>
    </row>
    <row r="2058" spans="1:15" x14ac:dyDescent="0.3">
      <c r="A2058" t="s">
        <v>2126</v>
      </c>
      <c r="B2058" s="2">
        <v>47348</v>
      </c>
      <c r="C2058" t="s">
        <v>38</v>
      </c>
      <c r="D2058" t="str">
        <f t="shared" si="32"/>
        <v>August</v>
      </c>
      <c r="E2058" t="s">
        <v>77</v>
      </c>
      <c r="F2058" t="s">
        <v>53</v>
      </c>
      <c r="G2058" t="s">
        <v>65</v>
      </c>
      <c r="H2058" t="s">
        <v>27</v>
      </c>
      <c r="I2058" t="s">
        <v>34</v>
      </c>
      <c r="J2058" t="s">
        <v>35</v>
      </c>
      <c r="K2058">
        <v>1</v>
      </c>
      <c r="L2058">
        <v>29330.27</v>
      </c>
      <c r="M2058">
        <v>10</v>
      </c>
      <c r="N2058">
        <v>26397.24</v>
      </c>
      <c r="O2058" t="s">
        <v>36</v>
      </c>
    </row>
    <row r="2059" spans="1:15" x14ac:dyDescent="0.3">
      <c r="A2059" t="s">
        <v>2127</v>
      </c>
      <c r="B2059" s="2">
        <v>47349</v>
      </c>
      <c r="C2059" t="s">
        <v>31</v>
      </c>
      <c r="D2059" t="str">
        <f t="shared" si="32"/>
        <v>August</v>
      </c>
      <c r="E2059" t="s">
        <v>52</v>
      </c>
      <c r="F2059" t="s">
        <v>60</v>
      </c>
      <c r="G2059" t="s">
        <v>70</v>
      </c>
      <c r="H2059" t="s">
        <v>27</v>
      </c>
      <c r="I2059" t="s">
        <v>34</v>
      </c>
      <c r="J2059" t="s">
        <v>21</v>
      </c>
      <c r="K2059">
        <v>3</v>
      </c>
      <c r="L2059">
        <v>50501.16</v>
      </c>
      <c r="M2059">
        <v>10</v>
      </c>
      <c r="N2059">
        <v>136353.14000000001</v>
      </c>
      <c r="O2059" t="s">
        <v>22</v>
      </c>
    </row>
    <row r="2060" spans="1:15" x14ac:dyDescent="0.3">
      <c r="A2060" t="s">
        <v>2128</v>
      </c>
      <c r="B2060" s="2">
        <v>47350</v>
      </c>
      <c r="C2060" t="s">
        <v>15</v>
      </c>
      <c r="D2060" t="str">
        <f t="shared" si="32"/>
        <v>August</v>
      </c>
      <c r="E2060" t="s">
        <v>32</v>
      </c>
      <c r="F2060" t="s">
        <v>17</v>
      </c>
      <c r="G2060" t="s">
        <v>123</v>
      </c>
      <c r="H2060" t="s">
        <v>27</v>
      </c>
      <c r="I2060" t="s">
        <v>34</v>
      </c>
      <c r="J2060" t="s">
        <v>46</v>
      </c>
      <c r="K2060">
        <v>3</v>
      </c>
      <c r="L2060">
        <v>55946.64</v>
      </c>
      <c r="M2060">
        <v>10</v>
      </c>
      <c r="N2060">
        <v>151055.93</v>
      </c>
      <c r="O2060" t="s">
        <v>36</v>
      </c>
    </row>
    <row r="2061" spans="1:15" x14ac:dyDescent="0.3">
      <c r="A2061" t="s">
        <v>2129</v>
      </c>
      <c r="B2061" s="2">
        <v>47351</v>
      </c>
      <c r="C2061" t="s">
        <v>15</v>
      </c>
      <c r="D2061" t="str">
        <f t="shared" si="32"/>
        <v>August</v>
      </c>
      <c r="E2061" t="s">
        <v>50</v>
      </c>
      <c r="F2061" t="s">
        <v>60</v>
      </c>
      <c r="G2061" t="s">
        <v>78</v>
      </c>
      <c r="H2061" t="s">
        <v>19</v>
      </c>
      <c r="I2061" t="s">
        <v>20</v>
      </c>
      <c r="J2061" t="s">
        <v>21</v>
      </c>
      <c r="K2061">
        <v>3</v>
      </c>
      <c r="L2061">
        <v>44692.51</v>
      </c>
      <c r="M2061">
        <v>15</v>
      </c>
      <c r="N2061">
        <v>113965.89</v>
      </c>
      <c r="O2061" t="s">
        <v>22</v>
      </c>
    </row>
    <row r="2062" spans="1:15" x14ac:dyDescent="0.3">
      <c r="A2062" t="s">
        <v>2130</v>
      </c>
      <c r="B2062" s="2">
        <v>47352</v>
      </c>
      <c r="C2062" t="s">
        <v>49</v>
      </c>
      <c r="D2062" t="str">
        <f t="shared" si="32"/>
        <v>August</v>
      </c>
      <c r="E2062" t="s">
        <v>16</v>
      </c>
      <c r="F2062" t="s">
        <v>53</v>
      </c>
      <c r="G2062" t="s">
        <v>129</v>
      </c>
      <c r="H2062" t="s">
        <v>45</v>
      </c>
      <c r="I2062" t="s">
        <v>42</v>
      </c>
      <c r="J2062" t="s">
        <v>28</v>
      </c>
      <c r="K2062">
        <v>2</v>
      </c>
      <c r="L2062">
        <v>27669.5</v>
      </c>
      <c r="M2062">
        <v>0</v>
      </c>
      <c r="N2062">
        <v>55339</v>
      </c>
      <c r="O2062" t="s">
        <v>29</v>
      </c>
    </row>
    <row r="2063" spans="1:15" x14ac:dyDescent="0.3">
      <c r="A2063" t="s">
        <v>2131</v>
      </c>
      <c r="B2063" s="2">
        <v>47353</v>
      </c>
      <c r="C2063" t="s">
        <v>58</v>
      </c>
      <c r="D2063" t="str">
        <f t="shared" si="32"/>
        <v>August</v>
      </c>
      <c r="E2063" t="s">
        <v>77</v>
      </c>
      <c r="F2063" t="s">
        <v>40</v>
      </c>
      <c r="G2063" t="s">
        <v>115</v>
      </c>
      <c r="H2063" t="s">
        <v>27</v>
      </c>
      <c r="I2063" t="s">
        <v>20</v>
      </c>
      <c r="J2063" t="s">
        <v>43</v>
      </c>
      <c r="K2063">
        <v>4</v>
      </c>
      <c r="L2063">
        <v>5807.99</v>
      </c>
      <c r="M2063">
        <v>5</v>
      </c>
      <c r="N2063">
        <v>22070.37</v>
      </c>
      <c r="O2063" t="s">
        <v>22</v>
      </c>
    </row>
    <row r="2064" spans="1:15" x14ac:dyDescent="0.3">
      <c r="A2064" t="s">
        <v>2132</v>
      </c>
      <c r="B2064" s="2">
        <v>47354</v>
      </c>
      <c r="C2064" t="s">
        <v>49</v>
      </c>
      <c r="D2064" t="str">
        <f t="shared" si="32"/>
        <v>August</v>
      </c>
      <c r="E2064" t="s">
        <v>77</v>
      </c>
      <c r="F2064" t="s">
        <v>60</v>
      </c>
      <c r="G2064" t="s">
        <v>73</v>
      </c>
      <c r="H2064" t="s">
        <v>27</v>
      </c>
      <c r="I2064" t="s">
        <v>42</v>
      </c>
      <c r="J2064" t="s">
        <v>46</v>
      </c>
      <c r="K2064">
        <v>4</v>
      </c>
      <c r="L2064">
        <v>34116.089999999997</v>
      </c>
      <c r="M2064">
        <v>5</v>
      </c>
      <c r="N2064">
        <v>129641.15</v>
      </c>
      <c r="O2064" t="s">
        <v>47</v>
      </c>
    </row>
    <row r="2065" spans="1:15" x14ac:dyDescent="0.3">
      <c r="A2065" t="s">
        <v>2133</v>
      </c>
      <c r="B2065" s="2">
        <v>47355</v>
      </c>
      <c r="C2065" t="s">
        <v>31</v>
      </c>
      <c r="D2065" t="str">
        <f t="shared" si="32"/>
        <v>August</v>
      </c>
      <c r="E2065" t="s">
        <v>69</v>
      </c>
      <c r="F2065" t="s">
        <v>60</v>
      </c>
      <c r="G2065" t="s">
        <v>73</v>
      </c>
      <c r="H2065" t="s">
        <v>19</v>
      </c>
      <c r="I2065" t="s">
        <v>42</v>
      </c>
      <c r="J2065" t="s">
        <v>43</v>
      </c>
      <c r="K2065">
        <v>5</v>
      </c>
      <c r="L2065">
        <v>33719.370000000003</v>
      </c>
      <c r="M2065">
        <v>10</v>
      </c>
      <c r="N2065">
        <v>151737.18</v>
      </c>
      <c r="O2065" t="s">
        <v>47</v>
      </c>
    </row>
    <row r="2066" spans="1:15" x14ac:dyDescent="0.3">
      <c r="A2066" t="s">
        <v>2134</v>
      </c>
      <c r="B2066" s="2">
        <v>47356</v>
      </c>
      <c r="C2066" t="s">
        <v>15</v>
      </c>
      <c r="D2066" t="str">
        <f t="shared" si="32"/>
        <v>August</v>
      </c>
      <c r="E2066" t="s">
        <v>77</v>
      </c>
      <c r="F2066" t="s">
        <v>60</v>
      </c>
      <c r="G2066" t="s">
        <v>61</v>
      </c>
      <c r="H2066" t="s">
        <v>27</v>
      </c>
      <c r="I2066" t="s">
        <v>42</v>
      </c>
      <c r="J2066" t="s">
        <v>43</v>
      </c>
      <c r="K2066">
        <v>1</v>
      </c>
      <c r="L2066">
        <v>40700.79</v>
      </c>
      <c r="M2066">
        <v>15</v>
      </c>
      <c r="N2066">
        <v>34595.67</v>
      </c>
      <c r="O2066" t="s">
        <v>47</v>
      </c>
    </row>
    <row r="2067" spans="1:15" x14ac:dyDescent="0.3">
      <c r="A2067" t="s">
        <v>2135</v>
      </c>
      <c r="B2067" s="2">
        <v>47357</v>
      </c>
      <c r="C2067" t="s">
        <v>38</v>
      </c>
      <c r="D2067" t="str">
        <f t="shared" si="32"/>
        <v>August</v>
      </c>
      <c r="E2067" t="s">
        <v>52</v>
      </c>
      <c r="F2067" t="s">
        <v>53</v>
      </c>
      <c r="G2067" t="s">
        <v>105</v>
      </c>
      <c r="H2067" t="s">
        <v>45</v>
      </c>
      <c r="I2067" t="s">
        <v>20</v>
      </c>
      <c r="J2067" t="s">
        <v>28</v>
      </c>
      <c r="K2067">
        <v>4</v>
      </c>
      <c r="L2067">
        <v>34215.300000000003</v>
      </c>
      <c r="M2067">
        <v>0</v>
      </c>
      <c r="N2067">
        <v>136861.20000000001</v>
      </c>
      <c r="O2067" t="s">
        <v>29</v>
      </c>
    </row>
    <row r="2068" spans="1:15" x14ac:dyDescent="0.3">
      <c r="A2068" t="s">
        <v>2136</v>
      </c>
      <c r="B2068" s="2">
        <v>47358</v>
      </c>
      <c r="C2068" t="s">
        <v>31</v>
      </c>
      <c r="D2068" t="str">
        <f t="shared" si="32"/>
        <v>August</v>
      </c>
      <c r="E2068" t="s">
        <v>32</v>
      </c>
      <c r="F2068" t="s">
        <v>53</v>
      </c>
      <c r="G2068" t="s">
        <v>54</v>
      </c>
      <c r="H2068" t="s">
        <v>19</v>
      </c>
      <c r="I2068" t="s">
        <v>34</v>
      </c>
      <c r="J2068" t="s">
        <v>21</v>
      </c>
      <c r="K2068">
        <v>5</v>
      </c>
      <c r="L2068">
        <v>25187.32</v>
      </c>
      <c r="M2068">
        <v>5</v>
      </c>
      <c r="N2068">
        <v>119639.75</v>
      </c>
      <c r="O2068" t="s">
        <v>29</v>
      </c>
    </row>
    <row r="2069" spans="1:15" x14ac:dyDescent="0.3">
      <c r="A2069" t="s">
        <v>2137</v>
      </c>
      <c r="B2069" s="2">
        <v>47359</v>
      </c>
      <c r="C2069" t="s">
        <v>49</v>
      </c>
      <c r="D2069" t="str">
        <f t="shared" si="32"/>
        <v>August</v>
      </c>
      <c r="E2069" t="s">
        <v>16</v>
      </c>
      <c r="F2069" t="s">
        <v>25</v>
      </c>
      <c r="G2069" t="s">
        <v>81</v>
      </c>
      <c r="H2069" t="s">
        <v>33</v>
      </c>
      <c r="I2069" t="s">
        <v>20</v>
      </c>
      <c r="J2069" t="s">
        <v>21</v>
      </c>
      <c r="K2069">
        <v>3</v>
      </c>
      <c r="L2069">
        <v>2608.0100000000002</v>
      </c>
      <c r="M2069">
        <v>10</v>
      </c>
      <c r="N2069">
        <v>7041.64</v>
      </c>
      <c r="O2069" t="s">
        <v>47</v>
      </c>
    </row>
    <row r="2070" spans="1:15" x14ac:dyDescent="0.3">
      <c r="A2070" t="s">
        <v>2138</v>
      </c>
      <c r="B2070" s="2">
        <v>47360</v>
      </c>
      <c r="C2070" t="s">
        <v>49</v>
      </c>
      <c r="D2070" t="str">
        <f t="shared" si="32"/>
        <v>August</v>
      </c>
      <c r="E2070" t="s">
        <v>69</v>
      </c>
      <c r="F2070" t="s">
        <v>40</v>
      </c>
      <c r="G2070" t="s">
        <v>75</v>
      </c>
      <c r="H2070" t="s">
        <v>45</v>
      </c>
      <c r="I2070" t="s">
        <v>20</v>
      </c>
      <c r="J2070" t="s">
        <v>43</v>
      </c>
      <c r="K2070">
        <v>3</v>
      </c>
      <c r="L2070">
        <v>5279.37</v>
      </c>
      <c r="M2070">
        <v>10</v>
      </c>
      <c r="N2070">
        <v>14254.3</v>
      </c>
      <c r="O2070" t="s">
        <v>36</v>
      </c>
    </row>
    <row r="2071" spans="1:15" x14ac:dyDescent="0.3">
      <c r="A2071" t="s">
        <v>2139</v>
      </c>
      <c r="B2071" s="2">
        <v>47361</v>
      </c>
      <c r="C2071" t="s">
        <v>15</v>
      </c>
      <c r="D2071" t="str">
        <f t="shared" si="32"/>
        <v>August</v>
      </c>
      <c r="E2071" t="s">
        <v>52</v>
      </c>
      <c r="F2071" t="s">
        <v>25</v>
      </c>
      <c r="G2071" t="s">
        <v>26</v>
      </c>
      <c r="H2071" t="s">
        <v>45</v>
      </c>
      <c r="I2071" t="s">
        <v>34</v>
      </c>
      <c r="J2071" t="s">
        <v>46</v>
      </c>
      <c r="K2071">
        <v>3</v>
      </c>
      <c r="L2071">
        <v>3045.4</v>
      </c>
      <c r="M2071">
        <v>0</v>
      </c>
      <c r="N2071">
        <v>9136.19</v>
      </c>
      <c r="O2071" t="s">
        <v>47</v>
      </c>
    </row>
    <row r="2072" spans="1:15" x14ac:dyDescent="0.3">
      <c r="A2072" t="s">
        <v>2140</v>
      </c>
      <c r="B2072" s="2">
        <v>47362</v>
      </c>
      <c r="C2072" t="s">
        <v>58</v>
      </c>
      <c r="D2072" t="str">
        <f t="shared" si="32"/>
        <v>September</v>
      </c>
      <c r="E2072" t="s">
        <v>16</v>
      </c>
      <c r="F2072" t="s">
        <v>53</v>
      </c>
      <c r="G2072" t="s">
        <v>65</v>
      </c>
      <c r="H2072" t="s">
        <v>45</v>
      </c>
      <c r="I2072" t="s">
        <v>34</v>
      </c>
      <c r="J2072" t="s">
        <v>43</v>
      </c>
      <c r="K2072">
        <v>2</v>
      </c>
      <c r="L2072">
        <v>24395.34</v>
      </c>
      <c r="M2072">
        <v>0</v>
      </c>
      <c r="N2072">
        <v>48790.67</v>
      </c>
      <c r="O2072" t="s">
        <v>22</v>
      </c>
    </row>
    <row r="2073" spans="1:15" x14ac:dyDescent="0.3">
      <c r="A2073" t="s">
        <v>2141</v>
      </c>
      <c r="B2073" s="2">
        <v>47363</v>
      </c>
      <c r="C2073" t="s">
        <v>15</v>
      </c>
      <c r="D2073" t="str">
        <f t="shared" si="32"/>
        <v>September</v>
      </c>
      <c r="E2073" t="s">
        <v>32</v>
      </c>
      <c r="F2073" t="s">
        <v>60</v>
      </c>
      <c r="G2073" t="s">
        <v>73</v>
      </c>
      <c r="H2073" t="s">
        <v>33</v>
      </c>
      <c r="I2073" t="s">
        <v>34</v>
      </c>
      <c r="J2073" t="s">
        <v>35</v>
      </c>
      <c r="K2073">
        <v>1</v>
      </c>
      <c r="L2073">
        <v>48524.81</v>
      </c>
      <c r="M2073">
        <v>20</v>
      </c>
      <c r="N2073">
        <v>38819.85</v>
      </c>
      <c r="O2073" t="s">
        <v>47</v>
      </c>
    </row>
    <row r="2074" spans="1:15" x14ac:dyDescent="0.3">
      <c r="A2074" t="s">
        <v>2142</v>
      </c>
      <c r="B2074" s="2">
        <v>47364</v>
      </c>
      <c r="C2074" t="s">
        <v>49</v>
      </c>
      <c r="D2074" t="str">
        <f t="shared" si="32"/>
        <v>September</v>
      </c>
      <c r="E2074" t="s">
        <v>52</v>
      </c>
      <c r="F2074" t="s">
        <v>40</v>
      </c>
      <c r="G2074" t="s">
        <v>115</v>
      </c>
      <c r="H2074" t="s">
        <v>27</v>
      </c>
      <c r="I2074" t="s">
        <v>42</v>
      </c>
      <c r="J2074" t="s">
        <v>35</v>
      </c>
      <c r="K2074">
        <v>2</v>
      </c>
      <c r="L2074">
        <v>4966.6000000000004</v>
      </c>
      <c r="M2074">
        <v>10</v>
      </c>
      <c r="N2074">
        <v>8939.89</v>
      </c>
      <c r="O2074" t="s">
        <v>22</v>
      </c>
    </row>
    <row r="2075" spans="1:15" x14ac:dyDescent="0.3">
      <c r="A2075" t="s">
        <v>2143</v>
      </c>
      <c r="B2075" s="2">
        <v>47365</v>
      </c>
      <c r="C2075" t="s">
        <v>38</v>
      </c>
      <c r="D2075" t="str">
        <f t="shared" si="32"/>
        <v>September</v>
      </c>
      <c r="E2075" t="s">
        <v>69</v>
      </c>
      <c r="F2075" t="s">
        <v>40</v>
      </c>
      <c r="G2075" t="s">
        <v>115</v>
      </c>
      <c r="H2075" t="s">
        <v>45</v>
      </c>
      <c r="I2075" t="s">
        <v>34</v>
      </c>
      <c r="J2075" t="s">
        <v>28</v>
      </c>
      <c r="K2075">
        <v>4</v>
      </c>
      <c r="L2075">
        <v>7078.57</v>
      </c>
      <c r="M2075">
        <v>5</v>
      </c>
      <c r="N2075">
        <v>26898.560000000001</v>
      </c>
      <c r="O2075" t="s">
        <v>22</v>
      </c>
    </row>
    <row r="2076" spans="1:15" x14ac:dyDescent="0.3">
      <c r="A2076" t="s">
        <v>2144</v>
      </c>
      <c r="B2076" s="2">
        <v>47366</v>
      </c>
      <c r="C2076" t="s">
        <v>38</v>
      </c>
      <c r="D2076" t="str">
        <f t="shared" si="32"/>
        <v>September</v>
      </c>
      <c r="E2076" t="s">
        <v>24</v>
      </c>
      <c r="F2076" t="s">
        <v>53</v>
      </c>
      <c r="G2076" t="s">
        <v>129</v>
      </c>
      <c r="H2076" t="s">
        <v>27</v>
      </c>
      <c r="I2076" t="s">
        <v>34</v>
      </c>
      <c r="J2076" t="s">
        <v>35</v>
      </c>
      <c r="K2076">
        <v>5</v>
      </c>
      <c r="L2076">
        <v>30538.240000000002</v>
      </c>
      <c r="M2076">
        <v>0</v>
      </c>
      <c r="N2076">
        <v>152691.21</v>
      </c>
      <c r="O2076" t="s">
        <v>47</v>
      </c>
    </row>
    <row r="2077" spans="1:15" x14ac:dyDescent="0.3">
      <c r="A2077" t="s">
        <v>2145</v>
      </c>
      <c r="B2077" s="2">
        <v>47367</v>
      </c>
      <c r="C2077" t="s">
        <v>38</v>
      </c>
      <c r="D2077" t="str">
        <f t="shared" si="32"/>
        <v>September</v>
      </c>
      <c r="E2077" t="s">
        <v>16</v>
      </c>
      <c r="F2077" t="s">
        <v>25</v>
      </c>
      <c r="G2077" t="s">
        <v>56</v>
      </c>
      <c r="H2077" t="s">
        <v>45</v>
      </c>
      <c r="I2077" t="s">
        <v>42</v>
      </c>
      <c r="J2077" t="s">
        <v>28</v>
      </c>
      <c r="K2077">
        <v>5</v>
      </c>
      <c r="L2077">
        <v>2700.44</v>
      </c>
      <c r="M2077">
        <v>15</v>
      </c>
      <c r="N2077">
        <v>11476.87</v>
      </c>
      <c r="O2077" t="s">
        <v>47</v>
      </c>
    </row>
    <row r="2078" spans="1:15" x14ac:dyDescent="0.3">
      <c r="A2078" t="s">
        <v>2146</v>
      </c>
      <c r="B2078" s="2">
        <v>47368</v>
      </c>
      <c r="C2078" t="s">
        <v>58</v>
      </c>
      <c r="D2078" t="str">
        <f t="shared" si="32"/>
        <v>September</v>
      </c>
      <c r="E2078" t="s">
        <v>24</v>
      </c>
      <c r="F2078" t="s">
        <v>60</v>
      </c>
      <c r="G2078" t="s">
        <v>73</v>
      </c>
      <c r="H2078" t="s">
        <v>19</v>
      </c>
      <c r="I2078" t="s">
        <v>34</v>
      </c>
      <c r="J2078" t="s">
        <v>46</v>
      </c>
      <c r="K2078">
        <v>2</v>
      </c>
      <c r="L2078">
        <v>48694.61</v>
      </c>
      <c r="M2078">
        <v>10</v>
      </c>
      <c r="N2078">
        <v>87650.3</v>
      </c>
      <c r="O2078" t="s">
        <v>47</v>
      </c>
    </row>
    <row r="2079" spans="1:15" x14ac:dyDescent="0.3">
      <c r="A2079" t="s">
        <v>2147</v>
      </c>
      <c r="B2079" s="2">
        <v>47369</v>
      </c>
      <c r="C2079" t="s">
        <v>49</v>
      </c>
      <c r="D2079" t="str">
        <f t="shared" si="32"/>
        <v>September</v>
      </c>
      <c r="E2079" t="s">
        <v>16</v>
      </c>
      <c r="F2079" t="s">
        <v>60</v>
      </c>
      <c r="G2079" t="s">
        <v>73</v>
      </c>
      <c r="H2079" t="s">
        <v>19</v>
      </c>
      <c r="I2079" t="s">
        <v>20</v>
      </c>
      <c r="J2079" t="s">
        <v>21</v>
      </c>
      <c r="K2079">
        <v>5</v>
      </c>
      <c r="L2079">
        <v>38135.550000000003</v>
      </c>
      <c r="M2079">
        <v>20</v>
      </c>
      <c r="N2079">
        <v>152542.20000000001</v>
      </c>
      <c r="O2079" t="s">
        <v>36</v>
      </c>
    </row>
    <row r="2080" spans="1:15" x14ac:dyDescent="0.3">
      <c r="A2080" t="s">
        <v>2148</v>
      </c>
      <c r="B2080" s="2">
        <v>47370</v>
      </c>
      <c r="C2080" t="s">
        <v>38</v>
      </c>
      <c r="D2080" t="str">
        <f t="shared" si="32"/>
        <v>September</v>
      </c>
      <c r="E2080" t="s">
        <v>50</v>
      </c>
      <c r="F2080" t="s">
        <v>25</v>
      </c>
      <c r="G2080" t="s">
        <v>56</v>
      </c>
      <c r="H2080" t="s">
        <v>19</v>
      </c>
      <c r="I2080" t="s">
        <v>42</v>
      </c>
      <c r="J2080" t="s">
        <v>35</v>
      </c>
      <c r="K2080">
        <v>1</v>
      </c>
      <c r="L2080">
        <v>2296.2600000000002</v>
      </c>
      <c r="M2080">
        <v>15</v>
      </c>
      <c r="N2080">
        <v>1951.82</v>
      </c>
      <c r="O2080" t="s">
        <v>47</v>
      </c>
    </row>
    <row r="2081" spans="1:15" x14ac:dyDescent="0.3">
      <c r="A2081" t="s">
        <v>2149</v>
      </c>
      <c r="B2081" s="2">
        <v>47371</v>
      </c>
      <c r="C2081" t="s">
        <v>49</v>
      </c>
      <c r="D2081" t="str">
        <f t="shared" si="32"/>
        <v>September</v>
      </c>
      <c r="E2081" t="s">
        <v>24</v>
      </c>
      <c r="F2081" t="s">
        <v>17</v>
      </c>
      <c r="G2081" t="s">
        <v>63</v>
      </c>
      <c r="H2081" t="s">
        <v>45</v>
      </c>
      <c r="I2081" t="s">
        <v>34</v>
      </c>
      <c r="J2081" t="s">
        <v>35</v>
      </c>
      <c r="K2081">
        <v>3</v>
      </c>
      <c r="L2081">
        <v>60450.05</v>
      </c>
      <c r="M2081">
        <v>20</v>
      </c>
      <c r="N2081">
        <v>145080.13</v>
      </c>
      <c r="O2081" t="s">
        <v>47</v>
      </c>
    </row>
    <row r="2082" spans="1:15" x14ac:dyDescent="0.3">
      <c r="A2082" t="s">
        <v>2150</v>
      </c>
      <c r="B2082" s="2">
        <v>47372</v>
      </c>
      <c r="C2082" t="s">
        <v>31</v>
      </c>
      <c r="D2082" t="str">
        <f t="shared" si="32"/>
        <v>September</v>
      </c>
      <c r="E2082" t="s">
        <v>77</v>
      </c>
      <c r="F2082" t="s">
        <v>17</v>
      </c>
      <c r="G2082" t="s">
        <v>63</v>
      </c>
      <c r="H2082" t="s">
        <v>27</v>
      </c>
      <c r="I2082" t="s">
        <v>20</v>
      </c>
      <c r="J2082" t="s">
        <v>35</v>
      </c>
      <c r="K2082">
        <v>4</v>
      </c>
      <c r="L2082">
        <v>48539.31</v>
      </c>
      <c r="M2082">
        <v>0</v>
      </c>
      <c r="N2082">
        <v>194157.22</v>
      </c>
      <c r="O2082" t="s">
        <v>29</v>
      </c>
    </row>
    <row r="2083" spans="1:15" x14ac:dyDescent="0.3">
      <c r="A2083" t="s">
        <v>2151</v>
      </c>
      <c r="B2083" s="2">
        <v>47373</v>
      </c>
      <c r="C2083" t="s">
        <v>15</v>
      </c>
      <c r="D2083" t="str">
        <f t="shared" si="32"/>
        <v>September</v>
      </c>
      <c r="E2083" t="s">
        <v>39</v>
      </c>
      <c r="F2083" t="s">
        <v>40</v>
      </c>
      <c r="G2083" t="s">
        <v>75</v>
      </c>
      <c r="H2083" t="s">
        <v>33</v>
      </c>
      <c r="I2083" t="s">
        <v>34</v>
      </c>
      <c r="J2083" t="s">
        <v>35</v>
      </c>
      <c r="K2083">
        <v>5</v>
      </c>
      <c r="L2083">
        <v>7699.74</v>
      </c>
      <c r="M2083">
        <v>5</v>
      </c>
      <c r="N2083">
        <v>36573.75</v>
      </c>
      <c r="O2083" t="s">
        <v>47</v>
      </c>
    </row>
    <row r="2084" spans="1:15" x14ac:dyDescent="0.3">
      <c r="A2084" t="s">
        <v>2152</v>
      </c>
      <c r="B2084" s="2">
        <v>47374</v>
      </c>
      <c r="C2084" t="s">
        <v>15</v>
      </c>
      <c r="D2084" t="str">
        <f t="shared" si="32"/>
        <v>September</v>
      </c>
      <c r="E2084" t="s">
        <v>52</v>
      </c>
      <c r="F2084" t="s">
        <v>17</v>
      </c>
      <c r="G2084" t="s">
        <v>123</v>
      </c>
      <c r="H2084" t="s">
        <v>33</v>
      </c>
      <c r="I2084" t="s">
        <v>34</v>
      </c>
      <c r="J2084" t="s">
        <v>43</v>
      </c>
      <c r="K2084">
        <v>2</v>
      </c>
      <c r="L2084">
        <v>45782.13</v>
      </c>
      <c r="M2084">
        <v>10</v>
      </c>
      <c r="N2084">
        <v>82407.83</v>
      </c>
      <c r="O2084" t="s">
        <v>47</v>
      </c>
    </row>
    <row r="2085" spans="1:15" x14ac:dyDescent="0.3">
      <c r="A2085" t="s">
        <v>2153</v>
      </c>
      <c r="B2085" s="2">
        <v>47375</v>
      </c>
      <c r="C2085" t="s">
        <v>49</v>
      </c>
      <c r="D2085" t="str">
        <f t="shared" si="32"/>
        <v>September</v>
      </c>
      <c r="E2085" t="s">
        <v>77</v>
      </c>
      <c r="F2085" t="s">
        <v>40</v>
      </c>
      <c r="G2085" t="s">
        <v>75</v>
      </c>
      <c r="H2085" t="s">
        <v>45</v>
      </c>
      <c r="I2085" t="s">
        <v>20</v>
      </c>
      <c r="J2085" t="s">
        <v>28</v>
      </c>
      <c r="K2085">
        <v>1</v>
      </c>
      <c r="L2085">
        <v>4944.8999999999996</v>
      </c>
      <c r="M2085">
        <v>15</v>
      </c>
      <c r="N2085">
        <v>4203.17</v>
      </c>
      <c r="O2085" t="s">
        <v>47</v>
      </c>
    </row>
    <row r="2086" spans="1:15" x14ac:dyDescent="0.3">
      <c r="A2086" t="s">
        <v>2154</v>
      </c>
      <c r="B2086" s="2">
        <v>47376</v>
      </c>
      <c r="C2086" t="s">
        <v>31</v>
      </c>
      <c r="D2086" t="str">
        <f t="shared" si="32"/>
        <v>September</v>
      </c>
      <c r="E2086" t="s">
        <v>77</v>
      </c>
      <c r="F2086" t="s">
        <v>40</v>
      </c>
      <c r="G2086" t="s">
        <v>118</v>
      </c>
      <c r="H2086" t="s">
        <v>19</v>
      </c>
      <c r="I2086" t="s">
        <v>42</v>
      </c>
      <c r="J2086" t="s">
        <v>35</v>
      </c>
      <c r="K2086">
        <v>4</v>
      </c>
      <c r="L2086">
        <v>7821.38</v>
      </c>
      <c r="M2086">
        <v>0</v>
      </c>
      <c r="N2086">
        <v>31285.53</v>
      </c>
      <c r="O2086" t="s">
        <v>47</v>
      </c>
    </row>
    <row r="2087" spans="1:15" x14ac:dyDescent="0.3">
      <c r="A2087" t="s">
        <v>2155</v>
      </c>
      <c r="B2087" s="2">
        <v>47377</v>
      </c>
      <c r="C2087" t="s">
        <v>49</v>
      </c>
      <c r="D2087" t="str">
        <f t="shared" si="32"/>
        <v>September</v>
      </c>
      <c r="E2087" t="s">
        <v>39</v>
      </c>
      <c r="F2087" t="s">
        <v>25</v>
      </c>
      <c r="G2087" t="s">
        <v>26</v>
      </c>
      <c r="H2087" t="s">
        <v>33</v>
      </c>
      <c r="I2087" t="s">
        <v>34</v>
      </c>
      <c r="J2087" t="s">
        <v>35</v>
      </c>
      <c r="K2087">
        <v>1</v>
      </c>
      <c r="L2087">
        <v>1890.91</v>
      </c>
      <c r="M2087">
        <v>0</v>
      </c>
      <c r="N2087">
        <v>1890.91</v>
      </c>
      <c r="O2087" t="s">
        <v>29</v>
      </c>
    </row>
    <row r="2088" spans="1:15" x14ac:dyDescent="0.3">
      <c r="A2088" t="s">
        <v>2156</v>
      </c>
      <c r="B2088" s="2">
        <v>47378</v>
      </c>
      <c r="C2088" t="s">
        <v>38</v>
      </c>
      <c r="D2088" t="str">
        <f t="shared" si="32"/>
        <v>September</v>
      </c>
      <c r="E2088" t="s">
        <v>39</v>
      </c>
      <c r="F2088" t="s">
        <v>25</v>
      </c>
      <c r="G2088" t="s">
        <v>26</v>
      </c>
      <c r="H2088" t="s">
        <v>19</v>
      </c>
      <c r="I2088" t="s">
        <v>34</v>
      </c>
      <c r="J2088" t="s">
        <v>21</v>
      </c>
      <c r="K2088">
        <v>5</v>
      </c>
      <c r="L2088">
        <v>3054.76</v>
      </c>
      <c r="M2088">
        <v>5</v>
      </c>
      <c r="N2088">
        <v>14510.12</v>
      </c>
      <c r="O2088" t="s">
        <v>47</v>
      </c>
    </row>
    <row r="2089" spans="1:15" x14ac:dyDescent="0.3">
      <c r="A2089" t="s">
        <v>2157</v>
      </c>
      <c r="B2089" s="2">
        <v>47379</v>
      </c>
      <c r="C2089" t="s">
        <v>38</v>
      </c>
      <c r="D2089" t="str">
        <f t="shared" si="32"/>
        <v>September</v>
      </c>
      <c r="E2089" t="s">
        <v>16</v>
      </c>
      <c r="F2089" t="s">
        <v>17</v>
      </c>
      <c r="G2089" t="s">
        <v>63</v>
      </c>
      <c r="H2089" t="s">
        <v>45</v>
      </c>
      <c r="I2089" t="s">
        <v>34</v>
      </c>
      <c r="J2089" t="s">
        <v>46</v>
      </c>
      <c r="K2089">
        <v>5</v>
      </c>
      <c r="L2089">
        <v>49560.7</v>
      </c>
      <c r="M2089">
        <v>15</v>
      </c>
      <c r="N2089">
        <v>210632.98</v>
      </c>
      <c r="O2089" t="s">
        <v>29</v>
      </c>
    </row>
    <row r="2090" spans="1:15" x14ac:dyDescent="0.3">
      <c r="A2090" t="s">
        <v>2158</v>
      </c>
      <c r="B2090" s="2">
        <v>47380</v>
      </c>
      <c r="C2090" t="s">
        <v>15</v>
      </c>
      <c r="D2090" t="str">
        <f t="shared" si="32"/>
        <v>September</v>
      </c>
      <c r="E2090" t="s">
        <v>77</v>
      </c>
      <c r="F2090" t="s">
        <v>17</v>
      </c>
      <c r="G2090" t="s">
        <v>67</v>
      </c>
      <c r="H2090" t="s">
        <v>33</v>
      </c>
      <c r="I2090" t="s">
        <v>20</v>
      </c>
      <c r="J2090" t="s">
        <v>28</v>
      </c>
      <c r="K2090">
        <v>1</v>
      </c>
      <c r="L2090">
        <v>64518.400000000001</v>
      </c>
      <c r="M2090">
        <v>15</v>
      </c>
      <c r="N2090">
        <v>54840.639999999999</v>
      </c>
      <c r="O2090" t="s">
        <v>36</v>
      </c>
    </row>
    <row r="2091" spans="1:15" x14ac:dyDescent="0.3">
      <c r="A2091" t="s">
        <v>2159</v>
      </c>
      <c r="B2091" s="2">
        <v>47381</v>
      </c>
      <c r="C2091" t="s">
        <v>15</v>
      </c>
      <c r="D2091" t="str">
        <f t="shared" si="32"/>
        <v>September</v>
      </c>
      <c r="E2091" t="s">
        <v>39</v>
      </c>
      <c r="F2091" t="s">
        <v>53</v>
      </c>
      <c r="G2091" t="s">
        <v>129</v>
      </c>
      <c r="H2091" t="s">
        <v>45</v>
      </c>
      <c r="I2091" t="s">
        <v>34</v>
      </c>
      <c r="J2091" t="s">
        <v>43</v>
      </c>
      <c r="K2091">
        <v>2</v>
      </c>
      <c r="L2091">
        <v>31891.82</v>
      </c>
      <c r="M2091">
        <v>0</v>
      </c>
      <c r="N2091">
        <v>63783.65</v>
      </c>
      <c r="O2091" t="s">
        <v>47</v>
      </c>
    </row>
    <row r="2092" spans="1:15" x14ac:dyDescent="0.3">
      <c r="A2092" t="s">
        <v>2160</v>
      </c>
      <c r="B2092" s="2">
        <v>47382</v>
      </c>
      <c r="C2092" t="s">
        <v>38</v>
      </c>
      <c r="D2092" t="str">
        <f t="shared" si="32"/>
        <v>September</v>
      </c>
      <c r="E2092" t="s">
        <v>50</v>
      </c>
      <c r="F2092" t="s">
        <v>25</v>
      </c>
      <c r="G2092" t="s">
        <v>26</v>
      </c>
      <c r="H2092" t="s">
        <v>45</v>
      </c>
      <c r="I2092" t="s">
        <v>42</v>
      </c>
      <c r="J2092" t="s">
        <v>21</v>
      </c>
      <c r="K2092">
        <v>5</v>
      </c>
      <c r="L2092">
        <v>2537.96</v>
      </c>
      <c r="M2092">
        <v>20</v>
      </c>
      <c r="N2092">
        <v>10151.85</v>
      </c>
      <c r="O2092" t="s">
        <v>47</v>
      </c>
    </row>
    <row r="2093" spans="1:15" x14ac:dyDescent="0.3">
      <c r="A2093" t="s">
        <v>2161</v>
      </c>
      <c r="B2093" s="2">
        <v>47383</v>
      </c>
      <c r="C2093" t="s">
        <v>58</v>
      </c>
      <c r="D2093" t="str">
        <f t="shared" si="32"/>
        <v>September</v>
      </c>
      <c r="E2093" t="s">
        <v>100</v>
      </c>
      <c r="F2093" t="s">
        <v>53</v>
      </c>
      <c r="G2093" t="s">
        <v>105</v>
      </c>
      <c r="H2093" t="s">
        <v>33</v>
      </c>
      <c r="I2093" t="s">
        <v>42</v>
      </c>
      <c r="J2093" t="s">
        <v>28</v>
      </c>
      <c r="K2093">
        <v>5</v>
      </c>
      <c r="L2093">
        <v>38709.99</v>
      </c>
      <c r="M2093">
        <v>0</v>
      </c>
      <c r="N2093">
        <v>193549.96</v>
      </c>
      <c r="O2093" t="s">
        <v>47</v>
      </c>
    </row>
    <row r="2094" spans="1:15" x14ac:dyDescent="0.3">
      <c r="A2094" t="s">
        <v>2162</v>
      </c>
      <c r="B2094" s="2">
        <v>47384</v>
      </c>
      <c r="C2094" t="s">
        <v>49</v>
      </c>
      <c r="D2094" t="str">
        <f t="shared" si="32"/>
        <v>September</v>
      </c>
      <c r="E2094" t="s">
        <v>72</v>
      </c>
      <c r="F2094" t="s">
        <v>60</v>
      </c>
      <c r="G2094" t="s">
        <v>73</v>
      </c>
      <c r="H2094" t="s">
        <v>19</v>
      </c>
      <c r="I2094" t="s">
        <v>34</v>
      </c>
      <c r="J2094" t="s">
        <v>43</v>
      </c>
      <c r="K2094">
        <v>4</v>
      </c>
      <c r="L2094">
        <v>49159.23</v>
      </c>
      <c r="M2094">
        <v>10</v>
      </c>
      <c r="N2094">
        <v>176973.24</v>
      </c>
      <c r="O2094" t="s">
        <v>47</v>
      </c>
    </row>
    <row r="2095" spans="1:15" x14ac:dyDescent="0.3">
      <c r="A2095" t="s">
        <v>2163</v>
      </c>
      <c r="B2095" s="2">
        <v>47385</v>
      </c>
      <c r="C2095" t="s">
        <v>38</v>
      </c>
      <c r="D2095" t="str">
        <f t="shared" si="32"/>
        <v>September</v>
      </c>
      <c r="E2095" t="s">
        <v>100</v>
      </c>
      <c r="F2095" t="s">
        <v>40</v>
      </c>
      <c r="G2095" t="s">
        <v>115</v>
      </c>
      <c r="H2095" t="s">
        <v>33</v>
      </c>
      <c r="I2095" t="s">
        <v>34</v>
      </c>
      <c r="J2095" t="s">
        <v>28</v>
      </c>
      <c r="K2095">
        <v>3</v>
      </c>
      <c r="L2095">
        <v>6684.08</v>
      </c>
      <c r="M2095">
        <v>10</v>
      </c>
      <c r="N2095">
        <v>18047.009999999998</v>
      </c>
      <c r="O2095" t="s">
        <v>22</v>
      </c>
    </row>
    <row r="2096" spans="1:15" x14ac:dyDescent="0.3">
      <c r="A2096" t="s">
        <v>2164</v>
      </c>
      <c r="B2096" s="2">
        <v>47386</v>
      </c>
      <c r="C2096" t="s">
        <v>38</v>
      </c>
      <c r="D2096" t="str">
        <f t="shared" si="32"/>
        <v>September</v>
      </c>
      <c r="E2096" t="s">
        <v>100</v>
      </c>
      <c r="F2096" t="s">
        <v>25</v>
      </c>
      <c r="G2096" t="s">
        <v>81</v>
      </c>
      <c r="H2096" t="s">
        <v>27</v>
      </c>
      <c r="I2096" t="s">
        <v>20</v>
      </c>
      <c r="J2096" t="s">
        <v>43</v>
      </c>
      <c r="K2096">
        <v>3</v>
      </c>
      <c r="L2096">
        <v>2325.46</v>
      </c>
      <c r="M2096">
        <v>5</v>
      </c>
      <c r="N2096">
        <v>6627.56</v>
      </c>
      <c r="O2096" t="s">
        <v>47</v>
      </c>
    </row>
    <row r="2097" spans="1:15" x14ac:dyDescent="0.3">
      <c r="A2097" t="s">
        <v>2165</v>
      </c>
      <c r="B2097" s="2">
        <v>47387</v>
      </c>
      <c r="C2097" t="s">
        <v>49</v>
      </c>
      <c r="D2097" t="str">
        <f t="shared" si="32"/>
        <v>September</v>
      </c>
      <c r="E2097" t="s">
        <v>24</v>
      </c>
      <c r="F2097" t="s">
        <v>60</v>
      </c>
      <c r="G2097" t="s">
        <v>78</v>
      </c>
      <c r="H2097" t="s">
        <v>45</v>
      </c>
      <c r="I2097" t="s">
        <v>42</v>
      </c>
      <c r="J2097" t="s">
        <v>46</v>
      </c>
      <c r="K2097">
        <v>1</v>
      </c>
      <c r="L2097">
        <v>44239.95</v>
      </c>
      <c r="M2097">
        <v>10</v>
      </c>
      <c r="N2097">
        <v>39815.96</v>
      </c>
      <c r="O2097" t="s">
        <v>47</v>
      </c>
    </row>
    <row r="2098" spans="1:15" x14ac:dyDescent="0.3">
      <c r="A2098" t="s">
        <v>2166</v>
      </c>
      <c r="B2098" s="2">
        <v>47388</v>
      </c>
      <c r="C2098" t="s">
        <v>49</v>
      </c>
      <c r="D2098" t="str">
        <f t="shared" si="32"/>
        <v>September</v>
      </c>
      <c r="E2098" t="s">
        <v>39</v>
      </c>
      <c r="F2098" t="s">
        <v>25</v>
      </c>
      <c r="G2098" t="s">
        <v>81</v>
      </c>
      <c r="H2098" t="s">
        <v>45</v>
      </c>
      <c r="I2098" t="s">
        <v>20</v>
      </c>
      <c r="J2098" t="s">
        <v>21</v>
      </c>
      <c r="K2098">
        <v>1</v>
      </c>
      <c r="L2098">
        <v>2277.16</v>
      </c>
      <c r="M2098">
        <v>10</v>
      </c>
      <c r="N2098">
        <v>2049.44</v>
      </c>
      <c r="O2098" t="s">
        <v>47</v>
      </c>
    </row>
    <row r="2099" spans="1:15" x14ac:dyDescent="0.3">
      <c r="A2099" t="s">
        <v>2167</v>
      </c>
      <c r="B2099" s="2">
        <v>47389</v>
      </c>
      <c r="C2099" t="s">
        <v>58</v>
      </c>
      <c r="D2099" t="str">
        <f t="shared" si="32"/>
        <v>September</v>
      </c>
      <c r="E2099" t="s">
        <v>72</v>
      </c>
      <c r="F2099" t="s">
        <v>25</v>
      </c>
      <c r="G2099" t="s">
        <v>81</v>
      </c>
      <c r="H2099" t="s">
        <v>33</v>
      </c>
      <c r="I2099" t="s">
        <v>34</v>
      </c>
      <c r="J2099" t="s">
        <v>46</v>
      </c>
      <c r="K2099">
        <v>3</v>
      </c>
      <c r="L2099">
        <v>2202.94</v>
      </c>
      <c r="M2099">
        <v>15</v>
      </c>
      <c r="N2099">
        <v>5617.5</v>
      </c>
      <c r="O2099" t="s">
        <v>47</v>
      </c>
    </row>
    <row r="2100" spans="1:15" x14ac:dyDescent="0.3">
      <c r="A2100" t="s">
        <v>2168</v>
      </c>
      <c r="B2100" s="2">
        <v>47390</v>
      </c>
      <c r="C2100" t="s">
        <v>49</v>
      </c>
      <c r="D2100" t="str">
        <f t="shared" si="32"/>
        <v>September</v>
      </c>
      <c r="E2100" t="s">
        <v>50</v>
      </c>
      <c r="F2100" t="s">
        <v>40</v>
      </c>
      <c r="G2100" t="s">
        <v>115</v>
      </c>
      <c r="H2100" t="s">
        <v>27</v>
      </c>
      <c r="I2100" t="s">
        <v>42</v>
      </c>
      <c r="J2100" t="s">
        <v>35</v>
      </c>
      <c r="K2100">
        <v>5</v>
      </c>
      <c r="L2100">
        <v>7241.98</v>
      </c>
      <c r="M2100">
        <v>0</v>
      </c>
      <c r="N2100">
        <v>36209.910000000003</v>
      </c>
      <c r="O2100" t="s">
        <v>47</v>
      </c>
    </row>
    <row r="2101" spans="1:15" x14ac:dyDescent="0.3">
      <c r="A2101" t="s">
        <v>2169</v>
      </c>
      <c r="B2101" s="2">
        <v>47391</v>
      </c>
      <c r="C2101" t="s">
        <v>31</v>
      </c>
      <c r="D2101" t="str">
        <f t="shared" si="32"/>
        <v>September</v>
      </c>
      <c r="E2101" t="s">
        <v>16</v>
      </c>
      <c r="F2101" t="s">
        <v>60</v>
      </c>
      <c r="G2101" t="s">
        <v>73</v>
      </c>
      <c r="H2101" t="s">
        <v>27</v>
      </c>
      <c r="I2101" t="s">
        <v>20</v>
      </c>
      <c r="J2101" t="s">
        <v>43</v>
      </c>
      <c r="K2101">
        <v>3</v>
      </c>
      <c r="L2101">
        <v>34712.17</v>
      </c>
      <c r="M2101">
        <v>5</v>
      </c>
      <c r="N2101">
        <v>98929.69</v>
      </c>
      <c r="O2101" t="s">
        <v>47</v>
      </c>
    </row>
    <row r="2102" spans="1:15" x14ac:dyDescent="0.3">
      <c r="A2102" t="s">
        <v>2170</v>
      </c>
      <c r="B2102" s="2">
        <v>47392</v>
      </c>
      <c r="C2102" t="s">
        <v>15</v>
      </c>
      <c r="D2102" t="str">
        <f t="shared" si="32"/>
        <v>October</v>
      </c>
      <c r="E2102" t="s">
        <v>24</v>
      </c>
      <c r="F2102" t="s">
        <v>60</v>
      </c>
      <c r="G2102" t="s">
        <v>73</v>
      </c>
      <c r="H2102" t="s">
        <v>45</v>
      </c>
      <c r="I2102" t="s">
        <v>34</v>
      </c>
      <c r="J2102" t="s">
        <v>21</v>
      </c>
      <c r="K2102">
        <v>2</v>
      </c>
      <c r="L2102">
        <v>43332.49</v>
      </c>
      <c r="M2102">
        <v>10</v>
      </c>
      <c r="N2102">
        <v>77998.48</v>
      </c>
      <c r="O2102" t="s">
        <v>47</v>
      </c>
    </row>
    <row r="2103" spans="1:15" x14ac:dyDescent="0.3">
      <c r="A2103" t="s">
        <v>2171</v>
      </c>
      <c r="B2103" s="2">
        <v>47393</v>
      </c>
      <c r="C2103" t="s">
        <v>15</v>
      </c>
      <c r="D2103" t="str">
        <f t="shared" si="32"/>
        <v>October</v>
      </c>
      <c r="E2103" t="s">
        <v>100</v>
      </c>
      <c r="F2103" t="s">
        <v>25</v>
      </c>
      <c r="G2103" t="s">
        <v>92</v>
      </c>
      <c r="H2103" t="s">
        <v>33</v>
      </c>
      <c r="I2103" t="s">
        <v>42</v>
      </c>
      <c r="J2103" t="s">
        <v>28</v>
      </c>
      <c r="K2103">
        <v>2</v>
      </c>
      <c r="L2103">
        <v>3005.95</v>
      </c>
      <c r="M2103">
        <v>20</v>
      </c>
      <c r="N2103">
        <v>4809.53</v>
      </c>
      <c r="O2103" t="s">
        <v>29</v>
      </c>
    </row>
    <row r="2104" spans="1:15" x14ac:dyDescent="0.3">
      <c r="A2104" t="s">
        <v>2172</v>
      </c>
      <c r="B2104" s="2">
        <v>47394</v>
      </c>
      <c r="C2104" t="s">
        <v>38</v>
      </c>
      <c r="D2104" t="str">
        <f t="shared" si="32"/>
        <v>October</v>
      </c>
      <c r="E2104" t="s">
        <v>77</v>
      </c>
      <c r="F2104" t="s">
        <v>17</v>
      </c>
      <c r="G2104" t="s">
        <v>67</v>
      </c>
      <c r="H2104" t="s">
        <v>33</v>
      </c>
      <c r="I2104" t="s">
        <v>42</v>
      </c>
      <c r="J2104" t="s">
        <v>46</v>
      </c>
      <c r="K2104">
        <v>1</v>
      </c>
      <c r="L2104">
        <v>61228.29</v>
      </c>
      <c r="M2104">
        <v>20</v>
      </c>
      <c r="N2104">
        <v>48982.63</v>
      </c>
      <c r="O2104" t="s">
        <v>29</v>
      </c>
    </row>
    <row r="2105" spans="1:15" x14ac:dyDescent="0.3">
      <c r="A2105" t="s">
        <v>2173</v>
      </c>
      <c r="B2105" s="2">
        <v>47395</v>
      </c>
      <c r="C2105" t="s">
        <v>15</v>
      </c>
      <c r="D2105" t="str">
        <f t="shared" si="32"/>
        <v>October</v>
      </c>
      <c r="E2105" t="s">
        <v>77</v>
      </c>
      <c r="F2105" t="s">
        <v>25</v>
      </c>
      <c r="G2105" t="s">
        <v>92</v>
      </c>
      <c r="H2105" t="s">
        <v>27</v>
      </c>
      <c r="I2105" t="s">
        <v>20</v>
      </c>
      <c r="J2105" t="s">
        <v>35</v>
      </c>
      <c r="K2105">
        <v>5</v>
      </c>
      <c r="L2105">
        <v>1995.12</v>
      </c>
      <c r="M2105">
        <v>0</v>
      </c>
      <c r="N2105">
        <v>9975.6200000000008</v>
      </c>
      <c r="O2105" t="s">
        <v>22</v>
      </c>
    </row>
    <row r="2106" spans="1:15" x14ac:dyDescent="0.3">
      <c r="A2106" t="s">
        <v>2174</v>
      </c>
      <c r="B2106" s="2">
        <v>47396</v>
      </c>
      <c r="C2106" t="s">
        <v>31</v>
      </c>
      <c r="D2106" t="str">
        <f t="shared" si="32"/>
        <v>October</v>
      </c>
      <c r="E2106" t="s">
        <v>50</v>
      </c>
      <c r="F2106" t="s">
        <v>53</v>
      </c>
      <c r="G2106" t="s">
        <v>54</v>
      </c>
      <c r="H2106" t="s">
        <v>45</v>
      </c>
      <c r="I2106" t="s">
        <v>20</v>
      </c>
      <c r="J2106" t="s">
        <v>43</v>
      </c>
      <c r="K2106">
        <v>4</v>
      </c>
      <c r="L2106">
        <v>33970.519999999997</v>
      </c>
      <c r="M2106">
        <v>10</v>
      </c>
      <c r="N2106">
        <v>122293.87</v>
      </c>
      <c r="O2106" t="s">
        <v>36</v>
      </c>
    </row>
    <row r="2107" spans="1:15" x14ac:dyDescent="0.3">
      <c r="A2107" t="s">
        <v>2175</v>
      </c>
      <c r="B2107" s="2">
        <v>47397</v>
      </c>
      <c r="C2107" t="s">
        <v>49</v>
      </c>
      <c r="D2107" t="str">
        <f t="shared" si="32"/>
        <v>October</v>
      </c>
      <c r="E2107" t="s">
        <v>24</v>
      </c>
      <c r="F2107" t="s">
        <v>40</v>
      </c>
      <c r="G2107" t="s">
        <v>41</v>
      </c>
      <c r="H2107" t="s">
        <v>33</v>
      </c>
      <c r="I2107" t="s">
        <v>42</v>
      </c>
      <c r="J2107" t="s">
        <v>21</v>
      </c>
      <c r="K2107">
        <v>3</v>
      </c>
      <c r="L2107">
        <v>7367.56</v>
      </c>
      <c r="M2107">
        <v>20</v>
      </c>
      <c r="N2107">
        <v>17682.150000000001</v>
      </c>
      <c r="O2107" t="s">
        <v>47</v>
      </c>
    </row>
    <row r="2108" spans="1:15" x14ac:dyDescent="0.3">
      <c r="A2108" t="s">
        <v>2176</v>
      </c>
      <c r="B2108" s="2">
        <v>47398</v>
      </c>
      <c r="C2108" t="s">
        <v>38</v>
      </c>
      <c r="D2108" t="str">
        <f t="shared" si="32"/>
        <v>October</v>
      </c>
      <c r="E2108" t="s">
        <v>72</v>
      </c>
      <c r="F2108" t="s">
        <v>40</v>
      </c>
      <c r="G2108" t="s">
        <v>75</v>
      </c>
      <c r="H2108" t="s">
        <v>45</v>
      </c>
      <c r="I2108" t="s">
        <v>42</v>
      </c>
      <c r="J2108" t="s">
        <v>46</v>
      </c>
      <c r="K2108">
        <v>5</v>
      </c>
      <c r="L2108">
        <v>7042.42</v>
      </c>
      <c r="M2108">
        <v>15</v>
      </c>
      <c r="N2108">
        <v>29930.27</v>
      </c>
      <c r="O2108" t="s">
        <v>47</v>
      </c>
    </row>
    <row r="2109" spans="1:15" x14ac:dyDescent="0.3">
      <c r="A2109" t="s">
        <v>2177</v>
      </c>
      <c r="B2109" s="2">
        <v>47399</v>
      </c>
      <c r="C2109" t="s">
        <v>31</v>
      </c>
      <c r="D2109" t="str">
        <f t="shared" si="32"/>
        <v>October</v>
      </c>
      <c r="E2109" t="s">
        <v>77</v>
      </c>
      <c r="F2109" t="s">
        <v>40</v>
      </c>
      <c r="G2109" t="s">
        <v>118</v>
      </c>
      <c r="H2109" t="s">
        <v>19</v>
      </c>
      <c r="I2109" t="s">
        <v>20</v>
      </c>
      <c r="J2109" t="s">
        <v>35</v>
      </c>
      <c r="K2109">
        <v>1</v>
      </c>
      <c r="L2109">
        <v>5368.62</v>
      </c>
      <c r="M2109">
        <v>0</v>
      </c>
      <c r="N2109">
        <v>5368.62</v>
      </c>
      <c r="O2109" t="s">
        <v>47</v>
      </c>
    </row>
    <row r="2110" spans="1:15" x14ac:dyDescent="0.3">
      <c r="A2110" t="s">
        <v>2178</v>
      </c>
      <c r="B2110" s="2">
        <v>47400</v>
      </c>
      <c r="C2110" t="s">
        <v>58</v>
      </c>
      <c r="D2110" t="str">
        <f t="shared" si="32"/>
        <v>October</v>
      </c>
      <c r="E2110" t="s">
        <v>16</v>
      </c>
      <c r="F2110" t="s">
        <v>25</v>
      </c>
      <c r="G2110" t="s">
        <v>81</v>
      </c>
      <c r="H2110" t="s">
        <v>27</v>
      </c>
      <c r="I2110" t="s">
        <v>42</v>
      </c>
      <c r="J2110" t="s">
        <v>28</v>
      </c>
      <c r="K2110">
        <v>4</v>
      </c>
      <c r="L2110">
        <v>2230.13</v>
      </c>
      <c r="M2110">
        <v>5</v>
      </c>
      <c r="N2110">
        <v>8474.49</v>
      </c>
      <c r="O2110" t="s">
        <v>47</v>
      </c>
    </row>
    <row r="2111" spans="1:15" x14ac:dyDescent="0.3">
      <c r="A2111" t="s">
        <v>2179</v>
      </c>
      <c r="B2111" s="2">
        <v>47401</v>
      </c>
      <c r="C2111" t="s">
        <v>49</v>
      </c>
      <c r="D2111" t="str">
        <f t="shared" si="32"/>
        <v>October</v>
      </c>
      <c r="E2111" t="s">
        <v>24</v>
      </c>
      <c r="F2111" t="s">
        <v>17</v>
      </c>
      <c r="G2111" t="s">
        <v>123</v>
      </c>
      <c r="H2111" t="s">
        <v>19</v>
      </c>
      <c r="I2111" t="s">
        <v>20</v>
      </c>
      <c r="J2111" t="s">
        <v>35</v>
      </c>
      <c r="K2111">
        <v>1</v>
      </c>
      <c r="L2111">
        <v>56611.37</v>
      </c>
      <c r="M2111">
        <v>5</v>
      </c>
      <c r="N2111">
        <v>53780.800000000003</v>
      </c>
      <c r="O2111" t="s">
        <v>22</v>
      </c>
    </row>
    <row r="2112" spans="1:15" x14ac:dyDescent="0.3">
      <c r="A2112" t="s">
        <v>2180</v>
      </c>
      <c r="B2112" s="2">
        <v>47402</v>
      </c>
      <c r="C2112" t="s">
        <v>31</v>
      </c>
      <c r="D2112" t="str">
        <f t="shared" si="32"/>
        <v>October</v>
      </c>
      <c r="E2112" t="s">
        <v>50</v>
      </c>
      <c r="F2112" t="s">
        <v>25</v>
      </c>
      <c r="G2112" t="s">
        <v>56</v>
      </c>
      <c r="H2112" t="s">
        <v>19</v>
      </c>
      <c r="I2112" t="s">
        <v>42</v>
      </c>
      <c r="J2112" t="s">
        <v>43</v>
      </c>
      <c r="K2112">
        <v>5</v>
      </c>
      <c r="L2112">
        <v>2015.34</v>
      </c>
      <c r="M2112">
        <v>0</v>
      </c>
      <c r="N2112">
        <v>10076.709999999999</v>
      </c>
      <c r="O2112" t="s">
        <v>29</v>
      </c>
    </row>
    <row r="2113" spans="1:15" x14ac:dyDescent="0.3">
      <c r="A2113" t="s">
        <v>2181</v>
      </c>
      <c r="B2113" s="2">
        <v>47403</v>
      </c>
      <c r="C2113" t="s">
        <v>49</v>
      </c>
      <c r="D2113" t="str">
        <f t="shared" si="32"/>
        <v>October</v>
      </c>
      <c r="E2113" t="s">
        <v>100</v>
      </c>
      <c r="F2113" t="s">
        <v>25</v>
      </c>
      <c r="G2113" t="s">
        <v>92</v>
      </c>
      <c r="H2113" t="s">
        <v>19</v>
      </c>
      <c r="I2113" t="s">
        <v>42</v>
      </c>
      <c r="J2113" t="s">
        <v>43</v>
      </c>
      <c r="K2113">
        <v>2</v>
      </c>
      <c r="L2113">
        <v>2561.7800000000002</v>
      </c>
      <c r="M2113">
        <v>0</v>
      </c>
      <c r="N2113">
        <v>5123.5600000000004</v>
      </c>
      <c r="O2113" t="s">
        <v>47</v>
      </c>
    </row>
    <row r="2114" spans="1:15" x14ac:dyDescent="0.3">
      <c r="A2114" t="s">
        <v>2182</v>
      </c>
      <c r="B2114" s="2">
        <v>47404</v>
      </c>
      <c r="C2114" t="s">
        <v>58</v>
      </c>
      <c r="D2114" t="str">
        <f t="shared" si="32"/>
        <v>October</v>
      </c>
      <c r="E2114" t="s">
        <v>72</v>
      </c>
      <c r="F2114" t="s">
        <v>60</v>
      </c>
      <c r="G2114" t="s">
        <v>61</v>
      </c>
      <c r="H2114" t="s">
        <v>19</v>
      </c>
      <c r="I2114" t="s">
        <v>34</v>
      </c>
      <c r="J2114" t="s">
        <v>28</v>
      </c>
      <c r="K2114">
        <v>2</v>
      </c>
      <c r="L2114">
        <v>50775.02</v>
      </c>
      <c r="M2114">
        <v>20</v>
      </c>
      <c r="N2114">
        <v>81240.03</v>
      </c>
      <c r="O2114" t="s">
        <v>29</v>
      </c>
    </row>
    <row r="2115" spans="1:15" x14ac:dyDescent="0.3">
      <c r="A2115" t="s">
        <v>2183</v>
      </c>
      <c r="B2115" s="2">
        <v>47405</v>
      </c>
      <c r="C2115" t="s">
        <v>49</v>
      </c>
      <c r="D2115" t="str">
        <f t="shared" ref="D2115:D2178" si="33">TEXT(B2115,"mmmm")</f>
        <v>October</v>
      </c>
      <c r="E2115" t="s">
        <v>32</v>
      </c>
      <c r="F2115" t="s">
        <v>17</v>
      </c>
      <c r="G2115" t="s">
        <v>123</v>
      </c>
      <c r="H2115" t="s">
        <v>45</v>
      </c>
      <c r="I2115" t="s">
        <v>42</v>
      </c>
      <c r="J2115" t="s">
        <v>21</v>
      </c>
      <c r="K2115">
        <v>4</v>
      </c>
      <c r="L2115">
        <v>55175.21</v>
      </c>
      <c r="M2115">
        <v>10</v>
      </c>
      <c r="N2115">
        <v>198630.74</v>
      </c>
      <c r="O2115" t="s">
        <v>47</v>
      </c>
    </row>
    <row r="2116" spans="1:15" x14ac:dyDescent="0.3">
      <c r="A2116" t="s">
        <v>2184</v>
      </c>
      <c r="B2116" s="2">
        <v>47406</v>
      </c>
      <c r="C2116" t="s">
        <v>31</v>
      </c>
      <c r="D2116" t="str">
        <f t="shared" si="33"/>
        <v>October</v>
      </c>
      <c r="E2116" t="s">
        <v>24</v>
      </c>
      <c r="F2116" t="s">
        <v>53</v>
      </c>
      <c r="G2116" t="s">
        <v>105</v>
      </c>
      <c r="H2116" t="s">
        <v>45</v>
      </c>
      <c r="I2116" t="s">
        <v>42</v>
      </c>
      <c r="J2116" t="s">
        <v>35</v>
      </c>
      <c r="K2116">
        <v>5</v>
      </c>
      <c r="L2116">
        <v>39638.550000000003</v>
      </c>
      <c r="M2116">
        <v>15</v>
      </c>
      <c r="N2116">
        <v>168463.85</v>
      </c>
      <c r="O2116" t="s">
        <v>47</v>
      </c>
    </row>
    <row r="2117" spans="1:15" x14ac:dyDescent="0.3">
      <c r="A2117" t="s">
        <v>2185</v>
      </c>
      <c r="B2117" s="2">
        <v>47407</v>
      </c>
      <c r="C2117" t="s">
        <v>38</v>
      </c>
      <c r="D2117" t="str">
        <f t="shared" si="33"/>
        <v>October</v>
      </c>
      <c r="E2117" t="s">
        <v>39</v>
      </c>
      <c r="F2117" t="s">
        <v>40</v>
      </c>
      <c r="G2117" t="s">
        <v>118</v>
      </c>
      <c r="H2117" t="s">
        <v>45</v>
      </c>
      <c r="I2117" t="s">
        <v>42</v>
      </c>
      <c r="J2117" t="s">
        <v>35</v>
      </c>
      <c r="K2117">
        <v>5</v>
      </c>
      <c r="L2117">
        <v>5811.05</v>
      </c>
      <c r="M2117">
        <v>5</v>
      </c>
      <c r="N2117">
        <v>27602.48</v>
      </c>
      <c r="O2117" t="s">
        <v>36</v>
      </c>
    </row>
    <row r="2118" spans="1:15" x14ac:dyDescent="0.3">
      <c r="A2118" t="s">
        <v>2186</v>
      </c>
      <c r="B2118" s="2">
        <v>47408</v>
      </c>
      <c r="C2118" t="s">
        <v>49</v>
      </c>
      <c r="D2118" t="str">
        <f t="shared" si="33"/>
        <v>October</v>
      </c>
      <c r="E2118" t="s">
        <v>39</v>
      </c>
      <c r="F2118" t="s">
        <v>17</v>
      </c>
      <c r="G2118" t="s">
        <v>123</v>
      </c>
      <c r="H2118" t="s">
        <v>33</v>
      </c>
      <c r="I2118" t="s">
        <v>42</v>
      </c>
      <c r="J2118" t="s">
        <v>21</v>
      </c>
      <c r="K2118">
        <v>4</v>
      </c>
      <c r="L2118">
        <v>58159.97</v>
      </c>
      <c r="M2118">
        <v>0</v>
      </c>
      <c r="N2118">
        <v>232639.87</v>
      </c>
      <c r="O2118" t="s">
        <v>29</v>
      </c>
    </row>
    <row r="2119" spans="1:15" x14ac:dyDescent="0.3">
      <c r="A2119" t="s">
        <v>2187</v>
      </c>
      <c r="B2119" s="2">
        <v>47409</v>
      </c>
      <c r="C2119" t="s">
        <v>15</v>
      </c>
      <c r="D2119" t="str">
        <f t="shared" si="33"/>
        <v>October</v>
      </c>
      <c r="E2119" t="s">
        <v>100</v>
      </c>
      <c r="F2119" t="s">
        <v>25</v>
      </c>
      <c r="G2119" t="s">
        <v>81</v>
      </c>
      <c r="H2119" t="s">
        <v>33</v>
      </c>
      <c r="I2119" t="s">
        <v>20</v>
      </c>
      <c r="J2119" t="s">
        <v>35</v>
      </c>
      <c r="K2119">
        <v>2</v>
      </c>
      <c r="L2119">
        <v>1925.38</v>
      </c>
      <c r="M2119">
        <v>5</v>
      </c>
      <c r="N2119">
        <v>3658.23</v>
      </c>
      <c r="O2119" t="s">
        <v>47</v>
      </c>
    </row>
    <row r="2120" spans="1:15" x14ac:dyDescent="0.3">
      <c r="A2120" t="s">
        <v>2188</v>
      </c>
      <c r="B2120" s="2">
        <v>47410</v>
      </c>
      <c r="C2120" t="s">
        <v>31</v>
      </c>
      <c r="D2120" t="str">
        <f t="shared" si="33"/>
        <v>October</v>
      </c>
      <c r="E2120" t="s">
        <v>72</v>
      </c>
      <c r="F2120" t="s">
        <v>60</v>
      </c>
      <c r="G2120" t="s">
        <v>61</v>
      </c>
      <c r="H2120" t="s">
        <v>27</v>
      </c>
      <c r="I2120" t="s">
        <v>34</v>
      </c>
      <c r="J2120" t="s">
        <v>43</v>
      </c>
      <c r="K2120">
        <v>4</v>
      </c>
      <c r="L2120">
        <v>32542.03</v>
      </c>
      <c r="M2120">
        <v>15</v>
      </c>
      <c r="N2120">
        <v>110642.91</v>
      </c>
      <c r="O2120" t="s">
        <v>22</v>
      </c>
    </row>
    <row r="2121" spans="1:15" x14ac:dyDescent="0.3">
      <c r="A2121" t="s">
        <v>2189</v>
      </c>
      <c r="B2121" s="2">
        <v>47411</v>
      </c>
      <c r="C2121" t="s">
        <v>38</v>
      </c>
      <c r="D2121" t="str">
        <f t="shared" si="33"/>
        <v>October</v>
      </c>
      <c r="E2121" t="s">
        <v>77</v>
      </c>
      <c r="F2121" t="s">
        <v>25</v>
      </c>
      <c r="G2121" t="s">
        <v>26</v>
      </c>
      <c r="H2121" t="s">
        <v>19</v>
      </c>
      <c r="I2121" t="s">
        <v>42</v>
      </c>
      <c r="J2121" t="s">
        <v>21</v>
      </c>
      <c r="K2121">
        <v>4</v>
      </c>
      <c r="L2121">
        <v>2792.75</v>
      </c>
      <c r="M2121">
        <v>0</v>
      </c>
      <c r="N2121">
        <v>11170.99</v>
      </c>
      <c r="O2121" t="s">
        <v>36</v>
      </c>
    </row>
    <row r="2122" spans="1:15" x14ac:dyDescent="0.3">
      <c r="A2122" t="s">
        <v>2190</v>
      </c>
      <c r="B2122" s="2">
        <v>47412</v>
      </c>
      <c r="C2122" t="s">
        <v>58</v>
      </c>
      <c r="D2122" t="str">
        <f t="shared" si="33"/>
        <v>October</v>
      </c>
      <c r="E2122" t="s">
        <v>52</v>
      </c>
      <c r="F2122" t="s">
        <v>40</v>
      </c>
      <c r="G2122" t="s">
        <v>41</v>
      </c>
      <c r="H2122" t="s">
        <v>33</v>
      </c>
      <c r="I2122" t="s">
        <v>42</v>
      </c>
      <c r="J2122" t="s">
        <v>35</v>
      </c>
      <c r="K2122">
        <v>1</v>
      </c>
      <c r="L2122">
        <v>5905.06</v>
      </c>
      <c r="M2122">
        <v>0</v>
      </c>
      <c r="N2122">
        <v>5905.06</v>
      </c>
      <c r="O2122" t="s">
        <v>29</v>
      </c>
    </row>
    <row r="2123" spans="1:15" x14ac:dyDescent="0.3">
      <c r="A2123" t="s">
        <v>2191</v>
      </c>
      <c r="B2123" s="2">
        <v>47413</v>
      </c>
      <c r="C2123" t="s">
        <v>15</v>
      </c>
      <c r="D2123" t="str">
        <f t="shared" si="33"/>
        <v>October</v>
      </c>
      <c r="E2123" t="s">
        <v>24</v>
      </c>
      <c r="F2123" t="s">
        <v>53</v>
      </c>
      <c r="G2123" t="s">
        <v>65</v>
      </c>
      <c r="H2123" t="s">
        <v>45</v>
      </c>
      <c r="I2123" t="s">
        <v>34</v>
      </c>
      <c r="J2123" t="s">
        <v>28</v>
      </c>
      <c r="K2123">
        <v>3</v>
      </c>
      <c r="L2123">
        <v>35125.300000000003</v>
      </c>
      <c r="M2123">
        <v>5</v>
      </c>
      <c r="N2123">
        <v>100107.11</v>
      </c>
      <c r="O2123" t="s">
        <v>47</v>
      </c>
    </row>
    <row r="2124" spans="1:15" x14ac:dyDescent="0.3">
      <c r="A2124" t="s">
        <v>2192</v>
      </c>
      <c r="B2124" s="2">
        <v>47414</v>
      </c>
      <c r="C2124" t="s">
        <v>49</v>
      </c>
      <c r="D2124" t="str">
        <f t="shared" si="33"/>
        <v>October</v>
      </c>
      <c r="E2124" t="s">
        <v>69</v>
      </c>
      <c r="F2124" t="s">
        <v>40</v>
      </c>
      <c r="G2124" t="s">
        <v>118</v>
      </c>
      <c r="H2124" t="s">
        <v>33</v>
      </c>
      <c r="I2124" t="s">
        <v>34</v>
      </c>
      <c r="J2124" t="s">
        <v>35</v>
      </c>
      <c r="K2124">
        <v>2</v>
      </c>
      <c r="L2124">
        <v>5085.26</v>
      </c>
      <c r="M2124">
        <v>10</v>
      </c>
      <c r="N2124">
        <v>9153.4699999999993</v>
      </c>
      <c r="O2124" t="s">
        <v>29</v>
      </c>
    </row>
    <row r="2125" spans="1:15" x14ac:dyDescent="0.3">
      <c r="A2125" t="s">
        <v>2193</v>
      </c>
      <c r="B2125" s="2">
        <v>47415</v>
      </c>
      <c r="C2125" t="s">
        <v>58</v>
      </c>
      <c r="D2125" t="str">
        <f t="shared" si="33"/>
        <v>October</v>
      </c>
      <c r="E2125" t="s">
        <v>24</v>
      </c>
      <c r="F2125" t="s">
        <v>60</v>
      </c>
      <c r="G2125" t="s">
        <v>70</v>
      </c>
      <c r="H2125" t="s">
        <v>45</v>
      </c>
      <c r="I2125" t="s">
        <v>34</v>
      </c>
      <c r="J2125" t="s">
        <v>28</v>
      </c>
      <c r="K2125">
        <v>5</v>
      </c>
      <c r="L2125">
        <v>34790.120000000003</v>
      </c>
      <c r="M2125">
        <v>0</v>
      </c>
      <c r="N2125">
        <v>173950.61</v>
      </c>
      <c r="O2125" t="s">
        <v>47</v>
      </c>
    </row>
    <row r="2126" spans="1:15" x14ac:dyDescent="0.3">
      <c r="A2126" t="s">
        <v>2194</v>
      </c>
      <c r="B2126" s="2">
        <v>47416</v>
      </c>
      <c r="C2126" t="s">
        <v>58</v>
      </c>
      <c r="D2126" t="str">
        <f t="shared" si="33"/>
        <v>October</v>
      </c>
      <c r="E2126" t="s">
        <v>77</v>
      </c>
      <c r="F2126" t="s">
        <v>60</v>
      </c>
      <c r="G2126" t="s">
        <v>73</v>
      </c>
      <c r="H2126" t="s">
        <v>45</v>
      </c>
      <c r="I2126" t="s">
        <v>34</v>
      </c>
      <c r="J2126" t="s">
        <v>46</v>
      </c>
      <c r="K2126">
        <v>3</v>
      </c>
      <c r="L2126">
        <v>43896.639999999999</v>
      </c>
      <c r="M2126">
        <v>5</v>
      </c>
      <c r="N2126">
        <v>125105.42</v>
      </c>
      <c r="O2126" t="s">
        <v>47</v>
      </c>
    </row>
    <row r="2127" spans="1:15" x14ac:dyDescent="0.3">
      <c r="A2127" t="s">
        <v>2195</v>
      </c>
      <c r="B2127" s="2">
        <v>47417</v>
      </c>
      <c r="C2127" t="s">
        <v>58</v>
      </c>
      <c r="D2127" t="str">
        <f t="shared" si="33"/>
        <v>October</v>
      </c>
      <c r="E2127" t="s">
        <v>77</v>
      </c>
      <c r="F2127" t="s">
        <v>60</v>
      </c>
      <c r="G2127" t="s">
        <v>73</v>
      </c>
      <c r="H2127" t="s">
        <v>45</v>
      </c>
      <c r="I2127" t="s">
        <v>42</v>
      </c>
      <c r="J2127" t="s">
        <v>28</v>
      </c>
      <c r="K2127">
        <v>4</v>
      </c>
      <c r="L2127">
        <v>44612.44</v>
      </c>
      <c r="M2127">
        <v>20</v>
      </c>
      <c r="N2127">
        <v>142759.82</v>
      </c>
      <c r="O2127" t="s">
        <v>47</v>
      </c>
    </row>
    <row r="2128" spans="1:15" x14ac:dyDescent="0.3">
      <c r="A2128" t="s">
        <v>2196</v>
      </c>
      <c r="B2128" s="2">
        <v>47418</v>
      </c>
      <c r="C2128" t="s">
        <v>31</v>
      </c>
      <c r="D2128" t="str">
        <f t="shared" si="33"/>
        <v>October</v>
      </c>
      <c r="E2128" t="s">
        <v>52</v>
      </c>
      <c r="F2128" t="s">
        <v>17</v>
      </c>
      <c r="G2128" t="s">
        <v>18</v>
      </c>
      <c r="H2128" t="s">
        <v>33</v>
      </c>
      <c r="I2128" t="s">
        <v>20</v>
      </c>
      <c r="J2128" t="s">
        <v>28</v>
      </c>
      <c r="K2128">
        <v>5</v>
      </c>
      <c r="L2128">
        <v>70597.94</v>
      </c>
      <c r="M2128">
        <v>0</v>
      </c>
      <c r="N2128">
        <v>352989.68</v>
      </c>
      <c r="O2128" t="s">
        <v>22</v>
      </c>
    </row>
    <row r="2129" spans="1:15" x14ac:dyDescent="0.3">
      <c r="A2129" t="s">
        <v>2197</v>
      </c>
      <c r="B2129" s="2">
        <v>47419</v>
      </c>
      <c r="C2129" t="s">
        <v>15</v>
      </c>
      <c r="D2129" t="str">
        <f t="shared" si="33"/>
        <v>October</v>
      </c>
      <c r="E2129" t="s">
        <v>32</v>
      </c>
      <c r="F2129" t="s">
        <v>40</v>
      </c>
      <c r="G2129" t="s">
        <v>75</v>
      </c>
      <c r="H2129" t="s">
        <v>19</v>
      </c>
      <c r="I2129" t="s">
        <v>20</v>
      </c>
      <c r="J2129" t="s">
        <v>43</v>
      </c>
      <c r="K2129">
        <v>1</v>
      </c>
      <c r="L2129">
        <v>5597.06</v>
      </c>
      <c r="M2129">
        <v>20</v>
      </c>
      <c r="N2129">
        <v>4477.6499999999996</v>
      </c>
      <c r="O2129" t="s">
        <v>29</v>
      </c>
    </row>
    <row r="2130" spans="1:15" x14ac:dyDescent="0.3">
      <c r="A2130" t="s">
        <v>2198</v>
      </c>
      <c r="B2130" s="2">
        <v>47420</v>
      </c>
      <c r="C2130" t="s">
        <v>15</v>
      </c>
      <c r="D2130" t="str">
        <f t="shared" si="33"/>
        <v>October</v>
      </c>
      <c r="E2130" t="s">
        <v>72</v>
      </c>
      <c r="F2130" t="s">
        <v>60</v>
      </c>
      <c r="G2130" t="s">
        <v>61</v>
      </c>
      <c r="H2130" t="s">
        <v>45</v>
      </c>
      <c r="I2130" t="s">
        <v>42</v>
      </c>
      <c r="J2130" t="s">
        <v>35</v>
      </c>
      <c r="K2130">
        <v>4</v>
      </c>
      <c r="L2130">
        <v>40191.050000000003</v>
      </c>
      <c r="M2130">
        <v>10</v>
      </c>
      <c r="N2130">
        <v>144687.78</v>
      </c>
      <c r="O2130" t="s">
        <v>47</v>
      </c>
    </row>
    <row r="2131" spans="1:15" x14ac:dyDescent="0.3">
      <c r="A2131" t="s">
        <v>2199</v>
      </c>
      <c r="B2131" s="2">
        <v>47421</v>
      </c>
      <c r="C2131" t="s">
        <v>15</v>
      </c>
      <c r="D2131" t="str">
        <f t="shared" si="33"/>
        <v>October</v>
      </c>
      <c r="E2131" t="s">
        <v>16</v>
      </c>
      <c r="F2131" t="s">
        <v>17</v>
      </c>
      <c r="G2131" t="s">
        <v>63</v>
      </c>
      <c r="H2131" t="s">
        <v>19</v>
      </c>
      <c r="I2131" t="s">
        <v>42</v>
      </c>
      <c r="J2131" t="s">
        <v>43</v>
      </c>
      <c r="K2131">
        <v>5</v>
      </c>
      <c r="L2131">
        <v>61987.77</v>
      </c>
      <c r="M2131">
        <v>5</v>
      </c>
      <c r="N2131">
        <v>294441.93</v>
      </c>
      <c r="O2131" t="s">
        <v>47</v>
      </c>
    </row>
    <row r="2132" spans="1:15" x14ac:dyDescent="0.3">
      <c r="A2132" t="s">
        <v>2200</v>
      </c>
      <c r="B2132" s="2">
        <v>47422</v>
      </c>
      <c r="C2132" t="s">
        <v>38</v>
      </c>
      <c r="D2132" t="str">
        <f t="shared" si="33"/>
        <v>October</v>
      </c>
      <c r="E2132" t="s">
        <v>100</v>
      </c>
      <c r="F2132" t="s">
        <v>60</v>
      </c>
      <c r="G2132" t="s">
        <v>70</v>
      </c>
      <c r="H2132" t="s">
        <v>19</v>
      </c>
      <c r="I2132" t="s">
        <v>34</v>
      </c>
      <c r="J2132" t="s">
        <v>28</v>
      </c>
      <c r="K2132">
        <v>5</v>
      </c>
      <c r="L2132">
        <v>31877.87</v>
      </c>
      <c r="M2132">
        <v>10</v>
      </c>
      <c r="N2132">
        <v>143450.41</v>
      </c>
      <c r="O2132" t="s">
        <v>47</v>
      </c>
    </row>
    <row r="2133" spans="1:15" x14ac:dyDescent="0.3">
      <c r="A2133" t="s">
        <v>2201</v>
      </c>
      <c r="B2133" s="2">
        <v>47423</v>
      </c>
      <c r="C2133" t="s">
        <v>31</v>
      </c>
      <c r="D2133" t="str">
        <f t="shared" si="33"/>
        <v>November</v>
      </c>
      <c r="E2133" t="s">
        <v>24</v>
      </c>
      <c r="F2133" t="s">
        <v>60</v>
      </c>
      <c r="G2133" t="s">
        <v>78</v>
      </c>
      <c r="H2133" t="s">
        <v>27</v>
      </c>
      <c r="I2133" t="s">
        <v>20</v>
      </c>
      <c r="J2133" t="s">
        <v>28</v>
      </c>
      <c r="K2133">
        <v>1</v>
      </c>
      <c r="L2133">
        <v>40220.61</v>
      </c>
      <c r="M2133">
        <v>10</v>
      </c>
      <c r="N2133">
        <v>36198.550000000003</v>
      </c>
      <c r="O2133" t="s">
        <v>47</v>
      </c>
    </row>
    <row r="2134" spans="1:15" x14ac:dyDescent="0.3">
      <c r="A2134" t="s">
        <v>2202</v>
      </c>
      <c r="B2134" s="2">
        <v>47424</v>
      </c>
      <c r="C2134" t="s">
        <v>31</v>
      </c>
      <c r="D2134" t="str">
        <f t="shared" si="33"/>
        <v>November</v>
      </c>
      <c r="E2134" t="s">
        <v>50</v>
      </c>
      <c r="F2134" t="s">
        <v>60</v>
      </c>
      <c r="G2134" t="s">
        <v>78</v>
      </c>
      <c r="H2134" t="s">
        <v>19</v>
      </c>
      <c r="I2134" t="s">
        <v>34</v>
      </c>
      <c r="J2134" t="s">
        <v>35</v>
      </c>
      <c r="K2134">
        <v>5</v>
      </c>
      <c r="L2134">
        <v>43097.95</v>
      </c>
      <c r="M2134">
        <v>0</v>
      </c>
      <c r="N2134">
        <v>215489.75</v>
      </c>
      <c r="O2134" t="s">
        <v>47</v>
      </c>
    </row>
    <row r="2135" spans="1:15" x14ac:dyDescent="0.3">
      <c r="A2135" t="s">
        <v>2203</v>
      </c>
      <c r="B2135" s="2">
        <v>47425</v>
      </c>
      <c r="C2135" t="s">
        <v>31</v>
      </c>
      <c r="D2135" t="str">
        <f t="shared" si="33"/>
        <v>November</v>
      </c>
      <c r="E2135" t="s">
        <v>50</v>
      </c>
      <c r="F2135" t="s">
        <v>17</v>
      </c>
      <c r="G2135" t="s">
        <v>63</v>
      </c>
      <c r="H2135" t="s">
        <v>19</v>
      </c>
      <c r="I2135" t="s">
        <v>42</v>
      </c>
      <c r="J2135" t="s">
        <v>21</v>
      </c>
      <c r="K2135">
        <v>3</v>
      </c>
      <c r="L2135">
        <v>61628.62</v>
      </c>
      <c r="M2135">
        <v>15</v>
      </c>
      <c r="N2135">
        <v>157152.98000000001</v>
      </c>
      <c r="O2135" t="s">
        <v>47</v>
      </c>
    </row>
    <row r="2136" spans="1:15" x14ac:dyDescent="0.3">
      <c r="A2136" t="s">
        <v>2204</v>
      </c>
      <c r="B2136" s="2">
        <v>47426</v>
      </c>
      <c r="C2136" t="s">
        <v>15</v>
      </c>
      <c r="D2136" t="str">
        <f t="shared" si="33"/>
        <v>November</v>
      </c>
      <c r="E2136" t="s">
        <v>69</v>
      </c>
      <c r="F2136" t="s">
        <v>53</v>
      </c>
      <c r="G2136" t="s">
        <v>129</v>
      </c>
      <c r="H2136" t="s">
        <v>19</v>
      </c>
      <c r="I2136" t="s">
        <v>34</v>
      </c>
      <c r="J2136" t="s">
        <v>43</v>
      </c>
      <c r="K2136">
        <v>1</v>
      </c>
      <c r="L2136">
        <v>32036.25</v>
      </c>
      <c r="M2136">
        <v>10</v>
      </c>
      <c r="N2136">
        <v>28832.62</v>
      </c>
      <c r="O2136" t="s">
        <v>36</v>
      </c>
    </row>
    <row r="2137" spans="1:15" x14ac:dyDescent="0.3">
      <c r="A2137" t="s">
        <v>2205</v>
      </c>
      <c r="B2137" s="2">
        <v>47427</v>
      </c>
      <c r="C2137" t="s">
        <v>15</v>
      </c>
      <c r="D2137" t="str">
        <f t="shared" si="33"/>
        <v>November</v>
      </c>
      <c r="E2137" t="s">
        <v>24</v>
      </c>
      <c r="F2137" t="s">
        <v>17</v>
      </c>
      <c r="G2137" t="s">
        <v>67</v>
      </c>
      <c r="H2137" t="s">
        <v>33</v>
      </c>
      <c r="I2137" t="s">
        <v>20</v>
      </c>
      <c r="J2137" t="s">
        <v>46</v>
      </c>
      <c r="K2137">
        <v>4</v>
      </c>
      <c r="L2137">
        <v>51046.6</v>
      </c>
      <c r="M2137">
        <v>15</v>
      </c>
      <c r="N2137">
        <v>173558.43</v>
      </c>
      <c r="O2137" t="s">
        <v>47</v>
      </c>
    </row>
    <row r="2138" spans="1:15" x14ac:dyDescent="0.3">
      <c r="A2138" t="s">
        <v>2206</v>
      </c>
      <c r="B2138" s="2">
        <v>47428</v>
      </c>
      <c r="C2138" t="s">
        <v>38</v>
      </c>
      <c r="D2138" t="str">
        <f t="shared" si="33"/>
        <v>November</v>
      </c>
      <c r="E2138" t="s">
        <v>77</v>
      </c>
      <c r="F2138" t="s">
        <v>40</v>
      </c>
      <c r="G2138" t="s">
        <v>118</v>
      </c>
      <c r="H2138" t="s">
        <v>27</v>
      </c>
      <c r="I2138" t="s">
        <v>42</v>
      </c>
      <c r="J2138" t="s">
        <v>28</v>
      </c>
      <c r="K2138">
        <v>3</v>
      </c>
      <c r="L2138">
        <v>6953.53</v>
      </c>
      <c r="M2138">
        <v>0</v>
      </c>
      <c r="N2138">
        <v>20860.580000000002</v>
      </c>
      <c r="O2138" t="s">
        <v>47</v>
      </c>
    </row>
    <row r="2139" spans="1:15" x14ac:dyDescent="0.3">
      <c r="A2139" t="s">
        <v>2207</v>
      </c>
      <c r="B2139" s="2">
        <v>47429</v>
      </c>
      <c r="C2139" t="s">
        <v>49</v>
      </c>
      <c r="D2139" t="str">
        <f t="shared" si="33"/>
        <v>November</v>
      </c>
      <c r="E2139" t="s">
        <v>39</v>
      </c>
      <c r="F2139" t="s">
        <v>53</v>
      </c>
      <c r="G2139" t="s">
        <v>65</v>
      </c>
      <c r="H2139" t="s">
        <v>27</v>
      </c>
      <c r="I2139" t="s">
        <v>20</v>
      </c>
      <c r="J2139" t="s">
        <v>21</v>
      </c>
      <c r="K2139">
        <v>5</v>
      </c>
      <c r="L2139">
        <v>32591.41</v>
      </c>
      <c r="M2139">
        <v>5</v>
      </c>
      <c r="N2139">
        <v>154809.18</v>
      </c>
      <c r="O2139" t="s">
        <v>22</v>
      </c>
    </row>
    <row r="2140" spans="1:15" x14ac:dyDescent="0.3">
      <c r="A2140" t="s">
        <v>2208</v>
      </c>
      <c r="B2140" s="2">
        <v>47430</v>
      </c>
      <c r="C2140" t="s">
        <v>58</v>
      </c>
      <c r="D2140" t="str">
        <f t="shared" si="33"/>
        <v>November</v>
      </c>
      <c r="E2140" t="s">
        <v>50</v>
      </c>
      <c r="F2140" t="s">
        <v>60</v>
      </c>
      <c r="G2140" t="s">
        <v>73</v>
      </c>
      <c r="H2140" t="s">
        <v>27</v>
      </c>
      <c r="I2140" t="s">
        <v>20</v>
      </c>
      <c r="J2140" t="s">
        <v>21</v>
      </c>
      <c r="K2140">
        <v>4</v>
      </c>
      <c r="L2140">
        <v>33296.6</v>
      </c>
      <c r="M2140">
        <v>10</v>
      </c>
      <c r="N2140">
        <v>119867.77</v>
      </c>
      <c r="O2140" t="s">
        <v>47</v>
      </c>
    </row>
    <row r="2141" spans="1:15" x14ac:dyDescent="0.3">
      <c r="A2141" t="s">
        <v>2209</v>
      </c>
      <c r="B2141" s="2">
        <v>47431</v>
      </c>
      <c r="C2141" t="s">
        <v>31</v>
      </c>
      <c r="D2141" t="str">
        <f t="shared" si="33"/>
        <v>November</v>
      </c>
      <c r="E2141" t="s">
        <v>39</v>
      </c>
      <c r="F2141" t="s">
        <v>17</v>
      </c>
      <c r="G2141" t="s">
        <v>67</v>
      </c>
      <c r="H2141" t="s">
        <v>33</v>
      </c>
      <c r="I2141" t="s">
        <v>34</v>
      </c>
      <c r="J2141" t="s">
        <v>28</v>
      </c>
      <c r="K2141">
        <v>3</v>
      </c>
      <c r="L2141">
        <v>60972.91</v>
      </c>
      <c r="M2141">
        <v>10</v>
      </c>
      <c r="N2141">
        <v>164626.85999999999</v>
      </c>
      <c r="O2141" t="s">
        <v>47</v>
      </c>
    </row>
    <row r="2142" spans="1:15" x14ac:dyDescent="0.3">
      <c r="A2142" t="s">
        <v>2210</v>
      </c>
      <c r="B2142" s="2">
        <v>47432</v>
      </c>
      <c r="C2142" t="s">
        <v>38</v>
      </c>
      <c r="D2142" t="str">
        <f t="shared" si="33"/>
        <v>November</v>
      </c>
      <c r="E2142" t="s">
        <v>50</v>
      </c>
      <c r="F2142" t="s">
        <v>53</v>
      </c>
      <c r="G2142" t="s">
        <v>129</v>
      </c>
      <c r="H2142" t="s">
        <v>27</v>
      </c>
      <c r="I2142" t="s">
        <v>34</v>
      </c>
      <c r="J2142" t="s">
        <v>46</v>
      </c>
      <c r="K2142">
        <v>5</v>
      </c>
      <c r="L2142">
        <v>34370.14</v>
      </c>
      <c r="M2142">
        <v>0</v>
      </c>
      <c r="N2142">
        <v>171850.68</v>
      </c>
      <c r="O2142" t="s">
        <v>47</v>
      </c>
    </row>
    <row r="2143" spans="1:15" x14ac:dyDescent="0.3">
      <c r="A2143" t="s">
        <v>2211</v>
      </c>
      <c r="B2143" s="2">
        <v>47433</v>
      </c>
      <c r="C2143" t="s">
        <v>49</v>
      </c>
      <c r="D2143" t="str">
        <f t="shared" si="33"/>
        <v>November</v>
      </c>
      <c r="E2143" t="s">
        <v>50</v>
      </c>
      <c r="F2143" t="s">
        <v>60</v>
      </c>
      <c r="G2143" t="s">
        <v>78</v>
      </c>
      <c r="H2143" t="s">
        <v>27</v>
      </c>
      <c r="I2143" t="s">
        <v>20</v>
      </c>
      <c r="J2143" t="s">
        <v>28</v>
      </c>
      <c r="K2143">
        <v>2</v>
      </c>
      <c r="L2143">
        <v>34540.74</v>
      </c>
      <c r="M2143">
        <v>15</v>
      </c>
      <c r="N2143">
        <v>58719.25</v>
      </c>
      <c r="O2143" t="s">
        <v>22</v>
      </c>
    </row>
    <row r="2144" spans="1:15" x14ac:dyDescent="0.3">
      <c r="A2144" t="s">
        <v>2212</v>
      </c>
      <c r="B2144" s="2">
        <v>47434</v>
      </c>
      <c r="C2144" t="s">
        <v>58</v>
      </c>
      <c r="D2144" t="str">
        <f t="shared" si="33"/>
        <v>November</v>
      </c>
      <c r="E2144" t="s">
        <v>100</v>
      </c>
      <c r="F2144" t="s">
        <v>53</v>
      </c>
      <c r="G2144" t="s">
        <v>129</v>
      </c>
      <c r="H2144" t="s">
        <v>33</v>
      </c>
      <c r="I2144" t="s">
        <v>34</v>
      </c>
      <c r="J2144" t="s">
        <v>35</v>
      </c>
      <c r="K2144">
        <v>5</v>
      </c>
      <c r="L2144">
        <v>36900</v>
      </c>
      <c r="M2144">
        <v>10</v>
      </c>
      <c r="N2144">
        <v>166050</v>
      </c>
      <c r="O2144" t="s">
        <v>47</v>
      </c>
    </row>
    <row r="2145" spans="1:15" x14ac:dyDescent="0.3">
      <c r="A2145" t="s">
        <v>2213</v>
      </c>
      <c r="B2145" s="2">
        <v>47435</v>
      </c>
      <c r="C2145" t="s">
        <v>31</v>
      </c>
      <c r="D2145" t="str">
        <f t="shared" si="33"/>
        <v>November</v>
      </c>
      <c r="E2145" t="s">
        <v>69</v>
      </c>
      <c r="F2145" t="s">
        <v>25</v>
      </c>
      <c r="G2145" t="s">
        <v>26</v>
      </c>
      <c r="H2145" t="s">
        <v>45</v>
      </c>
      <c r="I2145" t="s">
        <v>42</v>
      </c>
      <c r="J2145" t="s">
        <v>46</v>
      </c>
      <c r="K2145">
        <v>3</v>
      </c>
      <c r="L2145">
        <v>2500.75</v>
      </c>
      <c r="M2145">
        <v>0</v>
      </c>
      <c r="N2145">
        <v>7502.25</v>
      </c>
      <c r="O2145" t="s">
        <v>47</v>
      </c>
    </row>
    <row r="2146" spans="1:15" x14ac:dyDescent="0.3">
      <c r="A2146" t="s">
        <v>2214</v>
      </c>
      <c r="B2146" s="2">
        <v>47436</v>
      </c>
      <c r="C2146" t="s">
        <v>49</v>
      </c>
      <c r="D2146" t="str">
        <f t="shared" si="33"/>
        <v>November</v>
      </c>
      <c r="E2146" t="s">
        <v>50</v>
      </c>
      <c r="F2146" t="s">
        <v>17</v>
      </c>
      <c r="G2146" t="s">
        <v>123</v>
      </c>
      <c r="H2146" t="s">
        <v>45</v>
      </c>
      <c r="I2146" t="s">
        <v>20</v>
      </c>
      <c r="J2146" t="s">
        <v>21</v>
      </c>
      <c r="K2146">
        <v>3</v>
      </c>
      <c r="L2146">
        <v>64443.79</v>
      </c>
      <c r="M2146">
        <v>10</v>
      </c>
      <c r="N2146">
        <v>173998.24</v>
      </c>
      <c r="O2146" t="s">
        <v>22</v>
      </c>
    </row>
    <row r="2147" spans="1:15" x14ac:dyDescent="0.3">
      <c r="A2147" t="s">
        <v>2215</v>
      </c>
      <c r="B2147" s="2">
        <v>47437</v>
      </c>
      <c r="C2147" t="s">
        <v>31</v>
      </c>
      <c r="D2147" t="str">
        <f t="shared" si="33"/>
        <v>November</v>
      </c>
      <c r="E2147" t="s">
        <v>32</v>
      </c>
      <c r="F2147" t="s">
        <v>53</v>
      </c>
      <c r="G2147" t="s">
        <v>129</v>
      </c>
      <c r="H2147" t="s">
        <v>45</v>
      </c>
      <c r="I2147" t="s">
        <v>20</v>
      </c>
      <c r="J2147" t="s">
        <v>28</v>
      </c>
      <c r="K2147">
        <v>1</v>
      </c>
      <c r="L2147">
        <v>25881.86</v>
      </c>
      <c r="M2147">
        <v>10</v>
      </c>
      <c r="N2147">
        <v>23293.67</v>
      </c>
      <c r="O2147" t="s">
        <v>47</v>
      </c>
    </row>
    <row r="2148" spans="1:15" x14ac:dyDescent="0.3">
      <c r="A2148" t="s">
        <v>2216</v>
      </c>
      <c r="B2148" s="2">
        <v>47438</v>
      </c>
      <c r="C2148" t="s">
        <v>38</v>
      </c>
      <c r="D2148" t="str">
        <f t="shared" si="33"/>
        <v>November</v>
      </c>
      <c r="E2148" t="s">
        <v>69</v>
      </c>
      <c r="F2148" t="s">
        <v>17</v>
      </c>
      <c r="G2148" t="s">
        <v>18</v>
      </c>
      <c r="H2148" t="s">
        <v>19</v>
      </c>
      <c r="I2148" t="s">
        <v>20</v>
      </c>
      <c r="J2148" t="s">
        <v>28</v>
      </c>
      <c r="K2148">
        <v>1</v>
      </c>
      <c r="L2148">
        <v>61192.6</v>
      </c>
      <c r="M2148">
        <v>10</v>
      </c>
      <c r="N2148">
        <v>55073.34</v>
      </c>
      <c r="O2148" t="s">
        <v>47</v>
      </c>
    </row>
    <row r="2149" spans="1:15" x14ac:dyDescent="0.3">
      <c r="A2149" t="s">
        <v>2217</v>
      </c>
      <c r="B2149" s="2">
        <v>47439</v>
      </c>
      <c r="C2149" t="s">
        <v>31</v>
      </c>
      <c r="D2149" t="str">
        <f t="shared" si="33"/>
        <v>November</v>
      </c>
      <c r="E2149" t="s">
        <v>16</v>
      </c>
      <c r="F2149" t="s">
        <v>25</v>
      </c>
      <c r="G2149" t="s">
        <v>92</v>
      </c>
      <c r="H2149" t="s">
        <v>45</v>
      </c>
      <c r="I2149" t="s">
        <v>20</v>
      </c>
      <c r="J2149" t="s">
        <v>28</v>
      </c>
      <c r="K2149">
        <v>2</v>
      </c>
      <c r="L2149">
        <v>2393.44</v>
      </c>
      <c r="M2149">
        <v>10</v>
      </c>
      <c r="N2149">
        <v>4308.1899999999996</v>
      </c>
      <c r="O2149" t="s">
        <v>36</v>
      </c>
    </row>
    <row r="2150" spans="1:15" x14ac:dyDescent="0.3">
      <c r="A2150" t="s">
        <v>2218</v>
      </c>
      <c r="B2150" s="2">
        <v>47440</v>
      </c>
      <c r="C2150" t="s">
        <v>38</v>
      </c>
      <c r="D2150" t="str">
        <f t="shared" si="33"/>
        <v>November</v>
      </c>
      <c r="E2150" t="s">
        <v>77</v>
      </c>
      <c r="F2150" t="s">
        <v>53</v>
      </c>
      <c r="G2150" t="s">
        <v>54</v>
      </c>
      <c r="H2150" t="s">
        <v>45</v>
      </c>
      <c r="I2150" t="s">
        <v>34</v>
      </c>
      <c r="J2150" t="s">
        <v>28</v>
      </c>
      <c r="K2150">
        <v>1</v>
      </c>
      <c r="L2150">
        <v>33211.68</v>
      </c>
      <c r="M2150">
        <v>5</v>
      </c>
      <c r="N2150">
        <v>31551.1</v>
      </c>
      <c r="O2150" t="s">
        <v>47</v>
      </c>
    </row>
    <row r="2151" spans="1:15" x14ac:dyDescent="0.3">
      <c r="A2151" t="s">
        <v>2219</v>
      </c>
      <c r="B2151" s="2">
        <v>47441</v>
      </c>
      <c r="C2151" t="s">
        <v>49</v>
      </c>
      <c r="D2151" t="str">
        <f t="shared" si="33"/>
        <v>November</v>
      </c>
      <c r="E2151" t="s">
        <v>24</v>
      </c>
      <c r="F2151" t="s">
        <v>40</v>
      </c>
      <c r="G2151" t="s">
        <v>118</v>
      </c>
      <c r="H2151" t="s">
        <v>19</v>
      </c>
      <c r="I2151" t="s">
        <v>34</v>
      </c>
      <c r="J2151" t="s">
        <v>46</v>
      </c>
      <c r="K2151">
        <v>3</v>
      </c>
      <c r="L2151">
        <v>6341.79</v>
      </c>
      <c r="M2151">
        <v>0</v>
      </c>
      <c r="N2151">
        <v>19025.36</v>
      </c>
      <c r="O2151" t="s">
        <v>22</v>
      </c>
    </row>
    <row r="2152" spans="1:15" x14ac:dyDescent="0.3">
      <c r="A2152" t="s">
        <v>2220</v>
      </c>
      <c r="B2152" s="2">
        <v>47442</v>
      </c>
      <c r="C2152" t="s">
        <v>58</v>
      </c>
      <c r="D2152" t="str">
        <f t="shared" si="33"/>
        <v>November</v>
      </c>
      <c r="E2152" t="s">
        <v>16</v>
      </c>
      <c r="F2152" t="s">
        <v>17</v>
      </c>
      <c r="G2152" t="s">
        <v>63</v>
      </c>
      <c r="H2152" t="s">
        <v>27</v>
      </c>
      <c r="I2152" t="s">
        <v>34</v>
      </c>
      <c r="J2152" t="s">
        <v>43</v>
      </c>
      <c r="K2152">
        <v>2</v>
      </c>
      <c r="L2152">
        <v>47373.84</v>
      </c>
      <c r="M2152">
        <v>10</v>
      </c>
      <c r="N2152">
        <v>85272.91</v>
      </c>
      <c r="O2152" t="s">
        <v>47</v>
      </c>
    </row>
    <row r="2153" spans="1:15" x14ac:dyDescent="0.3">
      <c r="A2153" t="s">
        <v>2221</v>
      </c>
      <c r="B2153" s="2">
        <v>47443</v>
      </c>
      <c r="C2153" t="s">
        <v>49</v>
      </c>
      <c r="D2153" t="str">
        <f t="shared" si="33"/>
        <v>November</v>
      </c>
      <c r="E2153" t="s">
        <v>16</v>
      </c>
      <c r="F2153" t="s">
        <v>53</v>
      </c>
      <c r="G2153" t="s">
        <v>129</v>
      </c>
      <c r="H2153" t="s">
        <v>33</v>
      </c>
      <c r="I2153" t="s">
        <v>34</v>
      </c>
      <c r="J2153" t="s">
        <v>46</v>
      </c>
      <c r="K2153">
        <v>4</v>
      </c>
      <c r="L2153">
        <v>37733.660000000003</v>
      </c>
      <c r="M2153">
        <v>0</v>
      </c>
      <c r="N2153">
        <v>150934.65</v>
      </c>
      <c r="O2153" t="s">
        <v>47</v>
      </c>
    </row>
    <row r="2154" spans="1:15" x14ac:dyDescent="0.3">
      <c r="A2154" t="s">
        <v>2222</v>
      </c>
      <c r="B2154" s="2">
        <v>47444</v>
      </c>
      <c r="C2154" t="s">
        <v>15</v>
      </c>
      <c r="D2154" t="str">
        <f t="shared" si="33"/>
        <v>November</v>
      </c>
      <c r="E2154" t="s">
        <v>69</v>
      </c>
      <c r="F2154" t="s">
        <v>53</v>
      </c>
      <c r="G2154" t="s">
        <v>54</v>
      </c>
      <c r="H2154" t="s">
        <v>33</v>
      </c>
      <c r="I2154" t="s">
        <v>42</v>
      </c>
      <c r="J2154" t="s">
        <v>43</v>
      </c>
      <c r="K2154">
        <v>1</v>
      </c>
      <c r="L2154">
        <v>30291.96</v>
      </c>
      <c r="M2154">
        <v>10</v>
      </c>
      <c r="N2154">
        <v>27262.77</v>
      </c>
      <c r="O2154" t="s">
        <v>47</v>
      </c>
    </row>
    <row r="2155" spans="1:15" x14ac:dyDescent="0.3">
      <c r="A2155" t="s">
        <v>2223</v>
      </c>
      <c r="B2155" s="2">
        <v>47445</v>
      </c>
      <c r="C2155" t="s">
        <v>15</v>
      </c>
      <c r="D2155" t="str">
        <f t="shared" si="33"/>
        <v>November</v>
      </c>
      <c r="E2155" t="s">
        <v>77</v>
      </c>
      <c r="F2155" t="s">
        <v>25</v>
      </c>
      <c r="G2155" t="s">
        <v>26</v>
      </c>
      <c r="H2155" t="s">
        <v>33</v>
      </c>
      <c r="I2155" t="s">
        <v>34</v>
      </c>
      <c r="J2155" t="s">
        <v>21</v>
      </c>
      <c r="K2155">
        <v>2</v>
      </c>
      <c r="L2155">
        <v>3083.63</v>
      </c>
      <c r="M2155">
        <v>5</v>
      </c>
      <c r="N2155">
        <v>5858.9</v>
      </c>
      <c r="O2155" t="s">
        <v>36</v>
      </c>
    </row>
    <row r="2156" spans="1:15" x14ac:dyDescent="0.3">
      <c r="A2156" t="s">
        <v>2224</v>
      </c>
      <c r="B2156" s="2">
        <v>47446</v>
      </c>
      <c r="C2156" t="s">
        <v>58</v>
      </c>
      <c r="D2156" t="str">
        <f t="shared" si="33"/>
        <v>November</v>
      </c>
      <c r="E2156" t="s">
        <v>100</v>
      </c>
      <c r="F2156" t="s">
        <v>17</v>
      </c>
      <c r="G2156" t="s">
        <v>18</v>
      </c>
      <c r="H2156" t="s">
        <v>45</v>
      </c>
      <c r="I2156" t="s">
        <v>42</v>
      </c>
      <c r="J2156" t="s">
        <v>46</v>
      </c>
      <c r="K2156">
        <v>4</v>
      </c>
      <c r="L2156">
        <v>69893.8</v>
      </c>
      <c r="M2156">
        <v>0</v>
      </c>
      <c r="N2156">
        <v>279575.21000000002</v>
      </c>
      <c r="O2156" t="s">
        <v>36</v>
      </c>
    </row>
    <row r="2157" spans="1:15" x14ac:dyDescent="0.3">
      <c r="A2157" t="s">
        <v>2225</v>
      </c>
      <c r="B2157" s="2">
        <v>47447</v>
      </c>
      <c r="C2157" t="s">
        <v>31</v>
      </c>
      <c r="D2157" t="str">
        <f t="shared" si="33"/>
        <v>November</v>
      </c>
      <c r="E2157" t="s">
        <v>52</v>
      </c>
      <c r="F2157" t="s">
        <v>40</v>
      </c>
      <c r="G2157" t="s">
        <v>75</v>
      </c>
      <c r="H2157" t="s">
        <v>19</v>
      </c>
      <c r="I2157" t="s">
        <v>42</v>
      </c>
      <c r="J2157" t="s">
        <v>21</v>
      </c>
      <c r="K2157">
        <v>2</v>
      </c>
      <c r="L2157">
        <v>7170.59</v>
      </c>
      <c r="M2157">
        <v>15</v>
      </c>
      <c r="N2157">
        <v>12190</v>
      </c>
      <c r="O2157" t="s">
        <v>47</v>
      </c>
    </row>
    <row r="2158" spans="1:15" x14ac:dyDescent="0.3">
      <c r="A2158" t="s">
        <v>2226</v>
      </c>
      <c r="B2158" s="2">
        <v>47448</v>
      </c>
      <c r="C2158" t="s">
        <v>15</v>
      </c>
      <c r="D2158" t="str">
        <f t="shared" si="33"/>
        <v>November</v>
      </c>
      <c r="E2158" t="s">
        <v>69</v>
      </c>
      <c r="F2158" t="s">
        <v>40</v>
      </c>
      <c r="G2158" t="s">
        <v>41</v>
      </c>
      <c r="H2158" t="s">
        <v>45</v>
      </c>
      <c r="I2158" t="s">
        <v>34</v>
      </c>
      <c r="J2158" t="s">
        <v>35</v>
      </c>
      <c r="K2158">
        <v>4</v>
      </c>
      <c r="L2158">
        <v>7869.01</v>
      </c>
      <c r="M2158">
        <v>0</v>
      </c>
      <c r="N2158">
        <v>31476.05</v>
      </c>
      <c r="O2158" t="s">
        <v>47</v>
      </c>
    </row>
    <row r="2159" spans="1:15" x14ac:dyDescent="0.3">
      <c r="A2159" t="s">
        <v>2227</v>
      </c>
      <c r="B2159" s="2">
        <v>47449</v>
      </c>
      <c r="C2159" t="s">
        <v>31</v>
      </c>
      <c r="D2159" t="str">
        <f t="shared" si="33"/>
        <v>November</v>
      </c>
      <c r="E2159" t="s">
        <v>72</v>
      </c>
      <c r="F2159" t="s">
        <v>17</v>
      </c>
      <c r="G2159" t="s">
        <v>123</v>
      </c>
      <c r="H2159" t="s">
        <v>27</v>
      </c>
      <c r="I2159" t="s">
        <v>20</v>
      </c>
      <c r="J2159" t="s">
        <v>43</v>
      </c>
      <c r="K2159">
        <v>1</v>
      </c>
      <c r="L2159">
        <v>65290.46</v>
      </c>
      <c r="M2159">
        <v>15</v>
      </c>
      <c r="N2159">
        <v>55496.89</v>
      </c>
      <c r="O2159" t="s">
        <v>22</v>
      </c>
    </row>
    <row r="2160" spans="1:15" x14ac:dyDescent="0.3">
      <c r="A2160" t="s">
        <v>2228</v>
      </c>
      <c r="B2160" s="2">
        <v>47450</v>
      </c>
      <c r="C2160" t="s">
        <v>49</v>
      </c>
      <c r="D2160" t="str">
        <f t="shared" si="33"/>
        <v>November</v>
      </c>
      <c r="E2160" t="s">
        <v>100</v>
      </c>
      <c r="F2160" t="s">
        <v>25</v>
      </c>
      <c r="G2160" t="s">
        <v>56</v>
      </c>
      <c r="H2160" t="s">
        <v>27</v>
      </c>
      <c r="I2160" t="s">
        <v>34</v>
      </c>
      <c r="J2160" t="s">
        <v>43</v>
      </c>
      <c r="K2160">
        <v>4</v>
      </c>
      <c r="L2160">
        <v>2974.11</v>
      </c>
      <c r="M2160">
        <v>10</v>
      </c>
      <c r="N2160">
        <v>10706.79</v>
      </c>
      <c r="O2160" t="s">
        <v>22</v>
      </c>
    </row>
    <row r="2161" spans="1:15" x14ac:dyDescent="0.3">
      <c r="A2161" t="s">
        <v>2229</v>
      </c>
      <c r="B2161" s="2">
        <v>47451</v>
      </c>
      <c r="C2161" t="s">
        <v>38</v>
      </c>
      <c r="D2161" t="str">
        <f t="shared" si="33"/>
        <v>November</v>
      </c>
      <c r="E2161" t="s">
        <v>39</v>
      </c>
      <c r="F2161" t="s">
        <v>25</v>
      </c>
      <c r="G2161" t="s">
        <v>56</v>
      </c>
      <c r="H2161" t="s">
        <v>45</v>
      </c>
      <c r="I2161" t="s">
        <v>34</v>
      </c>
      <c r="J2161" t="s">
        <v>21</v>
      </c>
      <c r="K2161">
        <v>5</v>
      </c>
      <c r="L2161">
        <v>2975.43</v>
      </c>
      <c r="M2161">
        <v>20</v>
      </c>
      <c r="N2161">
        <v>11901.73</v>
      </c>
      <c r="O2161" t="s">
        <v>47</v>
      </c>
    </row>
    <row r="2162" spans="1:15" x14ac:dyDescent="0.3">
      <c r="A2162" t="s">
        <v>2230</v>
      </c>
      <c r="B2162" s="2">
        <v>47452</v>
      </c>
      <c r="C2162" t="s">
        <v>49</v>
      </c>
      <c r="D2162" t="str">
        <f t="shared" si="33"/>
        <v>November</v>
      </c>
      <c r="E2162" t="s">
        <v>52</v>
      </c>
      <c r="F2162" t="s">
        <v>25</v>
      </c>
      <c r="G2162" t="s">
        <v>26</v>
      </c>
      <c r="H2162" t="s">
        <v>27</v>
      </c>
      <c r="I2162" t="s">
        <v>20</v>
      </c>
      <c r="J2162" t="s">
        <v>43</v>
      </c>
      <c r="K2162">
        <v>2</v>
      </c>
      <c r="L2162">
        <v>2451.15</v>
      </c>
      <c r="M2162">
        <v>0</v>
      </c>
      <c r="N2162">
        <v>4902.3100000000004</v>
      </c>
      <c r="O2162" t="s">
        <v>47</v>
      </c>
    </row>
    <row r="2163" spans="1:15" x14ac:dyDescent="0.3">
      <c r="A2163" t="s">
        <v>2231</v>
      </c>
      <c r="B2163" s="2">
        <v>47453</v>
      </c>
      <c r="C2163" t="s">
        <v>38</v>
      </c>
      <c r="D2163" t="str">
        <f t="shared" si="33"/>
        <v>December</v>
      </c>
      <c r="E2163" t="s">
        <v>77</v>
      </c>
      <c r="F2163" t="s">
        <v>60</v>
      </c>
      <c r="G2163" t="s">
        <v>73</v>
      </c>
      <c r="H2163" t="s">
        <v>33</v>
      </c>
      <c r="I2163" t="s">
        <v>20</v>
      </c>
      <c r="J2163" t="s">
        <v>43</v>
      </c>
      <c r="K2163">
        <v>5</v>
      </c>
      <c r="L2163">
        <v>34465.29</v>
      </c>
      <c r="M2163">
        <v>0</v>
      </c>
      <c r="N2163">
        <v>172326.47</v>
      </c>
      <c r="O2163" t="s">
        <v>47</v>
      </c>
    </row>
    <row r="2164" spans="1:15" x14ac:dyDescent="0.3">
      <c r="A2164" t="s">
        <v>2232</v>
      </c>
      <c r="B2164" s="2">
        <v>47454</v>
      </c>
      <c r="C2164" t="s">
        <v>49</v>
      </c>
      <c r="D2164" t="str">
        <f t="shared" si="33"/>
        <v>December</v>
      </c>
      <c r="E2164" t="s">
        <v>24</v>
      </c>
      <c r="F2164" t="s">
        <v>17</v>
      </c>
      <c r="G2164" t="s">
        <v>67</v>
      </c>
      <c r="H2164" t="s">
        <v>19</v>
      </c>
      <c r="I2164" t="s">
        <v>34</v>
      </c>
      <c r="J2164" t="s">
        <v>21</v>
      </c>
      <c r="K2164">
        <v>4</v>
      </c>
      <c r="L2164">
        <v>45080.03</v>
      </c>
      <c r="M2164">
        <v>5</v>
      </c>
      <c r="N2164">
        <v>171304.12</v>
      </c>
      <c r="O2164" t="s">
        <v>47</v>
      </c>
    </row>
    <row r="2165" spans="1:15" x14ac:dyDescent="0.3">
      <c r="A2165" t="s">
        <v>2233</v>
      </c>
      <c r="B2165" s="2">
        <v>47455</v>
      </c>
      <c r="C2165" t="s">
        <v>38</v>
      </c>
      <c r="D2165" t="str">
        <f t="shared" si="33"/>
        <v>December</v>
      </c>
      <c r="E2165" t="s">
        <v>52</v>
      </c>
      <c r="F2165" t="s">
        <v>17</v>
      </c>
      <c r="G2165" t="s">
        <v>123</v>
      </c>
      <c r="H2165" t="s">
        <v>27</v>
      </c>
      <c r="I2165" t="s">
        <v>34</v>
      </c>
      <c r="J2165" t="s">
        <v>35</v>
      </c>
      <c r="K2165">
        <v>5</v>
      </c>
      <c r="L2165">
        <v>58477.65</v>
      </c>
      <c r="M2165">
        <v>10</v>
      </c>
      <c r="N2165">
        <v>263149.40999999997</v>
      </c>
      <c r="O2165" t="s">
        <v>36</v>
      </c>
    </row>
    <row r="2166" spans="1:15" x14ac:dyDescent="0.3">
      <c r="A2166" t="s">
        <v>2234</v>
      </c>
      <c r="B2166" s="2">
        <v>47456</v>
      </c>
      <c r="C2166" t="s">
        <v>15</v>
      </c>
      <c r="D2166" t="str">
        <f t="shared" si="33"/>
        <v>December</v>
      </c>
      <c r="E2166" t="s">
        <v>16</v>
      </c>
      <c r="F2166" t="s">
        <v>25</v>
      </c>
      <c r="G2166" t="s">
        <v>92</v>
      </c>
      <c r="H2166" t="s">
        <v>45</v>
      </c>
      <c r="I2166" t="s">
        <v>42</v>
      </c>
      <c r="J2166" t="s">
        <v>43</v>
      </c>
      <c r="K2166">
        <v>2</v>
      </c>
      <c r="L2166">
        <v>2166.08</v>
      </c>
      <c r="M2166">
        <v>10</v>
      </c>
      <c r="N2166">
        <v>3898.94</v>
      </c>
      <c r="O2166" t="s">
        <v>29</v>
      </c>
    </row>
    <row r="2167" spans="1:15" x14ac:dyDescent="0.3">
      <c r="A2167" t="s">
        <v>2235</v>
      </c>
      <c r="B2167" s="2">
        <v>47457</v>
      </c>
      <c r="C2167" t="s">
        <v>15</v>
      </c>
      <c r="D2167" t="str">
        <f t="shared" si="33"/>
        <v>December</v>
      </c>
      <c r="E2167" t="s">
        <v>52</v>
      </c>
      <c r="F2167" t="s">
        <v>60</v>
      </c>
      <c r="G2167" t="s">
        <v>73</v>
      </c>
      <c r="H2167" t="s">
        <v>19</v>
      </c>
      <c r="I2167" t="s">
        <v>42</v>
      </c>
      <c r="J2167" t="s">
        <v>46</v>
      </c>
      <c r="K2167">
        <v>3</v>
      </c>
      <c r="L2167">
        <v>42367.71</v>
      </c>
      <c r="M2167">
        <v>0</v>
      </c>
      <c r="N2167">
        <v>127103.12</v>
      </c>
      <c r="O2167" t="s">
        <v>29</v>
      </c>
    </row>
    <row r="2168" spans="1:15" x14ac:dyDescent="0.3">
      <c r="A2168" t="s">
        <v>2236</v>
      </c>
      <c r="B2168" s="2">
        <v>47458</v>
      </c>
      <c r="C2168" t="s">
        <v>49</v>
      </c>
      <c r="D2168" t="str">
        <f t="shared" si="33"/>
        <v>December</v>
      </c>
      <c r="E2168" t="s">
        <v>100</v>
      </c>
      <c r="F2168" t="s">
        <v>60</v>
      </c>
      <c r="G2168" t="s">
        <v>61</v>
      </c>
      <c r="H2168" t="s">
        <v>19</v>
      </c>
      <c r="I2168" t="s">
        <v>42</v>
      </c>
      <c r="J2168" t="s">
        <v>28</v>
      </c>
      <c r="K2168">
        <v>2</v>
      </c>
      <c r="L2168">
        <v>34943.75</v>
      </c>
      <c r="M2168">
        <v>5</v>
      </c>
      <c r="N2168">
        <v>66393.13</v>
      </c>
      <c r="O2168" t="s">
        <v>47</v>
      </c>
    </row>
    <row r="2169" spans="1:15" x14ac:dyDescent="0.3">
      <c r="A2169" t="s">
        <v>2237</v>
      </c>
      <c r="B2169" s="2">
        <v>47459</v>
      </c>
      <c r="C2169" t="s">
        <v>31</v>
      </c>
      <c r="D2169" t="str">
        <f t="shared" si="33"/>
        <v>December</v>
      </c>
      <c r="E2169" t="s">
        <v>52</v>
      </c>
      <c r="F2169" t="s">
        <v>25</v>
      </c>
      <c r="G2169" t="s">
        <v>56</v>
      </c>
      <c r="H2169" t="s">
        <v>45</v>
      </c>
      <c r="I2169" t="s">
        <v>20</v>
      </c>
      <c r="J2169" t="s">
        <v>35</v>
      </c>
      <c r="K2169">
        <v>1</v>
      </c>
      <c r="L2169">
        <v>2677.05</v>
      </c>
      <c r="M2169">
        <v>10</v>
      </c>
      <c r="N2169">
        <v>2409.35</v>
      </c>
      <c r="O2169" t="s">
        <v>47</v>
      </c>
    </row>
    <row r="2170" spans="1:15" x14ac:dyDescent="0.3">
      <c r="A2170" t="s">
        <v>2238</v>
      </c>
      <c r="B2170" s="2">
        <v>47460</v>
      </c>
      <c r="C2170" t="s">
        <v>49</v>
      </c>
      <c r="D2170" t="str">
        <f t="shared" si="33"/>
        <v>December</v>
      </c>
      <c r="E2170" t="s">
        <v>16</v>
      </c>
      <c r="F2170" t="s">
        <v>25</v>
      </c>
      <c r="G2170" t="s">
        <v>26</v>
      </c>
      <c r="H2170" t="s">
        <v>27</v>
      </c>
      <c r="I2170" t="s">
        <v>34</v>
      </c>
      <c r="J2170" t="s">
        <v>28</v>
      </c>
      <c r="K2170">
        <v>2</v>
      </c>
      <c r="L2170">
        <v>2347.1</v>
      </c>
      <c r="M2170">
        <v>10</v>
      </c>
      <c r="N2170">
        <v>4224.78</v>
      </c>
      <c r="O2170" t="s">
        <v>47</v>
      </c>
    </row>
    <row r="2171" spans="1:15" x14ac:dyDescent="0.3">
      <c r="A2171" t="s">
        <v>2239</v>
      </c>
      <c r="B2171" s="2">
        <v>47461</v>
      </c>
      <c r="C2171" t="s">
        <v>58</v>
      </c>
      <c r="D2171" t="str">
        <f t="shared" si="33"/>
        <v>December</v>
      </c>
      <c r="E2171" t="s">
        <v>52</v>
      </c>
      <c r="F2171" t="s">
        <v>25</v>
      </c>
      <c r="G2171" t="s">
        <v>92</v>
      </c>
      <c r="H2171" t="s">
        <v>33</v>
      </c>
      <c r="I2171" t="s">
        <v>34</v>
      </c>
      <c r="J2171" t="s">
        <v>35</v>
      </c>
      <c r="K2171">
        <v>1</v>
      </c>
      <c r="L2171">
        <v>3079.46</v>
      </c>
      <c r="M2171">
        <v>15</v>
      </c>
      <c r="N2171">
        <v>2617.54</v>
      </c>
      <c r="O2171" t="s">
        <v>47</v>
      </c>
    </row>
    <row r="2172" spans="1:15" x14ac:dyDescent="0.3">
      <c r="A2172" t="s">
        <v>2240</v>
      </c>
      <c r="B2172" s="2">
        <v>47462</v>
      </c>
      <c r="C2172" t="s">
        <v>31</v>
      </c>
      <c r="D2172" t="str">
        <f t="shared" si="33"/>
        <v>December</v>
      </c>
      <c r="E2172" t="s">
        <v>72</v>
      </c>
      <c r="F2172" t="s">
        <v>25</v>
      </c>
      <c r="G2172" t="s">
        <v>56</v>
      </c>
      <c r="H2172" t="s">
        <v>45</v>
      </c>
      <c r="I2172" t="s">
        <v>20</v>
      </c>
      <c r="J2172" t="s">
        <v>21</v>
      </c>
      <c r="K2172">
        <v>3</v>
      </c>
      <c r="L2172">
        <v>2628.23</v>
      </c>
      <c r="M2172">
        <v>10</v>
      </c>
      <c r="N2172">
        <v>7096.22</v>
      </c>
      <c r="O2172" t="s">
        <v>29</v>
      </c>
    </row>
    <row r="2173" spans="1:15" x14ac:dyDescent="0.3">
      <c r="A2173" t="s">
        <v>2241</v>
      </c>
      <c r="B2173" s="2">
        <v>47463</v>
      </c>
      <c r="C2173" t="s">
        <v>38</v>
      </c>
      <c r="D2173" t="str">
        <f t="shared" si="33"/>
        <v>December</v>
      </c>
      <c r="E2173" t="s">
        <v>52</v>
      </c>
      <c r="F2173" t="s">
        <v>25</v>
      </c>
      <c r="G2173" t="s">
        <v>56</v>
      </c>
      <c r="H2173" t="s">
        <v>45</v>
      </c>
      <c r="I2173" t="s">
        <v>34</v>
      </c>
      <c r="J2173" t="s">
        <v>28</v>
      </c>
      <c r="K2173">
        <v>3</v>
      </c>
      <c r="L2173">
        <v>2586.7600000000002</v>
      </c>
      <c r="M2173">
        <v>15</v>
      </c>
      <c r="N2173">
        <v>6596.23</v>
      </c>
      <c r="O2173" t="s">
        <v>47</v>
      </c>
    </row>
    <row r="2174" spans="1:15" x14ac:dyDescent="0.3">
      <c r="A2174" t="s">
        <v>2242</v>
      </c>
      <c r="B2174" s="2">
        <v>47464</v>
      </c>
      <c r="C2174" t="s">
        <v>38</v>
      </c>
      <c r="D2174" t="str">
        <f t="shared" si="33"/>
        <v>December</v>
      </c>
      <c r="E2174" t="s">
        <v>69</v>
      </c>
      <c r="F2174" t="s">
        <v>25</v>
      </c>
      <c r="G2174" t="s">
        <v>92</v>
      </c>
      <c r="H2174" t="s">
        <v>19</v>
      </c>
      <c r="I2174" t="s">
        <v>34</v>
      </c>
      <c r="J2174" t="s">
        <v>43</v>
      </c>
      <c r="K2174">
        <v>2</v>
      </c>
      <c r="L2174">
        <v>2866.4</v>
      </c>
      <c r="M2174">
        <v>5</v>
      </c>
      <c r="N2174">
        <v>5446.15</v>
      </c>
      <c r="O2174" t="s">
        <v>47</v>
      </c>
    </row>
    <row r="2175" spans="1:15" x14ac:dyDescent="0.3">
      <c r="A2175" t="s">
        <v>2243</v>
      </c>
      <c r="B2175" s="2">
        <v>47465</v>
      </c>
      <c r="C2175" t="s">
        <v>58</v>
      </c>
      <c r="D2175" t="str">
        <f t="shared" si="33"/>
        <v>December</v>
      </c>
      <c r="E2175" t="s">
        <v>50</v>
      </c>
      <c r="F2175" t="s">
        <v>40</v>
      </c>
      <c r="G2175" t="s">
        <v>118</v>
      </c>
      <c r="H2175" t="s">
        <v>33</v>
      </c>
      <c r="I2175" t="s">
        <v>42</v>
      </c>
      <c r="J2175" t="s">
        <v>21</v>
      </c>
      <c r="K2175">
        <v>2</v>
      </c>
      <c r="L2175">
        <v>7030.9</v>
      </c>
      <c r="M2175">
        <v>5</v>
      </c>
      <c r="N2175">
        <v>13358.71</v>
      </c>
      <c r="O2175" t="s">
        <v>47</v>
      </c>
    </row>
    <row r="2176" spans="1:15" x14ac:dyDescent="0.3">
      <c r="A2176" t="s">
        <v>2244</v>
      </c>
      <c r="B2176" s="2">
        <v>47466</v>
      </c>
      <c r="C2176" t="s">
        <v>58</v>
      </c>
      <c r="D2176" t="str">
        <f t="shared" si="33"/>
        <v>December</v>
      </c>
      <c r="E2176" t="s">
        <v>32</v>
      </c>
      <c r="F2176" t="s">
        <v>40</v>
      </c>
      <c r="G2176" t="s">
        <v>41</v>
      </c>
      <c r="H2176" t="s">
        <v>45</v>
      </c>
      <c r="I2176" t="s">
        <v>42</v>
      </c>
      <c r="J2176" t="s">
        <v>35</v>
      </c>
      <c r="K2176">
        <v>5</v>
      </c>
      <c r="L2176">
        <v>8090.87</v>
      </c>
      <c r="M2176">
        <v>20</v>
      </c>
      <c r="N2176">
        <v>32363.47</v>
      </c>
      <c r="O2176" t="s">
        <v>22</v>
      </c>
    </row>
    <row r="2177" spans="1:15" x14ac:dyDescent="0.3">
      <c r="A2177" t="s">
        <v>2245</v>
      </c>
      <c r="B2177" s="2">
        <v>47467</v>
      </c>
      <c r="C2177" t="s">
        <v>38</v>
      </c>
      <c r="D2177" t="str">
        <f t="shared" si="33"/>
        <v>December</v>
      </c>
      <c r="E2177" t="s">
        <v>50</v>
      </c>
      <c r="F2177" t="s">
        <v>17</v>
      </c>
      <c r="G2177" t="s">
        <v>123</v>
      </c>
      <c r="H2177" t="s">
        <v>19</v>
      </c>
      <c r="I2177" t="s">
        <v>42</v>
      </c>
      <c r="J2177" t="s">
        <v>28</v>
      </c>
      <c r="K2177">
        <v>2</v>
      </c>
      <c r="L2177">
        <v>48606.77</v>
      </c>
      <c r="M2177">
        <v>5</v>
      </c>
      <c r="N2177">
        <v>92352.87</v>
      </c>
      <c r="O2177" t="s">
        <v>36</v>
      </c>
    </row>
    <row r="2178" spans="1:15" x14ac:dyDescent="0.3">
      <c r="A2178" t="s">
        <v>2246</v>
      </c>
      <c r="B2178" s="2">
        <v>47468</v>
      </c>
      <c r="C2178" t="s">
        <v>38</v>
      </c>
      <c r="D2178" t="str">
        <f t="shared" si="33"/>
        <v>December</v>
      </c>
      <c r="E2178" t="s">
        <v>32</v>
      </c>
      <c r="F2178" t="s">
        <v>25</v>
      </c>
      <c r="G2178" t="s">
        <v>81</v>
      </c>
      <c r="H2178" t="s">
        <v>45</v>
      </c>
      <c r="I2178" t="s">
        <v>20</v>
      </c>
      <c r="J2178" t="s">
        <v>35</v>
      </c>
      <c r="K2178">
        <v>1</v>
      </c>
      <c r="L2178">
        <v>1926.79</v>
      </c>
      <c r="M2178">
        <v>15</v>
      </c>
      <c r="N2178">
        <v>1637.77</v>
      </c>
      <c r="O2178" t="s">
        <v>47</v>
      </c>
    </row>
    <row r="2179" spans="1:15" x14ac:dyDescent="0.3">
      <c r="A2179" t="s">
        <v>2247</v>
      </c>
      <c r="B2179" s="2">
        <v>47469</v>
      </c>
      <c r="C2179" t="s">
        <v>58</v>
      </c>
      <c r="D2179" t="str">
        <f t="shared" ref="D2179:D2242" si="34">TEXT(B2179,"mmmm")</f>
        <v>December</v>
      </c>
      <c r="E2179" t="s">
        <v>69</v>
      </c>
      <c r="F2179" t="s">
        <v>17</v>
      </c>
      <c r="G2179" t="s">
        <v>67</v>
      </c>
      <c r="H2179" t="s">
        <v>45</v>
      </c>
      <c r="I2179" t="s">
        <v>42</v>
      </c>
      <c r="J2179" t="s">
        <v>28</v>
      </c>
      <c r="K2179">
        <v>2</v>
      </c>
      <c r="L2179">
        <v>61338.07</v>
      </c>
      <c r="M2179">
        <v>0</v>
      </c>
      <c r="N2179">
        <v>122676.14</v>
      </c>
      <c r="O2179" t="s">
        <v>47</v>
      </c>
    </row>
    <row r="2180" spans="1:15" x14ac:dyDescent="0.3">
      <c r="A2180" t="s">
        <v>2248</v>
      </c>
      <c r="B2180" s="2">
        <v>47470</v>
      </c>
      <c r="C2180" t="s">
        <v>15</v>
      </c>
      <c r="D2180" t="str">
        <f t="shared" si="34"/>
        <v>December</v>
      </c>
      <c r="E2180" t="s">
        <v>24</v>
      </c>
      <c r="F2180" t="s">
        <v>53</v>
      </c>
      <c r="G2180" t="s">
        <v>65</v>
      </c>
      <c r="H2180" t="s">
        <v>45</v>
      </c>
      <c r="I2180" t="s">
        <v>42</v>
      </c>
      <c r="J2180" t="s">
        <v>35</v>
      </c>
      <c r="K2180">
        <v>1</v>
      </c>
      <c r="L2180">
        <v>34987.69</v>
      </c>
      <c r="M2180">
        <v>5</v>
      </c>
      <c r="N2180">
        <v>33238.31</v>
      </c>
      <c r="O2180" t="s">
        <v>47</v>
      </c>
    </row>
    <row r="2181" spans="1:15" x14ac:dyDescent="0.3">
      <c r="A2181" t="s">
        <v>2249</v>
      </c>
      <c r="B2181" s="2">
        <v>47471</v>
      </c>
      <c r="C2181" t="s">
        <v>58</v>
      </c>
      <c r="D2181" t="str">
        <f t="shared" si="34"/>
        <v>December</v>
      </c>
      <c r="E2181" t="s">
        <v>50</v>
      </c>
      <c r="F2181" t="s">
        <v>17</v>
      </c>
      <c r="G2181" t="s">
        <v>18</v>
      </c>
      <c r="H2181" t="s">
        <v>33</v>
      </c>
      <c r="I2181" t="s">
        <v>20</v>
      </c>
      <c r="J2181" t="s">
        <v>28</v>
      </c>
      <c r="K2181">
        <v>4</v>
      </c>
      <c r="L2181">
        <v>56235.48</v>
      </c>
      <c r="M2181">
        <v>0</v>
      </c>
      <c r="N2181">
        <v>224941.91</v>
      </c>
      <c r="O2181" t="s">
        <v>47</v>
      </c>
    </row>
    <row r="2182" spans="1:15" x14ac:dyDescent="0.3">
      <c r="A2182" t="s">
        <v>2250</v>
      </c>
      <c r="B2182" s="2">
        <v>47472</v>
      </c>
      <c r="C2182" t="s">
        <v>58</v>
      </c>
      <c r="D2182" t="str">
        <f t="shared" si="34"/>
        <v>December</v>
      </c>
      <c r="E2182" t="s">
        <v>50</v>
      </c>
      <c r="F2182" t="s">
        <v>40</v>
      </c>
      <c r="G2182" t="s">
        <v>115</v>
      </c>
      <c r="H2182" t="s">
        <v>27</v>
      </c>
      <c r="I2182" t="s">
        <v>42</v>
      </c>
      <c r="J2182" t="s">
        <v>35</v>
      </c>
      <c r="K2182">
        <v>3</v>
      </c>
      <c r="L2182">
        <v>5501.62</v>
      </c>
      <c r="M2182">
        <v>20</v>
      </c>
      <c r="N2182">
        <v>13203.9</v>
      </c>
      <c r="O2182" t="s">
        <v>47</v>
      </c>
    </row>
    <row r="2183" spans="1:15" x14ac:dyDescent="0.3">
      <c r="A2183" t="s">
        <v>2251</v>
      </c>
      <c r="B2183" s="2">
        <v>47473</v>
      </c>
      <c r="C2183" t="s">
        <v>58</v>
      </c>
      <c r="D2183" t="str">
        <f t="shared" si="34"/>
        <v>December</v>
      </c>
      <c r="E2183" t="s">
        <v>77</v>
      </c>
      <c r="F2183" t="s">
        <v>53</v>
      </c>
      <c r="G2183" t="s">
        <v>105</v>
      </c>
      <c r="H2183" t="s">
        <v>33</v>
      </c>
      <c r="I2183" t="s">
        <v>20</v>
      </c>
      <c r="J2183" t="s">
        <v>43</v>
      </c>
      <c r="K2183">
        <v>4</v>
      </c>
      <c r="L2183">
        <v>27986.91</v>
      </c>
      <c r="M2183">
        <v>10</v>
      </c>
      <c r="N2183">
        <v>100752.89</v>
      </c>
      <c r="O2183" t="s">
        <v>22</v>
      </c>
    </row>
    <row r="2184" spans="1:15" x14ac:dyDescent="0.3">
      <c r="A2184" t="s">
        <v>2252</v>
      </c>
      <c r="B2184" s="2">
        <v>47474</v>
      </c>
      <c r="C2184" t="s">
        <v>49</v>
      </c>
      <c r="D2184" t="str">
        <f t="shared" si="34"/>
        <v>December</v>
      </c>
      <c r="E2184" t="s">
        <v>77</v>
      </c>
      <c r="F2184" t="s">
        <v>17</v>
      </c>
      <c r="G2184" t="s">
        <v>67</v>
      </c>
      <c r="H2184" t="s">
        <v>45</v>
      </c>
      <c r="I2184" t="s">
        <v>42</v>
      </c>
      <c r="J2184" t="s">
        <v>28</v>
      </c>
      <c r="K2184">
        <v>4</v>
      </c>
      <c r="L2184">
        <v>57693.71</v>
      </c>
      <c r="M2184">
        <v>5</v>
      </c>
      <c r="N2184">
        <v>219236.12</v>
      </c>
      <c r="O2184" t="s">
        <v>47</v>
      </c>
    </row>
    <row r="2185" spans="1:15" x14ac:dyDescent="0.3">
      <c r="A2185" t="s">
        <v>2253</v>
      </c>
      <c r="B2185" s="2">
        <v>47475</v>
      </c>
      <c r="C2185" t="s">
        <v>58</v>
      </c>
      <c r="D2185" t="str">
        <f t="shared" si="34"/>
        <v>December</v>
      </c>
      <c r="E2185" t="s">
        <v>16</v>
      </c>
      <c r="F2185" t="s">
        <v>53</v>
      </c>
      <c r="G2185" t="s">
        <v>65</v>
      </c>
      <c r="H2185" t="s">
        <v>33</v>
      </c>
      <c r="I2185" t="s">
        <v>20</v>
      </c>
      <c r="J2185" t="s">
        <v>35</v>
      </c>
      <c r="K2185">
        <v>1</v>
      </c>
      <c r="L2185">
        <v>27382.32</v>
      </c>
      <c r="M2185">
        <v>10</v>
      </c>
      <c r="N2185">
        <v>24644.09</v>
      </c>
      <c r="O2185" t="s">
        <v>22</v>
      </c>
    </row>
    <row r="2186" spans="1:15" x14ac:dyDescent="0.3">
      <c r="A2186" t="s">
        <v>2254</v>
      </c>
      <c r="B2186" s="2">
        <v>47476</v>
      </c>
      <c r="C2186" t="s">
        <v>38</v>
      </c>
      <c r="D2186" t="str">
        <f t="shared" si="34"/>
        <v>December</v>
      </c>
      <c r="E2186" t="s">
        <v>52</v>
      </c>
      <c r="F2186" t="s">
        <v>40</v>
      </c>
      <c r="G2186" t="s">
        <v>75</v>
      </c>
      <c r="H2186" t="s">
        <v>33</v>
      </c>
      <c r="I2186" t="s">
        <v>42</v>
      </c>
      <c r="J2186" t="s">
        <v>43</v>
      </c>
      <c r="K2186">
        <v>4</v>
      </c>
      <c r="L2186">
        <v>6580.31</v>
      </c>
      <c r="M2186">
        <v>5</v>
      </c>
      <c r="N2186">
        <v>25005.19</v>
      </c>
      <c r="O2186" t="s">
        <v>47</v>
      </c>
    </row>
    <row r="2187" spans="1:15" x14ac:dyDescent="0.3">
      <c r="A2187" t="s">
        <v>2255</v>
      </c>
      <c r="B2187" s="2">
        <v>47477</v>
      </c>
      <c r="C2187" t="s">
        <v>31</v>
      </c>
      <c r="D2187" t="str">
        <f t="shared" si="34"/>
        <v>December</v>
      </c>
      <c r="E2187" t="s">
        <v>77</v>
      </c>
      <c r="F2187" t="s">
        <v>17</v>
      </c>
      <c r="G2187" t="s">
        <v>18</v>
      </c>
      <c r="H2187" t="s">
        <v>33</v>
      </c>
      <c r="I2187" t="s">
        <v>20</v>
      </c>
      <c r="J2187" t="s">
        <v>21</v>
      </c>
      <c r="K2187">
        <v>2</v>
      </c>
      <c r="L2187">
        <v>65265.38</v>
      </c>
      <c r="M2187">
        <v>5</v>
      </c>
      <c r="N2187">
        <v>124004.21</v>
      </c>
      <c r="O2187" t="s">
        <v>36</v>
      </c>
    </row>
    <row r="2188" spans="1:15" x14ac:dyDescent="0.3">
      <c r="A2188" t="s">
        <v>2256</v>
      </c>
      <c r="B2188" s="2">
        <v>47478</v>
      </c>
      <c r="C2188" t="s">
        <v>31</v>
      </c>
      <c r="D2188" t="str">
        <f t="shared" si="34"/>
        <v>December</v>
      </c>
      <c r="E2188" t="s">
        <v>100</v>
      </c>
      <c r="F2188" t="s">
        <v>60</v>
      </c>
      <c r="G2188" t="s">
        <v>70</v>
      </c>
      <c r="H2188" t="s">
        <v>19</v>
      </c>
      <c r="I2188" t="s">
        <v>42</v>
      </c>
      <c r="J2188" t="s">
        <v>28</v>
      </c>
      <c r="K2188">
        <v>4</v>
      </c>
      <c r="L2188">
        <v>33724.83</v>
      </c>
      <c r="M2188">
        <v>5</v>
      </c>
      <c r="N2188">
        <v>128154.37</v>
      </c>
      <c r="O2188" t="s">
        <v>47</v>
      </c>
    </row>
    <row r="2189" spans="1:15" x14ac:dyDescent="0.3">
      <c r="A2189" t="s">
        <v>2257</v>
      </c>
      <c r="B2189" s="2">
        <v>47479</v>
      </c>
      <c r="C2189" t="s">
        <v>38</v>
      </c>
      <c r="D2189" t="str">
        <f t="shared" si="34"/>
        <v>December</v>
      </c>
      <c r="E2189" t="s">
        <v>52</v>
      </c>
      <c r="F2189" t="s">
        <v>25</v>
      </c>
      <c r="G2189" t="s">
        <v>81</v>
      </c>
      <c r="H2189" t="s">
        <v>27</v>
      </c>
      <c r="I2189" t="s">
        <v>42</v>
      </c>
      <c r="J2189" t="s">
        <v>46</v>
      </c>
      <c r="K2189">
        <v>2</v>
      </c>
      <c r="L2189">
        <v>2174.85</v>
      </c>
      <c r="M2189">
        <v>5</v>
      </c>
      <c r="N2189">
        <v>4132.21</v>
      </c>
      <c r="O2189" t="s">
        <v>47</v>
      </c>
    </row>
    <row r="2190" spans="1:15" x14ac:dyDescent="0.3">
      <c r="A2190" t="s">
        <v>2258</v>
      </c>
      <c r="B2190" s="2">
        <v>47480</v>
      </c>
      <c r="C2190" t="s">
        <v>49</v>
      </c>
      <c r="D2190" t="str">
        <f t="shared" si="34"/>
        <v>December</v>
      </c>
      <c r="E2190" t="s">
        <v>69</v>
      </c>
      <c r="F2190" t="s">
        <v>53</v>
      </c>
      <c r="G2190" t="s">
        <v>105</v>
      </c>
      <c r="H2190" t="s">
        <v>33</v>
      </c>
      <c r="I2190" t="s">
        <v>42</v>
      </c>
      <c r="J2190" t="s">
        <v>35</v>
      </c>
      <c r="K2190">
        <v>4</v>
      </c>
      <c r="L2190">
        <v>26379.77</v>
      </c>
      <c r="M2190">
        <v>5</v>
      </c>
      <c r="N2190">
        <v>100243.11</v>
      </c>
      <c r="O2190" t="s">
        <v>47</v>
      </c>
    </row>
    <row r="2191" spans="1:15" x14ac:dyDescent="0.3">
      <c r="A2191" t="s">
        <v>2259</v>
      </c>
      <c r="B2191" s="2">
        <v>47481</v>
      </c>
      <c r="C2191" t="s">
        <v>15</v>
      </c>
      <c r="D2191" t="str">
        <f t="shared" si="34"/>
        <v>December</v>
      </c>
      <c r="E2191" t="s">
        <v>50</v>
      </c>
      <c r="F2191" t="s">
        <v>53</v>
      </c>
      <c r="G2191" t="s">
        <v>65</v>
      </c>
      <c r="H2191" t="s">
        <v>33</v>
      </c>
      <c r="I2191" t="s">
        <v>20</v>
      </c>
      <c r="J2191" t="s">
        <v>35</v>
      </c>
      <c r="K2191">
        <v>5</v>
      </c>
      <c r="L2191">
        <v>31588.27</v>
      </c>
      <c r="M2191">
        <v>0</v>
      </c>
      <c r="N2191">
        <v>157941.35</v>
      </c>
      <c r="O2191" t="s">
        <v>22</v>
      </c>
    </row>
    <row r="2192" spans="1:15" x14ac:dyDescent="0.3">
      <c r="A2192" t="s">
        <v>2260</v>
      </c>
      <c r="B2192" s="2">
        <v>47482</v>
      </c>
      <c r="C2192" t="s">
        <v>15</v>
      </c>
      <c r="D2192" t="str">
        <f t="shared" si="34"/>
        <v>December</v>
      </c>
      <c r="E2192" t="s">
        <v>50</v>
      </c>
      <c r="F2192" t="s">
        <v>17</v>
      </c>
      <c r="G2192" t="s">
        <v>63</v>
      </c>
      <c r="H2192" t="s">
        <v>27</v>
      </c>
      <c r="I2192" t="s">
        <v>20</v>
      </c>
      <c r="J2192" t="s">
        <v>43</v>
      </c>
      <c r="K2192">
        <v>3</v>
      </c>
      <c r="L2192">
        <v>71544.13</v>
      </c>
      <c r="M2192">
        <v>5</v>
      </c>
      <c r="N2192">
        <v>203900.78</v>
      </c>
      <c r="O2192" t="s">
        <v>47</v>
      </c>
    </row>
    <row r="2193" spans="1:15" x14ac:dyDescent="0.3">
      <c r="A2193" t="s">
        <v>2261</v>
      </c>
      <c r="B2193" s="2">
        <v>47483</v>
      </c>
      <c r="C2193" t="s">
        <v>49</v>
      </c>
      <c r="D2193" t="str">
        <f t="shared" si="34"/>
        <v>December</v>
      </c>
      <c r="E2193" t="s">
        <v>16</v>
      </c>
      <c r="F2193" t="s">
        <v>60</v>
      </c>
      <c r="G2193" t="s">
        <v>70</v>
      </c>
      <c r="H2193" t="s">
        <v>19</v>
      </c>
      <c r="I2193" t="s">
        <v>34</v>
      </c>
      <c r="J2193" t="s">
        <v>28</v>
      </c>
      <c r="K2193">
        <v>4</v>
      </c>
      <c r="L2193">
        <v>34521.910000000003</v>
      </c>
      <c r="M2193">
        <v>15</v>
      </c>
      <c r="N2193">
        <v>117374.49</v>
      </c>
      <c r="O2193" t="s">
        <v>29</v>
      </c>
    </row>
    <row r="2194" spans="1:15" x14ac:dyDescent="0.3">
      <c r="A2194" t="s">
        <v>2262</v>
      </c>
      <c r="B2194" s="2">
        <v>47484</v>
      </c>
      <c r="C2194" t="s">
        <v>31</v>
      </c>
      <c r="D2194" t="str">
        <f t="shared" si="34"/>
        <v>January</v>
      </c>
      <c r="E2194" t="s">
        <v>39</v>
      </c>
      <c r="F2194" t="s">
        <v>60</v>
      </c>
      <c r="G2194" t="s">
        <v>78</v>
      </c>
      <c r="H2194" t="s">
        <v>27</v>
      </c>
      <c r="I2194" t="s">
        <v>34</v>
      </c>
      <c r="J2194" t="s">
        <v>46</v>
      </c>
      <c r="K2194">
        <v>5</v>
      </c>
      <c r="L2194">
        <v>35716.25</v>
      </c>
      <c r="M2194">
        <v>5</v>
      </c>
      <c r="N2194">
        <v>169652.19</v>
      </c>
      <c r="O2194" t="s">
        <v>36</v>
      </c>
    </row>
    <row r="2195" spans="1:15" x14ac:dyDescent="0.3">
      <c r="A2195" t="s">
        <v>2263</v>
      </c>
      <c r="B2195" s="2">
        <v>47485</v>
      </c>
      <c r="C2195" t="s">
        <v>15</v>
      </c>
      <c r="D2195" t="str">
        <f t="shared" si="34"/>
        <v>January</v>
      </c>
      <c r="E2195" t="s">
        <v>72</v>
      </c>
      <c r="F2195" t="s">
        <v>25</v>
      </c>
      <c r="G2195" t="s">
        <v>81</v>
      </c>
      <c r="H2195" t="s">
        <v>19</v>
      </c>
      <c r="I2195" t="s">
        <v>42</v>
      </c>
      <c r="J2195" t="s">
        <v>21</v>
      </c>
      <c r="K2195">
        <v>1</v>
      </c>
      <c r="L2195">
        <v>2817.84</v>
      </c>
      <c r="M2195">
        <v>20</v>
      </c>
      <c r="N2195">
        <v>2254.27</v>
      </c>
      <c r="O2195" t="s">
        <v>47</v>
      </c>
    </row>
    <row r="2196" spans="1:15" x14ac:dyDescent="0.3">
      <c r="A2196" t="s">
        <v>2264</v>
      </c>
      <c r="B2196" s="2">
        <v>47486</v>
      </c>
      <c r="C2196" t="s">
        <v>15</v>
      </c>
      <c r="D2196" t="str">
        <f t="shared" si="34"/>
        <v>January</v>
      </c>
      <c r="E2196" t="s">
        <v>100</v>
      </c>
      <c r="F2196" t="s">
        <v>60</v>
      </c>
      <c r="G2196" t="s">
        <v>78</v>
      </c>
      <c r="H2196" t="s">
        <v>45</v>
      </c>
      <c r="I2196" t="s">
        <v>42</v>
      </c>
      <c r="J2196" t="s">
        <v>43</v>
      </c>
      <c r="K2196">
        <v>1</v>
      </c>
      <c r="L2196">
        <v>52202.33</v>
      </c>
      <c r="M2196">
        <v>15</v>
      </c>
      <c r="N2196">
        <v>44371.98</v>
      </c>
      <c r="O2196" t="s">
        <v>29</v>
      </c>
    </row>
    <row r="2197" spans="1:15" x14ac:dyDescent="0.3">
      <c r="A2197" t="s">
        <v>2265</v>
      </c>
      <c r="B2197" s="2">
        <v>47487</v>
      </c>
      <c r="C2197" t="s">
        <v>38</v>
      </c>
      <c r="D2197" t="str">
        <f t="shared" si="34"/>
        <v>January</v>
      </c>
      <c r="E2197" t="s">
        <v>50</v>
      </c>
      <c r="F2197" t="s">
        <v>40</v>
      </c>
      <c r="G2197" t="s">
        <v>118</v>
      </c>
      <c r="H2197" t="s">
        <v>27</v>
      </c>
      <c r="I2197" t="s">
        <v>42</v>
      </c>
      <c r="J2197" t="s">
        <v>35</v>
      </c>
      <c r="K2197">
        <v>3</v>
      </c>
      <c r="L2197">
        <v>5551.61</v>
      </c>
      <c r="M2197">
        <v>5</v>
      </c>
      <c r="N2197">
        <v>15822.08</v>
      </c>
      <c r="O2197" t="s">
        <v>29</v>
      </c>
    </row>
    <row r="2198" spans="1:15" x14ac:dyDescent="0.3">
      <c r="A2198" t="s">
        <v>2266</v>
      </c>
      <c r="B2198" s="2">
        <v>47488</v>
      </c>
      <c r="C2198" t="s">
        <v>15</v>
      </c>
      <c r="D2198" t="str">
        <f t="shared" si="34"/>
        <v>January</v>
      </c>
      <c r="E2198" t="s">
        <v>24</v>
      </c>
      <c r="F2198" t="s">
        <v>17</v>
      </c>
      <c r="G2198" t="s">
        <v>18</v>
      </c>
      <c r="H2198" t="s">
        <v>33</v>
      </c>
      <c r="I2198" t="s">
        <v>34</v>
      </c>
      <c r="J2198" t="s">
        <v>21</v>
      </c>
      <c r="K2198">
        <v>1</v>
      </c>
      <c r="L2198">
        <v>56701.9</v>
      </c>
      <c r="M2198">
        <v>5</v>
      </c>
      <c r="N2198">
        <v>53866.81</v>
      </c>
      <c r="O2198" t="s">
        <v>47</v>
      </c>
    </row>
    <row r="2199" spans="1:15" x14ac:dyDescent="0.3">
      <c r="A2199" t="s">
        <v>2267</v>
      </c>
      <c r="B2199" s="2">
        <v>47489</v>
      </c>
      <c r="C2199" t="s">
        <v>58</v>
      </c>
      <c r="D2199" t="str">
        <f t="shared" si="34"/>
        <v>January</v>
      </c>
      <c r="E2199" t="s">
        <v>72</v>
      </c>
      <c r="F2199" t="s">
        <v>17</v>
      </c>
      <c r="G2199" t="s">
        <v>63</v>
      </c>
      <c r="H2199" t="s">
        <v>27</v>
      </c>
      <c r="I2199" t="s">
        <v>42</v>
      </c>
      <c r="J2199" t="s">
        <v>21</v>
      </c>
      <c r="K2199">
        <v>3</v>
      </c>
      <c r="L2199">
        <v>45094.73</v>
      </c>
      <c r="M2199">
        <v>10</v>
      </c>
      <c r="N2199">
        <v>121755.78</v>
      </c>
      <c r="O2199" t="s">
        <v>22</v>
      </c>
    </row>
    <row r="2200" spans="1:15" x14ac:dyDescent="0.3">
      <c r="A2200" t="s">
        <v>2268</v>
      </c>
      <c r="B2200" s="2">
        <v>47490</v>
      </c>
      <c r="C2200" t="s">
        <v>38</v>
      </c>
      <c r="D2200" t="str">
        <f t="shared" si="34"/>
        <v>January</v>
      </c>
      <c r="E2200" t="s">
        <v>50</v>
      </c>
      <c r="F2200" t="s">
        <v>53</v>
      </c>
      <c r="G2200" t="s">
        <v>65</v>
      </c>
      <c r="H2200" t="s">
        <v>19</v>
      </c>
      <c r="I2200" t="s">
        <v>34</v>
      </c>
      <c r="J2200" t="s">
        <v>28</v>
      </c>
      <c r="K2200">
        <v>4</v>
      </c>
      <c r="L2200">
        <v>24438.91</v>
      </c>
      <c r="M2200">
        <v>5</v>
      </c>
      <c r="N2200">
        <v>92867.87</v>
      </c>
      <c r="O2200" t="s">
        <v>47</v>
      </c>
    </row>
    <row r="2201" spans="1:15" x14ac:dyDescent="0.3">
      <c r="A2201" t="s">
        <v>2269</v>
      </c>
      <c r="B2201" s="2">
        <v>47491</v>
      </c>
      <c r="C2201" t="s">
        <v>49</v>
      </c>
      <c r="D2201" t="str">
        <f t="shared" si="34"/>
        <v>January</v>
      </c>
      <c r="E2201" t="s">
        <v>52</v>
      </c>
      <c r="F2201" t="s">
        <v>25</v>
      </c>
      <c r="G2201" t="s">
        <v>92</v>
      </c>
      <c r="H2201" t="s">
        <v>27</v>
      </c>
      <c r="I2201" t="s">
        <v>42</v>
      </c>
      <c r="J2201" t="s">
        <v>35</v>
      </c>
      <c r="K2201">
        <v>5</v>
      </c>
      <c r="L2201">
        <v>2257.59</v>
      </c>
      <c r="M2201">
        <v>5</v>
      </c>
      <c r="N2201">
        <v>10723.56</v>
      </c>
      <c r="O2201" t="s">
        <v>29</v>
      </c>
    </row>
    <row r="2202" spans="1:15" x14ac:dyDescent="0.3">
      <c r="A2202" t="s">
        <v>2270</v>
      </c>
      <c r="B2202" s="2">
        <v>47492</v>
      </c>
      <c r="C2202" t="s">
        <v>38</v>
      </c>
      <c r="D2202" t="str">
        <f t="shared" si="34"/>
        <v>January</v>
      </c>
      <c r="E2202" t="s">
        <v>39</v>
      </c>
      <c r="F2202" t="s">
        <v>40</v>
      </c>
      <c r="G2202" t="s">
        <v>41</v>
      </c>
      <c r="H2202" t="s">
        <v>33</v>
      </c>
      <c r="I2202" t="s">
        <v>20</v>
      </c>
      <c r="J2202" t="s">
        <v>35</v>
      </c>
      <c r="K2202">
        <v>4</v>
      </c>
      <c r="L2202">
        <v>5974.54</v>
      </c>
      <c r="M2202">
        <v>10</v>
      </c>
      <c r="N2202">
        <v>21508.34</v>
      </c>
      <c r="O2202" t="s">
        <v>36</v>
      </c>
    </row>
    <row r="2203" spans="1:15" x14ac:dyDescent="0.3">
      <c r="A2203" t="s">
        <v>2271</v>
      </c>
      <c r="B2203" s="2">
        <v>47493</v>
      </c>
      <c r="C2203" t="s">
        <v>49</v>
      </c>
      <c r="D2203" t="str">
        <f t="shared" si="34"/>
        <v>January</v>
      </c>
      <c r="E2203" t="s">
        <v>16</v>
      </c>
      <c r="F2203" t="s">
        <v>25</v>
      </c>
      <c r="G2203" t="s">
        <v>56</v>
      </c>
      <c r="H2203" t="s">
        <v>27</v>
      </c>
      <c r="I2203" t="s">
        <v>34</v>
      </c>
      <c r="J2203" t="s">
        <v>35</v>
      </c>
      <c r="K2203">
        <v>4</v>
      </c>
      <c r="L2203">
        <v>2436.08</v>
      </c>
      <c r="M2203">
        <v>10</v>
      </c>
      <c r="N2203">
        <v>8769.9</v>
      </c>
      <c r="O2203" t="s">
        <v>36</v>
      </c>
    </row>
    <row r="2204" spans="1:15" x14ac:dyDescent="0.3">
      <c r="A2204" t="s">
        <v>2272</v>
      </c>
      <c r="B2204" s="2">
        <v>47494</v>
      </c>
      <c r="C2204" t="s">
        <v>31</v>
      </c>
      <c r="D2204" t="str">
        <f t="shared" si="34"/>
        <v>January</v>
      </c>
      <c r="E2204" t="s">
        <v>77</v>
      </c>
      <c r="F2204" t="s">
        <v>60</v>
      </c>
      <c r="G2204" t="s">
        <v>78</v>
      </c>
      <c r="H2204" t="s">
        <v>19</v>
      </c>
      <c r="I2204" t="s">
        <v>34</v>
      </c>
      <c r="J2204" t="s">
        <v>43</v>
      </c>
      <c r="K2204">
        <v>3</v>
      </c>
      <c r="L2204">
        <v>45953.23</v>
      </c>
      <c r="M2204">
        <v>5</v>
      </c>
      <c r="N2204">
        <v>130966.7</v>
      </c>
      <c r="O2204" t="s">
        <v>29</v>
      </c>
    </row>
    <row r="2205" spans="1:15" x14ac:dyDescent="0.3">
      <c r="A2205" t="s">
        <v>2273</v>
      </c>
      <c r="B2205" s="2">
        <v>47495</v>
      </c>
      <c r="C2205" t="s">
        <v>15</v>
      </c>
      <c r="D2205" t="str">
        <f t="shared" si="34"/>
        <v>January</v>
      </c>
      <c r="E2205" t="s">
        <v>50</v>
      </c>
      <c r="F2205" t="s">
        <v>40</v>
      </c>
      <c r="G2205" t="s">
        <v>41</v>
      </c>
      <c r="H2205" t="s">
        <v>45</v>
      </c>
      <c r="I2205" t="s">
        <v>34</v>
      </c>
      <c r="J2205" t="s">
        <v>43</v>
      </c>
      <c r="K2205">
        <v>4</v>
      </c>
      <c r="L2205">
        <v>5239.5600000000004</v>
      </c>
      <c r="M2205">
        <v>10</v>
      </c>
      <c r="N2205">
        <v>18862.43</v>
      </c>
      <c r="O2205" t="s">
        <v>47</v>
      </c>
    </row>
    <row r="2206" spans="1:15" x14ac:dyDescent="0.3">
      <c r="A2206" t="s">
        <v>2274</v>
      </c>
      <c r="B2206" s="2">
        <v>47496</v>
      </c>
      <c r="C2206" t="s">
        <v>38</v>
      </c>
      <c r="D2206" t="str">
        <f t="shared" si="34"/>
        <v>January</v>
      </c>
      <c r="E2206" t="s">
        <v>52</v>
      </c>
      <c r="F2206" t="s">
        <v>40</v>
      </c>
      <c r="G2206" t="s">
        <v>118</v>
      </c>
      <c r="H2206" t="s">
        <v>27</v>
      </c>
      <c r="I2206" t="s">
        <v>20</v>
      </c>
      <c r="J2206" t="s">
        <v>21</v>
      </c>
      <c r="K2206">
        <v>3</v>
      </c>
      <c r="L2206">
        <v>5306.89</v>
      </c>
      <c r="M2206">
        <v>0</v>
      </c>
      <c r="N2206">
        <v>15920.68</v>
      </c>
      <c r="O2206" t="s">
        <v>47</v>
      </c>
    </row>
    <row r="2207" spans="1:15" x14ac:dyDescent="0.3">
      <c r="A2207" t="s">
        <v>2275</v>
      </c>
      <c r="B2207" s="2">
        <v>47497</v>
      </c>
      <c r="C2207" t="s">
        <v>58</v>
      </c>
      <c r="D2207" t="str">
        <f t="shared" si="34"/>
        <v>January</v>
      </c>
      <c r="E2207" t="s">
        <v>69</v>
      </c>
      <c r="F2207" t="s">
        <v>25</v>
      </c>
      <c r="G2207" t="s">
        <v>26</v>
      </c>
      <c r="H2207" t="s">
        <v>19</v>
      </c>
      <c r="I2207" t="s">
        <v>34</v>
      </c>
      <c r="J2207" t="s">
        <v>21</v>
      </c>
      <c r="K2207">
        <v>4</v>
      </c>
      <c r="L2207">
        <v>3004.35</v>
      </c>
      <c r="M2207">
        <v>10</v>
      </c>
      <c r="N2207">
        <v>10815.66</v>
      </c>
      <c r="O2207" t="s">
        <v>29</v>
      </c>
    </row>
    <row r="2208" spans="1:15" x14ac:dyDescent="0.3">
      <c r="A2208" t="s">
        <v>2276</v>
      </c>
      <c r="B2208" s="2">
        <v>47498</v>
      </c>
      <c r="C2208" t="s">
        <v>31</v>
      </c>
      <c r="D2208" t="str">
        <f t="shared" si="34"/>
        <v>January</v>
      </c>
      <c r="E2208" t="s">
        <v>100</v>
      </c>
      <c r="F2208" t="s">
        <v>60</v>
      </c>
      <c r="G2208" t="s">
        <v>73</v>
      </c>
      <c r="H2208" t="s">
        <v>27</v>
      </c>
      <c r="I2208" t="s">
        <v>20</v>
      </c>
      <c r="J2208" t="s">
        <v>28</v>
      </c>
      <c r="K2208">
        <v>2</v>
      </c>
      <c r="L2208">
        <v>32054.17</v>
      </c>
      <c r="M2208">
        <v>15</v>
      </c>
      <c r="N2208">
        <v>54492.1</v>
      </c>
      <c r="O2208" t="s">
        <v>22</v>
      </c>
    </row>
    <row r="2209" spans="1:15" x14ac:dyDescent="0.3">
      <c r="A2209" t="s">
        <v>2277</v>
      </c>
      <c r="B2209" s="2">
        <v>47499</v>
      </c>
      <c r="C2209" t="s">
        <v>49</v>
      </c>
      <c r="D2209" t="str">
        <f t="shared" si="34"/>
        <v>January</v>
      </c>
      <c r="E2209" t="s">
        <v>32</v>
      </c>
      <c r="F2209" t="s">
        <v>17</v>
      </c>
      <c r="G2209" t="s">
        <v>63</v>
      </c>
      <c r="H2209" t="s">
        <v>19</v>
      </c>
      <c r="I2209" t="s">
        <v>42</v>
      </c>
      <c r="J2209" t="s">
        <v>28</v>
      </c>
      <c r="K2209">
        <v>5</v>
      </c>
      <c r="L2209">
        <v>48626.05</v>
      </c>
      <c r="M2209">
        <v>10</v>
      </c>
      <c r="N2209">
        <v>218817.22</v>
      </c>
      <c r="O2209" t="s">
        <v>29</v>
      </c>
    </row>
    <row r="2210" spans="1:15" x14ac:dyDescent="0.3">
      <c r="A2210" t="s">
        <v>2278</v>
      </c>
      <c r="B2210" s="2">
        <v>47500</v>
      </c>
      <c r="C2210" t="s">
        <v>15</v>
      </c>
      <c r="D2210" t="str">
        <f t="shared" si="34"/>
        <v>January</v>
      </c>
      <c r="E2210" t="s">
        <v>24</v>
      </c>
      <c r="F2210" t="s">
        <v>40</v>
      </c>
      <c r="G2210" t="s">
        <v>118</v>
      </c>
      <c r="H2210" t="s">
        <v>45</v>
      </c>
      <c r="I2210" t="s">
        <v>20</v>
      </c>
      <c r="J2210" t="s">
        <v>43</v>
      </c>
      <c r="K2210">
        <v>5</v>
      </c>
      <c r="L2210">
        <v>7329.46</v>
      </c>
      <c r="M2210">
        <v>15</v>
      </c>
      <c r="N2210">
        <v>31150.21</v>
      </c>
      <c r="O2210" t="s">
        <v>36</v>
      </c>
    </row>
    <row r="2211" spans="1:15" x14ac:dyDescent="0.3">
      <c r="A2211" t="s">
        <v>2279</v>
      </c>
      <c r="B2211" s="2">
        <v>47501</v>
      </c>
      <c r="C2211" t="s">
        <v>49</v>
      </c>
      <c r="D2211" t="str">
        <f t="shared" si="34"/>
        <v>January</v>
      </c>
      <c r="E2211" t="s">
        <v>77</v>
      </c>
      <c r="F2211" t="s">
        <v>60</v>
      </c>
      <c r="G2211" t="s">
        <v>73</v>
      </c>
      <c r="H2211" t="s">
        <v>45</v>
      </c>
      <c r="I2211" t="s">
        <v>42</v>
      </c>
      <c r="J2211" t="s">
        <v>21</v>
      </c>
      <c r="K2211">
        <v>5</v>
      </c>
      <c r="L2211">
        <v>31798.18</v>
      </c>
      <c r="M2211">
        <v>10</v>
      </c>
      <c r="N2211">
        <v>143091.79</v>
      </c>
      <c r="O2211" t="s">
        <v>47</v>
      </c>
    </row>
    <row r="2212" spans="1:15" x14ac:dyDescent="0.3">
      <c r="A2212" t="s">
        <v>2280</v>
      </c>
      <c r="B2212" s="2">
        <v>47502</v>
      </c>
      <c r="C2212" t="s">
        <v>38</v>
      </c>
      <c r="D2212" t="str">
        <f t="shared" si="34"/>
        <v>January</v>
      </c>
      <c r="E2212" t="s">
        <v>69</v>
      </c>
      <c r="F2212" t="s">
        <v>17</v>
      </c>
      <c r="G2212" t="s">
        <v>18</v>
      </c>
      <c r="H2212" t="s">
        <v>19</v>
      </c>
      <c r="I2212" t="s">
        <v>20</v>
      </c>
      <c r="J2212" t="s">
        <v>43</v>
      </c>
      <c r="K2212">
        <v>3</v>
      </c>
      <c r="L2212">
        <v>66668.06</v>
      </c>
      <c r="M2212">
        <v>5</v>
      </c>
      <c r="N2212">
        <v>190003.97</v>
      </c>
      <c r="O2212" t="s">
        <v>47</v>
      </c>
    </row>
    <row r="2213" spans="1:15" x14ac:dyDescent="0.3">
      <c r="A2213" t="s">
        <v>2281</v>
      </c>
      <c r="B2213" s="2">
        <v>47503</v>
      </c>
      <c r="C2213" t="s">
        <v>31</v>
      </c>
      <c r="D2213" t="str">
        <f t="shared" si="34"/>
        <v>January</v>
      </c>
      <c r="E2213" t="s">
        <v>77</v>
      </c>
      <c r="F2213" t="s">
        <v>40</v>
      </c>
      <c r="G2213" t="s">
        <v>115</v>
      </c>
      <c r="H2213" t="s">
        <v>19</v>
      </c>
      <c r="I2213" t="s">
        <v>34</v>
      </c>
      <c r="J2213" t="s">
        <v>46</v>
      </c>
      <c r="K2213">
        <v>3</v>
      </c>
      <c r="L2213">
        <v>5757.99</v>
      </c>
      <c r="M2213">
        <v>20</v>
      </c>
      <c r="N2213">
        <v>13819.17</v>
      </c>
      <c r="O2213" t="s">
        <v>47</v>
      </c>
    </row>
    <row r="2214" spans="1:15" x14ac:dyDescent="0.3">
      <c r="A2214" t="s">
        <v>2282</v>
      </c>
      <c r="B2214" s="2">
        <v>47504</v>
      </c>
      <c r="C2214" t="s">
        <v>58</v>
      </c>
      <c r="D2214" t="str">
        <f t="shared" si="34"/>
        <v>January</v>
      </c>
      <c r="E2214" t="s">
        <v>32</v>
      </c>
      <c r="F2214" t="s">
        <v>53</v>
      </c>
      <c r="G2214" t="s">
        <v>129</v>
      </c>
      <c r="H2214" t="s">
        <v>27</v>
      </c>
      <c r="I2214" t="s">
        <v>20</v>
      </c>
      <c r="J2214" t="s">
        <v>28</v>
      </c>
      <c r="K2214">
        <v>3</v>
      </c>
      <c r="L2214">
        <v>33435.67</v>
      </c>
      <c r="M2214">
        <v>10</v>
      </c>
      <c r="N2214">
        <v>90276.3</v>
      </c>
      <c r="O2214" t="s">
        <v>36</v>
      </c>
    </row>
    <row r="2215" spans="1:15" x14ac:dyDescent="0.3">
      <c r="A2215" t="s">
        <v>2283</v>
      </c>
      <c r="B2215" s="2">
        <v>47505</v>
      </c>
      <c r="C2215" t="s">
        <v>49</v>
      </c>
      <c r="D2215" t="str">
        <f t="shared" si="34"/>
        <v>January</v>
      </c>
      <c r="E2215" t="s">
        <v>16</v>
      </c>
      <c r="F2215" t="s">
        <v>60</v>
      </c>
      <c r="G2215" t="s">
        <v>73</v>
      </c>
      <c r="H2215" t="s">
        <v>33</v>
      </c>
      <c r="I2215" t="s">
        <v>42</v>
      </c>
      <c r="J2215" t="s">
        <v>35</v>
      </c>
      <c r="K2215">
        <v>2</v>
      </c>
      <c r="L2215">
        <v>41966.13</v>
      </c>
      <c r="M2215">
        <v>5</v>
      </c>
      <c r="N2215">
        <v>79735.649999999994</v>
      </c>
      <c r="O2215" t="s">
        <v>47</v>
      </c>
    </row>
    <row r="2216" spans="1:15" x14ac:dyDescent="0.3">
      <c r="A2216" t="s">
        <v>2284</v>
      </c>
      <c r="B2216" s="2">
        <v>47506</v>
      </c>
      <c r="C2216" t="s">
        <v>49</v>
      </c>
      <c r="D2216" t="str">
        <f t="shared" si="34"/>
        <v>January</v>
      </c>
      <c r="E2216" t="s">
        <v>77</v>
      </c>
      <c r="F2216" t="s">
        <v>53</v>
      </c>
      <c r="G2216" t="s">
        <v>54</v>
      </c>
      <c r="H2216" t="s">
        <v>33</v>
      </c>
      <c r="I2216" t="s">
        <v>20</v>
      </c>
      <c r="J2216" t="s">
        <v>21</v>
      </c>
      <c r="K2216">
        <v>3</v>
      </c>
      <c r="L2216">
        <v>36052.93</v>
      </c>
      <c r="M2216">
        <v>5</v>
      </c>
      <c r="N2216">
        <v>102750.86</v>
      </c>
      <c r="O2216" t="s">
        <v>22</v>
      </c>
    </row>
    <row r="2217" spans="1:15" x14ac:dyDescent="0.3">
      <c r="A2217" t="s">
        <v>2285</v>
      </c>
      <c r="B2217" s="2">
        <v>47507</v>
      </c>
      <c r="C2217" t="s">
        <v>15</v>
      </c>
      <c r="D2217" t="str">
        <f t="shared" si="34"/>
        <v>January</v>
      </c>
      <c r="E2217" t="s">
        <v>32</v>
      </c>
      <c r="F2217" t="s">
        <v>60</v>
      </c>
      <c r="G2217" t="s">
        <v>73</v>
      </c>
      <c r="H2217" t="s">
        <v>45</v>
      </c>
      <c r="I2217" t="s">
        <v>42</v>
      </c>
      <c r="J2217" t="s">
        <v>28</v>
      </c>
      <c r="K2217">
        <v>3</v>
      </c>
      <c r="L2217">
        <v>52026.83</v>
      </c>
      <c r="M2217">
        <v>10</v>
      </c>
      <c r="N2217">
        <v>140472.44</v>
      </c>
      <c r="O2217" t="s">
        <v>47</v>
      </c>
    </row>
    <row r="2218" spans="1:15" x14ac:dyDescent="0.3">
      <c r="A2218" t="s">
        <v>2286</v>
      </c>
      <c r="B2218" s="2">
        <v>47508</v>
      </c>
      <c r="C2218" t="s">
        <v>15</v>
      </c>
      <c r="D2218" t="str">
        <f t="shared" si="34"/>
        <v>January</v>
      </c>
      <c r="E2218" t="s">
        <v>39</v>
      </c>
      <c r="F2218" t="s">
        <v>60</v>
      </c>
      <c r="G2218" t="s">
        <v>61</v>
      </c>
      <c r="H2218" t="s">
        <v>45</v>
      </c>
      <c r="I2218" t="s">
        <v>42</v>
      </c>
      <c r="J2218" t="s">
        <v>35</v>
      </c>
      <c r="K2218">
        <v>1</v>
      </c>
      <c r="L2218">
        <v>46882.74</v>
      </c>
      <c r="M2218">
        <v>15</v>
      </c>
      <c r="N2218">
        <v>39850.33</v>
      </c>
      <c r="O2218" t="s">
        <v>47</v>
      </c>
    </row>
    <row r="2219" spans="1:15" x14ac:dyDescent="0.3">
      <c r="A2219" t="s">
        <v>2287</v>
      </c>
      <c r="B2219" s="2">
        <v>47509</v>
      </c>
      <c r="C2219" t="s">
        <v>31</v>
      </c>
      <c r="D2219" t="str">
        <f t="shared" si="34"/>
        <v>January</v>
      </c>
      <c r="E2219" t="s">
        <v>72</v>
      </c>
      <c r="F2219" t="s">
        <v>53</v>
      </c>
      <c r="G2219" t="s">
        <v>54</v>
      </c>
      <c r="H2219" t="s">
        <v>19</v>
      </c>
      <c r="I2219" t="s">
        <v>42</v>
      </c>
      <c r="J2219" t="s">
        <v>43</v>
      </c>
      <c r="K2219">
        <v>2</v>
      </c>
      <c r="L2219">
        <v>37430.699999999997</v>
      </c>
      <c r="M2219">
        <v>15</v>
      </c>
      <c r="N2219">
        <v>63632.19</v>
      </c>
      <c r="O2219" t="s">
        <v>47</v>
      </c>
    </row>
    <row r="2220" spans="1:15" x14ac:dyDescent="0.3">
      <c r="A2220" t="s">
        <v>2288</v>
      </c>
      <c r="B2220" s="2">
        <v>47510</v>
      </c>
      <c r="C2220" t="s">
        <v>38</v>
      </c>
      <c r="D2220" t="str">
        <f t="shared" si="34"/>
        <v>January</v>
      </c>
      <c r="E2220" t="s">
        <v>24</v>
      </c>
      <c r="F2220" t="s">
        <v>17</v>
      </c>
      <c r="G2220" t="s">
        <v>67</v>
      </c>
      <c r="H2220" t="s">
        <v>45</v>
      </c>
      <c r="I2220" t="s">
        <v>34</v>
      </c>
      <c r="J2220" t="s">
        <v>21</v>
      </c>
      <c r="K2220">
        <v>1</v>
      </c>
      <c r="L2220">
        <v>67741.179999999993</v>
      </c>
      <c r="M2220">
        <v>10</v>
      </c>
      <c r="N2220">
        <v>60967.06</v>
      </c>
      <c r="O2220" t="s">
        <v>22</v>
      </c>
    </row>
    <row r="2221" spans="1:15" x14ac:dyDescent="0.3">
      <c r="A2221" t="s">
        <v>2289</v>
      </c>
      <c r="B2221" s="2">
        <v>47511</v>
      </c>
      <c r="C2221" t="s">
        <v>58</v>
      </c>
      <c r="D2221" t="str">
        <f t="shared" si="34"/>
        <v>January</v>
      </c>
      <c r="E2221" t="s">
        <v>24</v>
      </c>
      <c r="F2221" t="s">
        <v>53</v>
      </c>
      <c r="G2221" t="s">
        <v>65</v>
      </c>
      <c r="H2221" t="s">
        <v>33</v>
      </c>
      <c r="I2221" t="s">
        <v>42</v>
      </c>
      <c r="J2221" t="s">
        <v>28</v>
      </c>
      <c r="K2221">
        <v>4</v>
      </c>
      <c r="L2221">
        <v>30974.59</v>
      </c>
      <c r="M2221">
        <v>15</v>
      </c>
      <c r="N2221">
        <v>105313.59</v>
      </c>
      <c r="O2221" t="s">
        <v>22</v>
      </c>
    </row>
    <row r="2222" spans="1:15" x14ac:dyDescent="0.3">
      <c r="A2222" t="s">
        <v>2290</v>
      </c>
      <c r="B2222" s="2">
        <v>47512</v>
      </c>
      <c r="C2222" t="s">
        <v>15</v>
      </c>
      <c r="D2222" t="str">
        <f t="shared" si="34"/>
        <v>January</v>
      </c>
      <c r="E2222" t="s">
        <v>24</v>
      </c>
      <c r="F2222" t="s">
        <v>40</v>
      </c>
      <c r="G2222" t="s">
        <v>41</v>
      </c>
      <c r="H2222" t="s">
        <v>27</v>
      </c>
      <c r="I2222" t="s">
        <v>34</v>
      </c>
      <c r="J2222" t="s">
        <v>43</v>
      </c>
      <c r="K2222">
        <v>2</v>
      </c>
      <c r="L2222">
        <v>6719.75</v>
      </c>
      <c r="M2222">
        <v>5</v>
      </c>
      <c r="N2222">
        <v>12767.52</v>
      </c>
      <c r="O2222" t="s">
        <v>47</v>
      </c>
    </row>
    <row r="2223" spans="1:15" x14ac:dyDescent="0.3">
      <c r="A2223" t="s">
        <v>2291</v>
      </c>
      <c r="B2223" s="2">
        <v>47513</v>
      </c>
      <c r="C2223" t="s">
        <v>15</v>
      </c>
      <c r="D2223" t="str">
        <f t="shared" si="34"/>
        <v>January</v>
      </c>
      <c r="E2223" t="s">
        <v>24</v>
      </c>
      <c r="F2223" t="s">
        <v>40</v>
      </c>
      <c r="G2223" t="s">
        <v>118</v>
      </c>
      <c r="H2223" t="s">
        <v>45</v>
      </c>
      <c r="I2223" t="s">
        <v>20</v>
      </c>
      <c r="J2223" t="s">
        <v>28</v>
      </c>
      <c r="K2223">
        <v>1</v>
      </c>
      <c r="L2223">
        <v>5900.15</v>
      </c>
      <c r="M2223">
        <v>0</v>
      </c>
      <c r="N2223">
        <v>5900.15</v>
      </c>
      <c r="O2223" t="s">
        <v>36</v>
      </c>
    </row>
    <row r="2224" spans="1:15" x14ac:dyDescent="0.3">
      <c r="A2224" t="s">
        <v>2292</v>
      </c>
      <c r="B2224" s="2">
        <v>47514</v>
      </c>
      <c r="C2224" t="s">
        <v>31</v>
      </c>
      <c r="D2224" t="str">
        <f t="shared" si="34"/>
        <v>January</v>
      </c>
      <c r="E2224" t="s">
        <v>77</v>
      </c>
      <c r="F2224" t="s">
        <v>53</v>
      </c>
      <c r="G2224" t="s">
        <v>129</v>
      </c>
      <c r="H2224" t="s">
        <v>27</v>
      </c>
      <c r="I2224" t="s">
        <v>34</v>
      </c>
      <c r="J2224" t="s">
        <v>43</v>
      </c>
      <c r="K2224">
        <v>2</v>
      </c>
      <c r="L2224">
        <v>35914.65</v>
      </c>
      <c r="M2224">
        <v>10</v>
      </c>
      <c r="N2224">
        <v>64646.37</v>
      </c>
      <c r="O2224" t="s">
        <v>47</v>
      </c>
    </row>
    <row r="2225" spans="1:15" x14ac:dyDescent="0.3">
      <c r="A2225" t="s">
        <v>2293</v>
      </c>
      <c r="B2225" s="2">
        <v>47515</v>
      </c>
      <c r="C2225" t="s">
        <v>38</v>
      </c>
      <c r="D2225" t="str">
        <f t="shared" si="34"/>
        <v>February</v>
      </c>
      <c r="E2225" t="s">
        <v>39</v>
      </c>
      <c r="F2225" t="s">
        <v>60</v>
      </c>
      <c r="G2225" t="s">
        <v>70</v>
      </c>
      <c r="H2225" t="s">
        <v>19</v>
      </c>
      <c r="I2225" t="s">
        <v>20</v>
      </c>
      <c r="J2225" t="s">
        <v>28</v>
      </c>
      <c r="K2225">
        <v>5</v>
      </c>
      <c r="L2225">
        <v>44215.27</v>
      </c>
      <c r="M2225">
        <v>15</v>
      </c>
      <c r="N2225">
        <v>187914.9</v>
      </c>
      <c r="O2225" t="s">
        <v>36</v>
      </c>
    </row>
    <row r="2226" spans="1:15" x14ac:dyDescent="0.3">
      <c r="A2226" t="s">
        <v>2294</v>
      </c>
      <c r="B2226" s="2">
        <v>47516</v>
      </c>
      <c r="C2226" t="s">
        <v>38</v>
      </c>
      <c r="D2226" t="str">
        <f t="shared" si="34"/>
        <v>February</v>
      </c>
      <c r="E2226" t="s">
        <v>77</v>
      </c>
      <c r="F2226" t="s">
        <v>53</v>
      </c>
      <c r="G2226" t="s">
        <v>105</v>
      </c>
      <c r="H2226" t="s">
        <v>19</v>
      </c>
      <c r="I2226" t="s">
        <v>20</v>
      </c>
      <c r="J2226" t="s">
        <v>46</v>
      </c>
      <c r="K2226">
        <v>3</v>
      </c>
      <c r="L2226">
        <v>37629.980000000003</v>
      </c>
      <c r="M2226">
        <v>0</v>
      </c>
      <c r="N2226">
        <v>112889.95</v>
      </c>
      <c r="O2226" t="s">
        <v>47</v>
      </c>
    </row>
    <row r="2227" spans="1:15" x14ac:dyDescent="0.3">
      <c r="A2227" t="s">
        <v>2295</v>
      </c>
      <c r="B2227" s="2">
        <v>47517</v>
      </c>
      <c r="C2227" t="s">
        <v>58</v>
      </c>
      <c r="D2227" t="str">
        <f t="shared" si="34"/>
        <v>February</v>
      </c>
      <c r="E2227" t="s">
        <v>16</v>
      </c>
      <c r="F2227" t="s">
        <v>25</v>
      </c>
      <c r="G2227" t="s">
        <v>26</v>
      </c>
      <c r="H2227" t="s">
        <v>33</v>
      </c>
      <c r="I2227" t="s">
        <v>34</v>
      </c>
      <c r="J2227" t="s">
        <v>28</v>
      </c>
      <c r="K2227">
        <v>4</v>
      </c>
      <c r="L2227">
        <v>2168</v>
      </c>
      <c r="M2227">
        <v>5</v>
      </c>
      <c r="N2227">
        <v>8238.42</v>
      </c>
      <c r="O2227" t="s">
        <v>22</v>
      </c>
    </row>
    <row r="2228" spans="1:15" x14ac:dyDescent="0.3">
      <c r="A2228" t="s">
        <v>2296</v>
      </c>
      <c r="B2228" s="2">
        <v>47518</v>
      </c>
      <c r="C2228" t="s">
        <v>15</v>
      </c>
      <c r="D2228" t="str">
        <f t="shared" si="34"/>
        <v>February</v>
      </c>
      <c r="E2228" t="s">
        <v>52</v>
      </c>
      <c r="F2228" t="s">
        <v>25</v>
      </c>
      <c r="G2228" t="s">
        <v>26</v>
      </c>
      <c r="H2228" t="s">
        <v>45</v>
      </c>
      <c r="I2228" t="s">
        <v>42</v>
      </c>
      <c r="J2228" t="s">
        <v>43</v>
      </c>
      <c r="K2228">
        <v>4</v>
      </c>
      <c r="L2228">
        <v>2586.75</v>
      </c>
      <c r="M2228">
        <v>0</v>
      </c>
      <c r="N2228">
        <v>10347.01</v>
      </c>
      <c r="O2228" t="s">
        <v>47</v>
      </c>
    </row>
    <row r="2229" spans="1:15" x14ac:dyDescent="0.3">
      <c r="A2229" t="s">
        <v>2297</v>
      </c>
      <c r="B2229" s="2">
        <v>47519</v>
      </c>
      <c r="C2229" t="s">
        <v>31</v>
      </c>
      <c r="D2229" t="str">
        <f t="shared" si="34"/>
        <v>February</v>
      </c>
      <c r="E2229" t="s">
        <v>72</v>
      </c>
      <c r="F2229" t="s">
        <v>25</v>
      </c>
      <c r="G2229" t="s">
        <v>81</v>
      </c>
      <c r="H2229" t="s">
        <v>33</v>
      </c>
      <c r="I2229" t="s">
        <v>20</v>
      </c>
      <c r="J2229" t="s">
        <v>21</v>
      </c>
      <c r="K2229">
        <v>3</v>
      </c>
      <c r="L2229">
        <v>1931.72</v>
      </c>
      <c r="M2229">
        <v>10</v>
      </c>
      <c r="N2229">
        <v>5215.6400000000003</v>
      </c>
      <c r="O2229" t="s">
        <v>47</v>
      </c>
    </row>
    <row r="2230" spans="1:15" x14ac:dyDescent="0.3">
      <c r="A2230" t="s">
        <v>2298</v>
      </c>
      <c r="B2230" s="2">
        <v>47520</v>
      </c>
      <c r="C2230" t="s">
        <v>15</v>
      </c>
      <c r="D2230" t="str">
        <f t="shared" si="34"/>
        <v>February</v>
      </c>
      <c r="E2230" t="s">
        <v>39</v>
      </c>
      <c r="F2230" t="s">
        <v>25</v>
      </c>
      <c r="G2230" t="s">
        <v>81</v>
      </c>
      <c r="H2230" t="s">
        <v>27</v>
      </c>
      <c r="I2230" t="s">
        <v>34</v>
      </c>
      <c r="J2230" t="s">
        <v>21</v>
      </c>
      <c r="K2230">
        <v>4</v>
      </c>
      <c r="L2230">
        <v>2047.22</v>
      </c>
      <c r="M2230">
        <v>15</v>
      </c>
      <c r="N2230">
        <v>6960.55</v>
      </c>
      <c r="O2230" t="s">
        <v>47</v>
      </c>
    </row>
    <row r="2231" spans="1:15" x14ac:dyDescent="0.3">
      <c r="A2231" t="s">
        <v>2299</v>
      </c>
      <c r="B2231" s="2">
        <v>47521</v>
      </c>
      <c r="C2231" t="s">
        <v>58</v>
      </c>
      <c r="D2231" t="str">
        <f t="shared" si="34"/>
        <v>February</v>
      </c>
      <c r="E2231" t="s">
        <v>52</v>
      </c>
      <c r="F2231" t="s">
        <v>40</v>
      </c>
      <c r="G2231" t="s">
        <v>75</v>
      </c>
      <c r="H2231" t="s">
        <v>27</v>
      </c>
      <c r="I2231" t="s">
        <v>20</v>
      </c>
      <c r="J2231" t="s">
        <v>43</v>
      </c>
      <c r="K2231">
        <v>1</v>
      </c>
      <c r="L2231">
        <v>6749.75</v>
      </c>
      <c r="M2231">
        <v>5</v>
      </c>
      <c r="N2231">
        <v>6412.26</v>
      </c>
      <c r="O2231" t="s">
        <v>47</v>
      </c>
    </row>
    <row r="2232" spans="1:15" x14ac:dyDescent="0.3">
      <c r="A2232" t="s">
        <v>2300</v>
      </c>
      <c r="B2232" s="2">
        <v>47522</v>
      </c>
      <c r="C2232" t="s">
        <v>58</v>
      </c>
      <c r="D2232" t="str">
        <f t="shared" si="34"/>
        <v>February</v>
      </c>
      <c r="E2232" t="s">
        <v>16</v>
      </c>
      <c r="F2232" t="s">
        <v>25</v>
      </c>
      <c r="G2232" t="s">
        <v>26</v>
      </c>
      <c r="H2232" t="s">
        <v>27</v>
      </c>
      <c r="I2232" t="s">
        <v>42</v>
      </c>
      <c r="J2232" t="s">
        <v>35</v>
      </c>
      <c r="K2232">
        <v>4</v>
      </c>
      <c r="L2232">
        <v>2928.1</v>
      </c>
      <c r="M2232">
        <v>20</v>
      </c>
      <c r="N2232">
        <v>9369.92</v>
      </c>
      <c r="O2232" t="s">
        <v>29</v>
      </c>
    </row>
    <row r="2233" spans="1:15" x14ac:dyDescent="0.3">
      <c r="A2233" t="s">
        <v>2301</v>
      </c>
      <c r="B2233" s="2">
        <v>47523</v>
      </c>
      <c r="C2233" t="s">
        <v>15</v>
      </c>
      <c r="D2233" t="str">
        <f t="shared" si="34"/>
        <v>February</v>
      </c>
      <c r="E2233" t="s">
        <v>50</v>
      </c>
      <c r="F2233" t="s">
        <v>17</v>
      </c>
      <c r="G2233" t="s">
        <v>67</v>
      </c>
      <c r="H2233" t="s">
        <v>27</v>
      </c>
      <c r="I2233" t="s">
        <v>42</v>
      </c>
      <c r="J2233" t="s">
        <v>46</v>
      </c>
      <c r="K2233">
        <v>1</v>
      </c>
      <c r="L2233">
        <v>69722.3</v>
      </c>
      <c r="M2233">
        <v>5</v>
      </c>
      <c r="N2233">
        <v>66236.19</v>
      </c>
      <c r="O2233" t="s">
        <v>47</v>
      </c>
    </row>
    <row r="2234" spans="1:15" x14ac:dyDescent="0.3">
      <c r="A2234" t="s">
        <v>2302</v>
      </c>
      <c r="B2234" s="2">
        <v>47524</v>
      </c>
      <c r="C2234" t="s">
        <v>58</v>
      </c>
      <c r="D2234" t="str">
        <f t="shared" si="34"/>
        <v>February</v>
      </c>
      <c r="E2234" t="s">
        <v>69</v>
      </c>
      <c r="F2234" t="s">
        <v>60</v>
      </c>
      <c r="G2234" t="s">
        <v>78</v>
      </c>
      <c r="H2234" t="s">
        <v>27</v>
      </c>
      <c r="I2234" t="s">
        <v>34</v>
      </c>
      <c r="J2234" t="s">
        <v>46</v>
      </c>
      <c r="K2234">
        <v>5</v>
      </c>
      <c r="L2234">
        <v>34877.18</v>
      </c>
      <c r="M2234">
        <v>0</v>
      </c>
      <c r="N2234">
        <v>174385.92000000001</v>
      </c>
      <c r="O2234" t="s">
        <v>29</v>
      </c>
    </row>
    <row r="2235" spans="1:15" x14ac:dyDescent="0.3">
      <c r="A2235" t="s">
        <v>2303</v>
      </c>
      <c r="B2235" s="2">
        <v>47525</v>
      </c>
      <c r="C2235" t="s">
        <v>38</v>
      </c>
      <c r="D2235" t="str">
        <f t="shared" si="34"/>
        <v>February</v>
      </c>
      <c r="E2235" t="s">
        <v>77</v>
      </c>
      <c r="F2235" t="s">
        <v>25</v>
      </c>
      <c r="G2235" t="s">
        <v>92</v>
      </c>
      <c r="H2235" t="s">
        <v>33</v>
      </c>
      <c r="I2235" t="s">
        <v>20</v>
      </c>
      <c r="J2235" t="s">
        <v>35</v>
      </c>
      <c r="K2235">
        <v>4</v>
      </c>
      <c r="L2235">
        <v>2696.39</v>
      </c>
      <c r="M2235">
        <v>10</v>
      </c>
      <c r="N2235">
        <v>9707.01</v>
      </c>
      <c r="O2235" t="s">
        <v>47</v>
      </c>
    </row>
    <row r="2236" spans="1:15" x14ac:dyDescent="0.3">
      <c r="A2236" t="s">
        <v>2304</v>
      </c>
      <c r="B2236" s="2">
        <v>47526</v>
      </c>
      <c r="C2236" t="s">
        <v>58</v>
      </c>
      <c r="D2236" t="str">
        <f t="shared" si="34"/>
        <v>February</v>
      </c>
      <c r="E2236" t="s">
        <v>39</v>
      </c>
      <c r="F2236" t="s">
        <v>17</v>
      </c>
      <c r="G2236" t="s">
        <v>67</v>
      </c>
      <c r="H2236" t="s">
        <v>27</v>
      </c>
      <c r="I2236" t="s">
        <v>34</v>
      </c>
      <c r="J2236" t="s">
        <v>43</v>
      </c>
      <c r="K2236">
        <v>5</v>
      </c>
      <c r="L2236">
        <v>71983.23</v>
      </c>
      <c r="M2236">
        <v>20</v>
      </c>
      <c r="N2236">
        <v>287932.92</v>
      </c>
      <c r="O2236" t="s">
        <v>29</v>
      </c>
    </row>
    <row r="2237" spans="1:15" x14ac:dyDescent="0.3">
      <c r="A2237" t="s">
        <v>2305</v>
      </c>
      <c r="B2237" s="2">
        <v>47527</v>
      </c>
      <c r="C2237" t="s">
        <v>49</v>
      </c>
      <c r="D2237" t="str">
        <f t="shared" si="34"/>
        <v>February</v>
      </c>
      <c r="E2237" t="s">
        <v>72</v>
      </c>
      <c r="F2237" t="s">
        <v>53</v>
      </c>
      <c r="G2237" t="s">
        <v>54</v>
      </c>
      <c r="H2237" t="s">
        <v>19</v>
      </c>
      <c r="I2237" t="s">
        <v>20</v>
      </c>
      <c r="J2237" t="s">
        <v>35</v>
      </c>
      <c r="K2237">
        <v>4</v>
      </c>
      <c r="L2237">
        <v>31569.84</v>
      </c>
      <c r="M2237">
        <v>20</v>
      </c>
      <c r="N2237">
        <v>101023.5</v>
      </c>
      <c r="O2237" t="s">
        <v>22</v>
      </c>
    </row>
    <row r="2238" spans="1:15" x14ac:dyDescent="0.3">
      <c r="A2238" t="s">
        <v>2306</v>
      </c>
      <c r="B2238" s="2">
        <v>47528</v>
      </c>
      <c r="C2238" t="s">
        <v>58</v>
      </c>
      <c r="D2238" t="str">
        <f t="shared" si="34"/>
        <v>February</v>
      </c>
      <c r="E2238" t="s">
        <v>32</v>
      </c>
      <c r="F2238" t="s">
        <v>25</v>
      </c>
      <c r="G2238" t="s">
        <v>92</v>
      </c>
      <c r="H2238" t="s">
        <v>33</v>
      </c>
      <c r="I2238" t="s">
        <v>34</v>
      </c>
      <c r="J2238" t="s">
        <v>35</v>
      </c>
      <c r="K2238">
        <v>1</v>
      </c>
      <c r="L2238">
        <v>3045.46</v>
      </c>
      <c r="M2238">
        <v>0</v>
      </c>
      <c r="N2238">
        <v>3045.46</v>
      </c>
      <c r="O2238" t="s">
        <v>47</v>
      </c>
    </row>
    <row r="2239" spans="1:15" x14ac:dyDescent="0.3">
      <c r="A2239" t="s">
        <v>2307</v>
      </c>
      <c r="B2239" s="2">
        <v>47529</v>
      </c>
      <c r="C2239" t="s">
        <v>31</v>
      </c>
      <c r="D2239" t="str">
        <f t="shared" si="34"/>
        <v>February</v>
      </c>
      <c r="E2239" t="s">
        <v>72</v>
      </c>
      <c r="F2239" t="s">
        <v>40</v>
      </c>
      <c r="G2239" t="s">
        <v>41</v>
      </c>
      <c r="H2239" t="s">
        <v>27</v>
      </c>
      <c r="I2239" t="s">
        <v>42</v>
      </c>
      <c r="J2239" t="s">
        <v>43</v>
      </c>
      <c r="K2239">
        <v>3</v>
      </c>
      <c r="L2239">
        <v>7406.63</v>
      </c>
      <c r="M2239">
        <v>15</v>
      </c>
      <c r="N2239">
        <v>18886.91</v>
      </c>
      <c r="O2239" t="s">
        <v>47</v>
      </c>
    </row>
    <row r="2240" spans="1:15" x14ac:dyDescent="0.3">
      <c r="A2240" t="s">
        <v>2308</v>
      </c>
      <c r="B2240" s="2">
        <v>47530</v>
      </c>
      <c r="C2240" t="s">
        <v>58</v>
      </c>
      <c r="D2240" t="str">
        <f t="shared" si="34"/>
        <v>February</v>
      </c>
      <c r="E2240" t="s">
        <v>32</v>
      </c>
      <c r="F2240" t="s">
        <v>40</v>
      </c>
      <c r="G2240" t="s">
        <v>41</v>
      </c>
      <c r="H2240" t="s">
        <v>45</v>
      </c>
      <c r="I2240" t="s">
        <v>42</v>
      </c>
      <c r="J2240" t="s">
        <v>21</v>
      </c>
      <c r="K2240">
        <v>3</v>
      </c>
      <c r="L2240">
        <v>7050.03</v>
      </c>
      <c r="M2240">
        <v>0</v>
      </c>
      <c r="N2240">
        <v>21150.1</v>
      </c>
      <c r="O2240" t="s">
        <v>47</v>
      </c>
    </row>
    <row r="2241" spans="1:15" x14ac:dyDescent="0.3">
      <c r="A2241" t="s">
        <v>2309</v>
      </c>
      <c r="B2241" s="2">
        <v>47531</v>
      </c>
      <c r="C2241" t="s">
        <v>31</v>
      </c>
      <c r="D2241" t="str">
        <f t="shared" si="34"/>
        <v>February</v>
      </c>
      <c r="E2241" t="s">
        <v>100</v>
      </c>
      <c r="F2241" t="s">
        <v>60</v>
      </c>
      <c r="G2241" t="s">
        <v>78</v>
      </c>
      <c r="H2241" t="s">
        <v>45</v>
      </c>
      <c r="I2241" t="s">
        <v>34</v>
      </c>
      <c r="J2241" t="s">
        <v>21</v>
      </c>
      <c r="K2241">
        <v>5</v>
      </c>
      <c r="L2241">
        <v>45861.32</v>
      </c>
      <c r="M2241">
        <v>5</v>
      </c>
      <c r="N2241">
        <v>217841.27</v>
      </c>
      <c r="O2241" t="s">
        <v>29</v>
      </c>
    </row>
    <row r="2242" spans="1:15" x14ac:dyDescent="0.3">
      <c r="A2242" t="s">
        <v>2310</v>
      </c>
      <c r="B2242" s="2">
        <v>47532</v>
      </c>
      <c r="C2242" t="s">
        <v>58</v>
      </c>
      <c r="D2242" t="str">
        <f t="shared" si="34"/>
        <v>February</v>
      </c>
      <c r="E2242" t="s">
        <v>69</v>
      </c>
      <c r="F2242" t="s">
        <v>17</v>
      </c>
      <c r="G2242" t="s">
        <v>63</v>
      </c>
      <c r="H2242" t="s">
        <v>33</v>
      </c>
      <c r="I2242" t="s">
        <v>34</v>
      </c>
      <c r="J2242" t="s">
        <v>21</v>
      </c>
      <c r="K2242">
        <v>1</v>
      </c>
      <c r="L2242">
        <v>50925.13</v>
      </c>
      <c r="M2242">
        <v>10</v>
      </c>
      <c r="N2242">
        <v>45832.62</v>
      </c>
      <c r="O2242" t="s">
        <v>22</v>
      </c>
    </row>
    <row r="2243" spans="1:15" x14ac:dyDescent="0.3">
      <c r="A2243" t="s">
        <v>2311</v>
      </c>
      <c r="B2243" s="2">
        <v>47533</v>
      </c>
      <c r="C2243" t="s">
        <v>38</v>
      </c>
      <c r="D2243" t="str">
        <f t="shared" ref="D2243:D2306" si="35">TEXT(B2243,"mmmm")</f>
        <v>February</v>
      </c>
      <c r="E2243" t="s">
        <v>16</v>
      </c>
      <c r="F2243" t="s">
        <v>53</v>
      </c>
      <c r="G2243" t="s">
        <v>129</v>
      </c>
      <c r="H2243" t="s">
        <v>27</v>
      </c>
      <c r="I2243" t="s">
        <v>42</v>
      </c>
      <c r="J2243" t="s">
        <v>35</v>
      </c>
      <c r="K2243">
        <v>1</v>
      </c>
      <c r="L2243">
        <v>33357.629999999997</v>
      </c>
      <c r="M2243">
        <v>5</v>
      </c>
      <c r="N2243">
        <v>31689.75</v>
      </c>
      <c r="O2243" t="s">
        <v>36</v>
      </c>
    </row>
    <row r="2244" spans="1:15" x14ac:dyDescent="0.3">
      <c r="A2244" t="s">
        <v>2312</v>
      </c>
      <c r="B2244" s="2">
        <v>47534</v>
      </c>
      <c r="C2244" t="s">
        <v>38</v>
      </c>
      <c r="D2244" t="str">
        <f t="shared" si="35"/>
        <v>February</v>
      </c>
      <c r="E2244" t="s">
        <v>52</v>
      </c>
      <c r="F2244" t="s">
        <v>25</v>
      </c>
      <c r="G2244" t="s">
        <v>81</v>
      </c>
      <c r="H2244" t="s">
        <v>33</v>
      </c>
      <c r="I2244" t="s">
        <v>34</v>
      </c>
      <c r="J2244" t="s">
        <v>21</v>
      </c>
      <c r="K2244">
        <v>5</v>
      </c>
      <c r="L2244">
        <v>2251.44</v>
      </c>
      <c r="M2244">
        <v>5</v>
      </c>
      <c r="N2244">
        <v>10694.36</v>
      </c>
      <c r="O2244" t="s">
        <v>47</v>
      </c>
    </row>
    <row r="2245" spans="1:15" x14ac:dyDescent="0.3">
      <c r="A2245" t="s">
        <v>2313</v>
      </c>
      <c r="B2245" s="2">
        <v>47535</v>
      </c>
      <c r="C2245" t="s">
        <v>31</v>
      </c>
      <c r="D2245" t="str">
        <f t="shared" si="35"/>
        <v>February</v>
      </c>
      <c r="E2245" t="s">
        <v>72</v>
      </c>
      <c r="F2245" t="s">
        <v>53</v>
      </c>
      <c r="G2245" t="s">
        <v>129</v>
      </c>
      <c r="H2245" t="s">
        <v>33</v>
      </c>
      <c r="I2245" t="s">
        <v>42</v>
      </c>
      <c r="J2245" t="s">
        <v>21</v>
      </c>
      <c r="K2245">
        <v>4</v>
      </c>
      <c r="L2245">
        <v>38730.74</v>
      </c>
      <c r="M2245">
        <v>10</v>
      </c>
      <c r="N2245">
        <v>139430.67000000001</v>
      </c>
      <c r="O2245" t="s">
        <v>36</v>
      </c>
    </row>
    <row r="2246" spans="1:15" x14ac:dyDescent="0.3">
      <c r="A2246" t="s">
        <v>2314</v>
      </c>
      <c r="B2246" s="2">
        <v>47536</v>
      </c>
      <c r="C2246" t="s">
        <v>38</v>
      </c>
      <c r="D2246" t="str">
        <f t="shared" si="35"/>
        <v>February</v>
      </c>
      <c r="E2246" t="s">
        <v>50</v>
      </c>
      <c r="F2246" t="s">
        <v>60</v>
      </c>
      <c r="G2246" t="s">
        <v>78</v>
      </c>
      <c r="H2246" t="s">
        <v>27</v>
      </c>
      <c r="I2246" t="s">
        <v>34</v>
      </c>
      <c r="J2246" t="s">
        <v>43</v>
      </c>
      <c r="K2246">
        <v>2</v>
      </c>
      <c r="L2246">
        <v>50840.92</v>
      </c>
      <c r="M2246">
        <v>10</v>
      </c>
      <c r="N2246">
        <v>91513.66</v>
      </c>
      <c r="O2246" t="s">
        <v>36</v>
      </c>
    </row>
    <row r="2247" spans="1:15" x14ac:dyDescent="0.3">
      <c r="A2247" t="s">
        <v>2315</v>
      </c>
      <c r="B2247" s="2">
        <v>47537</v>
      </c>
      <c r="C2247" t="s">
        <v>49</v>
      </c>
      <c r="D2247" t="str">
        <f t="shared" si="35"/>
        <v>February</v>
      </c>
      <c r="E2247" t="s">
        <v>39</v>
      </c>
      <c r="F2247" t="s">
        <v>60</v>
      </c>
      <c r="G2247" t="s">
        <v>61</v>
      </c>
      <c r="H2247" t="s">
        <v>33</v>
      </c>
      <c r="I2247" t="s">
        <v>34</v>
      </c>
      <c r="J2247" t="s">
        <v>28</v>
      </c>
      <c r="K2247">
        <v>5</v>
      </c>
      <c r="L2247">
        <v>36065.51</v>
      </c>
      <c r="M2247">
        <v>10</v>
      </c>
      <c r="N2247">
        <v>162294.79999999999</v>
      </c>
      <c r="O2247" t="s">
        <v>47</v>
      </c>
    </row>
    <row r="2248" spans="1:15" x14ac:dyDescent="0.3">
      <c r="A2248" t="s">
        <v>2316</v>
      </c>
      <c r="B2248" s="2">
        <v>47538</v>
      </c>
      <c r="C2248" t="s">
        <v>31</v>
      </c>
      <c r="D2248" t="str">
        <f t="shared" si="35"/>
        <v>February</v>
      </c>
      <c r="E2248" t="s">
        <v>16</v>
      </c>
      <c r="F2248" t="s">
        <v>40</v>
      </c>
      <c r="G2248" t="s">
        <v>118</v>
      </c>
      <c r="H2248" t="s">
        <v>27</v>
      </c>
      <c r="I2248" t="s">
        <v>42</v>
      </c>
      <c r="J2248" t="s">
        <v>28</v>
      </c>
      <c r="K2248">
        <v>1</v>
      </c>
      <c r="L2248">
        <v>6955.6</v>
      </c>
      <c r="M2248">
        <v>0</v>
      </c>
      <c r="N2248">
        <v>6955.6</v>
      </c>
      <c r="O2248" t="s">
        <v>47</v>
      </c>
    </row>
    <row r="2249" spans="1:15" x14ac:dyDescent="0.3">
      <c r="A2249" t="s">
        <v>2317</v>
      </c>
      <c r="B2249" s="2">
        <v>47539</v>
      </c>
      <c r="C2249" t="s">
        <v>31</v>
      </c>
      <c r="D2249" t="str">
        <f t="shared" si="35"/>
        <v>February</v>
      </c>
      <c r="E2249" t="s">
        <v>24</v>
      </c>
      <c r="F2249" t="s">
        <v>60</v>
      </c>
      <c r="G2249" t="s">
        <v>78</v>
      </c>
      <c r="H2249" t="s">
        <v>45</v>
      </c>
      <c r="I2249" t="s">
        <v>34</v>
      </c>
      <c r="J2249" t="s">
        <v>46</v>
      </c>
      <c r="K2249">
        <v>5</v>
      </c>
      <c r="L2249">
        <v>34829.910000000003</v>
      </c>
      <c r="M2249">
        <v>10</v>
      </c>
      <c r="N2249">
        <v>156734.59</v>
      </c>
      <c r="O2249" t="s">
        <v>47</v>
      </c>
    </row>
    <row r="2250" spans="1:15" x14ac:dyDescent="0.3">
      <c r="A2250" t="s">
        <v>2318</v>
      </c>
      <c r="B2250" s="2">
        <v>47540</v>
      </c>
      <c r="C2250" t="s">
        <v>38</v>
      </c>
      <c r="D2250" t="str">
        <f t="shared" si="35"/>
        <v>February</v>
      </c>
      <c r="E2250" t="s">
        <v>72</v>
      </c>
      <c r="F2250" t="s">
        <v>17</v>
      </c>
      <c r="G2250" t="s">
        <v>63</v>
      </c>
      <c r="H2250" t="s">
        <v>19</v>
      </c>
      <c r="I2250" t="s">
        <v>34</v>
      </c>
      <c r="J2250" t="s">
        <v>28</v>
      </c>
      <c r="K2250">
        <v>4</v>
      </c>
      <c r="L2250">
        <v>54920.2</v>
      </c>
      <c r="M2250">
        <v>20</v>
      </c>
      <c r="N2250">
        <v>175744.63</v>
      </c>
      <c r="O2250" t="s">
        <v>47</v>
      </c>
    </row>
    <row r="2251" spans="1:15" x14ac:dyDescent="0.3">
      <c r="A2251" t="s">
        <v>2319</v>
      </c>
      <c r="B2251" s="2">
        <v>47541</v>
      </c>
      <c r="C2251" t="s">
        <v>38</v>
      </c>
      <c r="D2251" t="str">
        <f t="shared" si="35"/>
        <v>February</v>
      </c>
      <c r="E2251" t="s">
        <v>39</v>
      </c>
      <c r="F2251" t="s">
        <v>60</v>
      </c>
      <c r="G2251" t="s">
        <v>73</v>
      </c>
      <c r="H2251" t="s">
        <v>19</v>
      </c>
      <c r="I2251" t="s">
        <v>20</v>
      </c>
      <c r="J2251" t="s">
        <v>21</v>
      </c>
      <c r="K2251">
        <v>4</v>
      </c>
      <c r="L2251">
        <v>34850.31</v>
      </c>
      <c r="M2251">
        <v>20</v>
      </c>
      <c r="N2251">
        <v>111521</v>
      </c>
      <c r="O2251" t="s">
        <v>47</v>
      </c>
    </row>
    <row r="2252" spans="1:15" x14ac:dyDescent="0.3">
      <c r="A2252" t="s">
        <v>2320</v>
      </c>
      <c r="B2252" s="2">
        <v>47542</v>
      </c>
      <c r="C2252" t="s">
        <v>15</v>
      </c>
      <c r="D2252" t="str">
        <f t="shared" si="35"/>
        <v>February</v>
      </c>
      <c r="E2252" t="s">
        <v>50</v>
      </c>
      <c r="F2252" t="s">
        <v>25</v>
      </c>
      <c r="G2252" t="s">
        <v>92</v>
      </c>
      <c r="H2252" t="s">
        <v>27</v>
      </c>
      <c r="I2252" t="s">
        <v>34</v>
      </c>
      <c r="J2252" t="s">
        <v>21</v>
      </c>
      <c r="K2252">
        <v>1</v>
      </c>
      <c r="L2252">
        <v>2397.6799999999998</v>
      </c>
      <c r="M2252">
        <v>20</v>
      </c>
      <c r="N2252">
        <v>1918.14</v>
      </c>
      <c r="O2252" t="s">
        <v>47</v>
      </c>
    </row>
    <row r="2253" spans="1:15" x14ac:dyDescent="0.3">
      <c r="A2253" t="s">
        <v>2321</v>
      </c>
      <c r="B2253" s="2">
        <v>47543</v>
      </c>
      <c r="C2253" t="s">
        <v>31</v>
      </c>
      <c r="D2253" t="str">
        <f t="shared" si="35"/>
        <v>March</v>
      </c>
      <c r="E2253" t="s">
        <v>39</v>
      </c>
      <c r="F2253" t="s">
        <v>25</v>
      </c>
      <c r="G2253" t="s">
        <v>56</v>
      </c>
      <c r="H2253" t="s">
        <v>45</v>
      </c>
      <c r="I2253" t="s">
        <v>42</v>
      </c>
      <c r="J2253" t="s">
        <v>35</v>
      </c>
      <c r="K2253">
        <v>3</v>
      </c>
      <c r="L2253">
        <v>2323.2199999999998</v>
      </c>
      <c r="M2253">
        <v>0</v>
      </c>
      <c r="N2253">
        <v>6969.66</v>
      </c>
      <c r="O2253" t="s">
        <v>29</v>
      </c>
    </row>
    <row r="2254" spans="1:15" x14ac:dyDescent="0.3">
      <c r="A2254" t="s">
        <v>2322</v>
      </c>
      <c r="B2254" s="2">
        <v>47544</v>
      </c>
      <c r="C2254" t="s">
        <v>49</v>
      </c>
      <c r="D2254" t="str">
        <f t="shared" si="35"/>
        <v>March</v>
      </c>
      <c r="E2254" t="s">
        <v>32</v>
      </c>
      <c r="F2254" t="s">
        <v>60</v>
      </c>
      <c r="G2254" t="s">
        <v>78</v>
      </c>
      <c r="H2254" t="s">
        <v>27</v>
      </c>
      <c r="I2254" t="s">
        <v>34</v>
      </c>
      <c r="J2254" t="s">
        <v>28</v>
      </c>
      <c r="K2254">
        <v>1</v>
      </c>
      <c r="L2254">
        <v>51289.85</v>
      </c>
      <c r="M2254">
        <v>15</v>
      </c>
      <c r="N2254">
        <v>43596.37</v>
      </c>
      <c r="O2254" t="s">
        <v>29</v>
      </c>
    </row>
    <row r="2255" spans="1:15" x14ac:dyDescent="0.3">
      <c r="A2255" t="s">
        <v>2323</v>
      </c>
      <c r="B2255" s="2">
        <v>47545</v>
      </c>
      <c r="C2255" t="s">
        <v>58</v>
      </c>
      <c r="D2255" t="str">
        <f t="shared" si="35"/>
        <v>March</v>
      </c>
      <c r="E2255" t="s">
        <v>52</v>
      </c>
      <c r="F2255" t="s">
        <v>40</v>
      </c>
      <c r="G2255" t="s">
        <v>75</v>
      </c>
      <c r="H2255" t="s">
        <v>27</v>
      </c>
      <c r="I2255" t="s">
        <v>20</v>
      </c>
      <c r="J2255" t="s">
        <v>21</v>
      </c>
      <c r="K2255">
        <v>4</v>
      </c>
      <c r="L2255">
        <v>7735.34</v>
      </c>
      <c r="M2255">
        <v>10</v>
      </c>
      <c r="N2255">
        <v>27847.23</v>
      </c>
      <c r="O2255" t="s">
        <v>47</v>
      </c>
    </row>
    <row r="2256" spans="1:15" x14ac:dyDescent="0.3">
      <c r="A2256" t="s">
        <v>2324</v>
      </c>
      <c r="B2256" s="2">
        <v>47546</v>
      </c>
      <c r="C2256" t="s">
        <v>15</v>
      </c>
      <c r="D2256" t="str">
        <f t="shared" si="35"/>
        <v>March</v>
      </c>
      <c r="E2256" t="s">
        <v>77</v>
      </c>
      <c r="F2256" t="s">
        <v>17</v>
      </c>
      <c r="G2256" t="s">
        <v>67</v>
      </c>
      <c r="H2256" t="s">
        <v>19</v>
      </c>
      <c r="I2256" t="s">
        <v>42</v>
      </c>
      <c r="J2256" t="s">
        <v>46</v>
      </c>
      <c r="K2256">
        <v>5</v>
      </c>
      <c r="L2256">
        <v>71076.78</v>
      </c>
      <c r="M2256">
        <v>10</v>
      </c>
      <c r="N2256">
        <v>319845.5</v>
      </c>
      <c r="O2256" t="s">
        <v>47</v>
      </c>
    </row>
    <row r="2257" spans="1:15" x14ac:dyDescent="0.3">
      <c r="A2257" t="s">
        <v>2325</v>
      </c>
      <c r="B2257" s="2">
        <v>47547</v>
      </c>
      <c r="C2257" t="s">
        <v>15</v>
      </c>
      <c r="D2257" t="str">
        <f t="shared" si="35"/>
        <v>March</v>
      </c>
      <c r="E2257" t="s">
        <v>52</v>
      </c>
      <c r="F2257" t="s">
        <v>17</v>
      </c>
      <c r="G2257" t="s">
        <v>18</v>
      </c>
      <c r="H2257" t="s">
        <v>19</v>
      </c>
      <c r="I2257" t="s">
        <v>20</v>
      </c>
      <c r="J2257" t="s">
        <v>21</v>
      </c>
      <c r="K2257">
        <v>4</v>
      </c>
      <c r="L2257">
        <v>64674.73</v>
      </c>
      <c r="M2257">
        <v>15</v>
      </c>
      <c r="N2257">
        <v>219894.09</v>
      </c>
      <c r="O2257" t="s">
        <v>29</v>
      </c>
    </row>
    <row r="2258" spans="1:15" x14ac:dyDescent="0.3">
      <c r="A2258" t="s">
        <v>2326</v>
      </c>
      <c r="B2258" s="2">
        <v>47548</v>
      </c>
      <c r="C2258" t="s">
        <v>15</v>
      </c>
      <c r="D2258" t="str">
        <f t="shared" si="35"/>
        <v>March</v>
      </c>
      <c r="E2258" t="s">
        <v>77</v>
      </c>
      <c r="F2258" t="s">
        <v>25</v>
      </c>
      <c r="G2258" t="s">
        <v>26</v>
      </c>
      <c r="H2258" t="s">
        <v>27</v>
      </c>
      <c r="I2258" t="s">
        <v>20</v>
      </c>
      <c r="J2258" t="s">
        <v>21</v>
      </c>
      <c r="K2258">
        <v>4</v>
      </c>
      <c r="L2258">
        <v>2166.0100000000002</v>
      </c>
      <c r="M2258">
        <v>0</v>
      </c>
      <c r="N2258">
        <v>8664.0499999999993</v>
      </c>
      <c r="O2258" t="s">
        <v>36</v>
      </c>
    </row>
    <row r="2259" spans="1:15" x14ac:dyDescent="0.3">
      <c r="A2259" t="s">
        <v>2327</v>
      </c>
      <c r="B2259" s="2">
        <v>47549</v>
      </c>
      <c r="C2259" t="s">
        <v>49</v>
      </c>
      <c r="D2259" t="str">
        <f t="shared" si="35"/>
        <v>March</v>
      </c>
      <c r="E2259" t="s">
        <v>52</v>
      </c>
      <c r="F2259" t="s">
        <v>40</v>
      </c>
      <c r="G2259" t="s">
        <v>115</v>
      </c>
      <c r="H2259" t="s">
        <v>27</v>
      </c>
      <c r="I2259" t="s">
        <v>34</v>
      </c>
      <c r="J2259" t="s">
        <v>43</v>
      </c>
      <c r="K2259">
        <v>4</v>
      </c>
      <c r="L2259">
        <v>5690.44</v>
      </c>
      <c r="M2259">
        <v>0</v>
      </c>
      <c r="N2259">
        <v>22761.78</v>
      </c>
      <c r="O2259" t="s">
        <v>47</v>
      </c>
    </row>
    <row r="2260" spans="1:15" x14ac:dyDescent="0.3">
      <c r="A2260" t="s">
        <v>2328</v>
      </c>
      <c r="B2260" s="2">
        <v>47550</v>
      </c>
      <c r="C2260" t="s">
        <v>49</v>
      </c>
      <c r="D2260" t="str">
        <f t="shared" si="35"/>
        <v>March</v>
      </c>
      <c r="E2260" t="s">
        <v>16</v>
      </c>
      <c r="F2260" t="s">
        <v>17</v>
      </c>
      <c r="G2260" t="s">
        <v>63</v>
      </c>
      <c r="H2260" t="s">
        <v>27</v>
      </c>
      <c r="I2260" t="s">
        <v>20</v>
      </c>
      <c r="J2260" t="s">
        <v>28</v>
      </c>
      <c r="K2260">
        <v>1</v>
      </c>
      <c r="L2260">
        <v>45602.29</v>
      </c>
      <c r="M2260">
        <v>10</v>
      </c>
      <c r="N2260">
        <v>41042.06</v>
      </c>
      <c r="O2260" t="s">
        <v>29</v>
      </c>
    </row>
    <row r="2261" spans="1:15" x14ac:dyDescent="0.3">
      <c r="A2261" t="s">
        <v>2329</v>
      </c>
      <c r="B2261" s="2">
        <v>47551</v>
      </c>
      <c r="C2261" t="s">
        <v>49</v>
      </c>
      <c r="D2261" t="str">
        <f t="shared" si="35"/>
        <v>March</v>
      </c>
      <c r="E2261" t="s">
        <v>77</v>
      </c>
      <c r="F2261" t="s">
        <v>53</v>
      </c>
      <c r="G2261" t="s">
        <v>105</v>
      </c>
      <c r="H2261" t="s">
        <v>45</v>
      </c>
      <c r="I2261" t="s">
        <v>34</v>
      </c>
      <c r="J2261" t="s">
        <v>43</v>
      </c>
      <c r="K2261">
        <v>2</v>
      </c>
      <c r="L2261">
        <v>38777.22</v>
      </c>
      <c r="M2261">
        <v>15</v>
      </c>
      <c r="N2261">
        <v>65921.27</v>
      </c>
      <c r="O2261" t="s">
        <v>22</v>
      </c>
    </row>
    <row r="2262" spans="1:15" x14ac:dyDescent="0.3">
      <c r="A2262" t="s">
        <v>2330</v>
      </c>
      <c r="B2262" s="2">
        <v>47552</v>
      </c>
      <c r="C2262" t="s">
        <v>38</v>
      </c>
      <c r="D2262" t="str">
        <f t="shared" si="35"/>
        <v>March</v>
      </c>
      <c r="E2262" t="s">
        <v>52</v>
      </c>
      <c r="F2262" t="s">
        <v>25</v>
      </c>
      <c r="G2262" t="s">
        <v>56</v>
      </c>
      <c r="H2262" t="s">
        <v>27</v>
      </c>
      <c r="I2262" t="s">
        <v>42</v>
      </c>
      <c r="J2262" t="s">
        <v>43</v>
      </c>
      <c r="K2262">
        <v>2</v>
      </c>
      <c r="L2262">
        <v>2875.37</v>
      </c>
      <c r="M2262">
        <v>15</v>
      </c>
      <c r="N2262">
        <v>4888.13</v>
      </c>
      <c r="O2262" t="s">
        <v>47</v>
      </c>
    </row>
    <row r="2263" spans="1:15" x14ac:dyDescent="0.3">
      <c r="A2263" t="s">
        <v>2331</v>
      </c>
      <c r="B2263" s="2">
        <v>47553</v>
      </c>
      <c r="C2263" t="s">
        <v>58</v>
      </c>
      <c r="D2263" t="str">
        <f t="shared" si="35"/>
        <v>March</v>
      </c>
      <c r="E2263" t="s">
        <v>16</v>
      </c>
      <c r="F2263" t="s">
        <v>60</v>
      </c>
      <c r="G2263" t="s">
        <v>70</v>
      </c>
      <c r="H2263" t="s">
        <v>27</v>
      </c>
      <c r="I2263" t="s">
        <v>34</v>
      </c>
      <c r="J2263" t="s">
        <v>35</v>
      </c>
      <c r="K2263">
        <v>3</v>
      </c>
      <c r="L2263">
        <v>47692.92</v>
      </c>
      <c r="M2263">
        <v>15</v>
      </c>
      <c r="N2263">
        <v>121616.96000000001</v>
      </c>
      <c r="O2263" t="s">
        <v>47</v>
      </c>
    </row>
    <row r="2264" spans="1:15" x14ac:dyDescent="0.3">
      <c r="A2264" t="s">
        <v>2332</v>
      </c>
      <c r="B2264" s="2">
        <v>47554</v>
      </c>
      <c r="C2264" t="s">
        <v>58</v>
      </c>
      <c r="D2264" t="str">
        <f t="shared" si="35"/>
        <v>March</v>
      </c>
      <c r="E2264" t="s">
        <v>100</v>
      </c>
      <c r="F2264" t="s">
        <v>40</v>
      </c>
      <c r="G2264" t="s">
        <v>115</v>
      </c>
      <c r="H2264" t="s">
        <v>19</v>
      </c>
      <c r="I2264" t="s">
        <v>20</v>
      </c>
      <c r="J2264" t="s">
        <v>28</v>
      </c>
      <c r="K2264">
        <v>5</v>
      </c>
      <c r="L2264">
        <v>5626.06</v>
      </c>
      <c r="M2264">
        <v>10</v>
      </c>
      <c r="N2264">
        <v>25317.25</v>
      </c>
      <c r="O2264" t="s">
        <v>22</v>
      </c>
    </row>
    <row r="2265" spans="1:15" x14ac:dyDescent="0.3">
      <c r="A2265" t="s">
        <v>2333</v>
      </c>
      <c r="B2265" s="2">
        <v>47555</v>
      </c>
      <c r="C2265" t="s">
        <v>15</v>
      </c>
      <c r="D2265" t="str">
        <f t="shared" si="35"/>
        <v>March</v>
      </c>
      <c r="E2265" t="s">
        <v>50</v>
      </c>
      <c r="F2265" t="s">
        <v>17</v>
      </c>
      <c r="G2265" t="s">
        <v>67</v>
      </c>
      <c r="H2265" t="s">
        <v>19</v>
      </c>
      <c r="I2265" t="s">
        <v>34</v>
      </c>
      <c r="J2265" t="s">
        <v>43</v>
      </c>
      <c r="K2265">
        <v>3</v>
      </c>
      <c r="L2265">
        <v>48134.52</v>
      </c>
      <c r="M2265">
        <v>10</v>
      </c>
      <c r="N2265">
        <v>129963.21</v>
      </c>
      <c r="O2265" t="s">
        <v>22</v>
      </c>
    </row>
    <row r="2266" spans="1:15" x14ac:dyDescent="0.3">
      <c r="A2266" t="s">
        <v>2334</v>
      </c>
      <c r="B2266" s="2">
        <v>47556</v>
      </c>
      <c r="C2266" t="s">
        <v>49</v>
      </c>
      <c r="D2266" t="str">
        <f t="shared" si="35"/>
        <v>March</v>
      </c>
      <c r="E2266" t="s">
        <v>69</v>
      </c>
      <c r="F2266" t="s">
        <v>40</v>
      </c>
      <c r="G2266" t="s">
        <v>115</v>
      </c>
      <c r="H2266" t="s">
        <v>27</v>
      </c>
      <c r="I2266" t="s">
        <v>42</v>
      </c>
      <c r="J2266" t="s">
        <v>28</v>
      </c>
      <c r="K2266">
        <v>5</v>
      </c>
      <c r="L2266">
        <v>8025.17</v>
      </c>
      <c r="M2266">
        <v>10</v>
      </c>
      <c r="N2266">
        <v>36113.279999999999</v>
      </c>
      <c r="O2266" t="s">
        <v>36</v>
      </c>
    </row>
    <row r="2267" spans="1:15" x14ac:dyDescent="0.3">
      <c r="A2267" t="s">
        <v>2335</v>
      </c>
      <c r="B2267" s="2">
        <v>47557</v>
      </c>
      <c r="C2267" t="s">
        <v>49</v>
      </c>
      <c r="D2267" t="str">
        <f t="shared" si="35"/>
        <v>March</v>
      </c>
      <c r="E2267" t="s">
        <v>100</v>
      </c>
      <c r="F2267" t="s">
        <v>25</v>
      </c>
      <c r="G2267" t="s">
        <v>92</v>
      </c>
      <c r="H2267" t="s">
        <v>45</v>
      </c>
      <c r="I2267" t="s">
        <v>20</v>
      </c>
      <c r="J2267" t="s">
        <v>43</v>
      </c>
      <c r="K2267">
        <v>2</v>
      </c>
      <c r="L2267">
        <v>2800.6</v>
      </c>
      <c r="M2267">
        <v>0</v>
      </c>
      <c r="N2267">
        <v>5601.2</v>
      </c>
      <c r="O2267" t="s">
        <v>36</v>
      </c>
    </row>
    <row r="2268" spans="1:15" x14ac:dyDescent="0.3">
      <c r="A2268" t="s">
        <v>2336</v>
      </c>
      <c r="B2268" s="2">
        <v>47558</v>
      </c>
      <c r="C2268" t="s">
        <v>49</v>
      </c>
      <c r="D2268" t="str">
        <f t="shared" si="35"/>
        <v>March</v>
      </c>
      <c r="E2268" t="s">
        <v>69</v>
      </c>
      <c r="F2268" t="s">
        <v>60</v>
      </c>
      <c r="G2268" t="s">
        <v>73</v>
      </c>
      <c r="H2268" t="s">
        <v>45</v>
      </c>
      <c r="I2268" t="s">
        <v>34</v>
      </c>
      <c r="J2268" t="s">
        <v>46</v>
      </c>
      <c r="K2268">
        <v>5</v>
      </c>
      <c r="L2268">
        <v>37216.89</v>
      </c>
      <c r="M2268">
        <v>5</v>
      </c>
      <c r="N2268">
        <v>176780.23</v>
      </c>
      <c r="O2268" t="s">
        <v>22</v>
      </c>
    </row>
    <row r="2269" spans="1:15" x14ac:dyDescent="0.3">
      <c r="A2269" t="s">
        <v>2337</v>
      </c>
      <c r="B2269" s="2">
        <v>47559</v>
      </c>
      <c r="C2269" t="s">
        <v>15</v>
      </c>
      <c r="D2269" t="str">
        <f t="shared" si="35"/>
        <v>March</v>
      </c>
      <c r="E2269" t="s">
        <v>100</v>
      </c>
      <c r="F2269" t="s">
        <v>40</v>
      </c>
      <c r="G2269" t="s">
        <v>41</v>
      </c>
      <c r="H2269" t="s">
        <v>45</v>
      </c>
      <c r="I2269" t="s">
        <v>42</v>
      </c>
      <c r="J2269" t="s">
        <v>21</v>
      </c>
      <c r="K2269">
        <v>4</v>
      </c>
      <c r="L2269">
        <v>5197.22</v>
      </c>
      <c r="M2269">
        <v>0</v>
      </c>
      <c r="N2269">
        <v>20788.87</v>
      </c>
      <c r="O2269" t="s">
        <v>47</v>
      </c>
    </row>
    <row r="2270" spans="1:15" x14ac:dyDescent="0.3">
      <c r="A2270" t="s">
        <v>2338</v>
      </c>
      <c r="B2270" s="2">
        <v>47560</v>
      </c>
      <c r="C2270" t="s">
        <v>49</v>
      </c>
      <c r="D2270" t="str">
        <f t="shared" si="35"/>
        <v>March</v>
      </c>
      <c r="E2270" t="s">
        <v>69</v>
      </c>
      <c r="F2270" t="s">
        <v>60</v>
      </c>
      <c r="G2270" t="s">
        <v>70</v>
      </c>
      <c r="H2270" t="s">
        <v>45</v>
      </c>
      <c r="I2270" t="s">
        <v>42</v>
      </c>
      <c r="J2270" t="s">
        <v>28</v>
      </c>
      <c r="K2270">
        <v>1</v>
      </c>
      <c r="L2270">
        <v>44841.38</v>
      </c>
      <c r="M2270">
        <v>10</v>
      </c>
      <c r="N2270">
        <v>40357.24</v>
      </c>
      <c r="O2270" t="s">
        <v>47</v>
      </c>
    </row>
    <row r="2271" spans="1:15" x14ac:dyDescent="0.3">
      <c r="A2271" t="s">
        <v>2339</v>
      </c>
      <c r="B2271" s="2">
        <v>47561</v>
      </c>
      <c r="C2271" t="s">
        <v>58</v>
      </c>
      <c r="D2271" t="str">
        <f t="shared" si="35"/>
        <v>March</v>
      </c>
      <c r="E2271" t="s">
        <v>16</v>
      </c>
      <c r="F2271" t="s">
        <v>60</v>
      </c>
      <c r="G2271" t="s">
        <v>78</v>
      </c>
      <c r="H2271" t="s">
        <v>27</v>
      </c>
      <c r="I2271" t="s">
        <v>34</v>
      </c>
      <c r="J2271" t="s">
        <v>28</v>
      </c>
      <c r="K2271">
        <v>1</v>
      </c>
      <c r="L2271">
        <v>36525.300000000003</v>
      </c>
      <c r="M2271">
        <v>0</v>
      </c>
      <c r="N2271">
        <v>36525.300000000003</v>
      </c>
      <c r="O2271" t="s">
        <v>47</v>
      </c>
    </row>
    <row r="2272" spans="1:15" x14ac:dyDescent="0.3">
      <c r="A2272" t="s">
        <v>2340</v>
      </c>
      <c r="B2272" s="2">
        <v>47562</v>
      </c>
      <c r="C2272" t="s">
        <v>58</v>
      </c>
      <c r="D2272" t="str">
        <f t="shared" si="35"/>
        <v>March</v>
      </c>
      <c r="E2272" t="s">
        <v>50</v>
      </c>
      <c r="F2272" t="s">
        <v>60</v>
      </c>
      <c r="G2272" t="s">
        <v>70</v>
      </c>
      <c r="H2272" t="s">
        <v>27</v>
      </c>
      <c r="I2272" t="s">
        <v>20</v>
      </c>
      <c r="J2272" t="s">
        <v>28</v>
      </c>
      <c r="K2272">
        <v>3</v>
      </c>
      <c r="L2272">
        <v>51717.1</v>
      </c>
      <c r="M2272">
        <v>5</v>
      </c>
      <c r="N2272">
        <v>147393.72</v>
      </c>
      <c r="O2272" t="s">
        <v>36</v>
      </c>
    </row>
    <row r="2273" spans="1:15" x14ac:dyDescent="0.3">
      <c r="A2273" t="s">
        <v>2341</v>
      </c>
      <c r="B2273" s="2">
        <v>47563</v>
      </c>
      <c r="C2273" t="s">
        <v>58</v>
      </c>
      <c r="D2273" t="str">
        <f t="shared" si="35"/>
        <v>March</v>
      </c>
      <c r="E2273" t="s">
        <v>32</v>
      </c>
      <c r="F2273" t="s">
        <v>17</v>
      </c>
      <c r="G2273" t="s">
        <v>67</v>
      </c>
      <c r="H2273" t="s">
        <v>33</v>
      </c>
      <c r="I2273" t="s">
        <v>42</v>
      </c>
      <c r="J2273" t="s">
        <v>46</v>
      </c>
      <c r="K2273">
        <v>5</v>
      </c>
      <c r="L2273">
        <v>62766.49</v>
      </c>
      <c r="M2273">
        <v>0</v>
      </c>
      <c r="N2273">
        <v>313832.43</v>
      </c>
      <c r="O2273" t="s">
        <v>36</v>
      </c>
    </row>
    <row r="2274" spans="1:15" x14ac:dyDescent="0.3">
      <c r="A2274" t="s">
        <v>2342</v>
      </c>
      <c r="B2274" s="2">
        <v>47564</v>
      </c>
      <c r="C2274" t="s">
        <v>31</v>
      </c>
      <c r="D2274" t="str">
        <f t="shared" si="35"/>
        <v>March</v>
      </c>
      <c r="E2274" t="s">
        <v>69</v>
      </c>
      <c r="F2274" t="s">
        <v>60</v>
      </c>
      <c r="G2274" t="s">
        <v>78</v>
      </c>
      <c r="H2274" t="s">
        <v>45</v>
      </c>
      <c r="I2274" t="s">
        <v>34</v>
      </c>
      <c r="J2274" t="s">
        <v>35</v>
      </c>
      <c r="K2274">
        <v>5</v>
      </c>
      <c r="L2274">
        <v>50449.41</v>
      </c>
      <c r="M2274">
        <v>10</v>
      </c>
      <c r="N2274">
        <v>227022.34</v>
      </c>
      <c r="O2274" t="s">
        <v>29</v>
      </c>
    </row>
    <row r="2275" spans="1:15" x14ac:dyDescent="0.3">
      <c r="A2275" t="s">
        <v>2343</v>
      </c>
      <c r="B2275" s="2">
        <v>47565</v>
      </c>
      <c r="C2275" t="s">
        <v>58</v>
      </c>
      <c r="D2275" t="str">
        <f t="shared" si="35"/>
        <v>March</v>
      </c>
      <c r="E2275" t="s">
        <v>52</v>
      </c>
      <c r="F2275" t="s">
        <v>17</v>
      </c>
      <c r="G2275" t="s">
        <v>123</v>
      </c>
      <c r="H2275" t="s">
        <v>19</v>
      </c>
      <c r="I2275" t="s">
        <v>34</v>
      </c>
      <c r="J2275" t="s">
        <v>35</v>
      </c>
      <c r="K2275">
        <v>1</v>
      </c>
      <c r="L2275">
        <v>63422.18</v>
      </c>
      <c r="M2275">
        <v>10</v>
      </c>
      <c r="N2275">
        <v>57079.96</v>
      </c>
      <c r="O2275" t="s">
        <v>47</v>
      </c>
    </row>
    <row r="2276" spans="1:15" x14ac:dyDescent="0.3">
      <c r="A2276" t="s">
        <v>2344</v>
      </c>
      <c r="B2276" s="2">
        <v>47566</v>
      </c>
      <c r="C2276" t="s">
        <v>38</v>
      </c>
      <c r="D2276" t="str">
        <f t="shared" si="35"/>
        <v>March</v>
      </c>
      <c r="E2276" t="s">
        <v>39</v>
      </c>
      <c r="F2276" t="s">
        <v>53</v>
      </c>
      <c r="G2276" t="s">
        <v>54</v>
      </c>
      <c r="H2276" t="s">
        <v>27</v>
      </c>
      <c r="I2276" t="s">
        <v>34</v>
      </c>
      <c r="J2276" t="s">
        <v>43</v>
      </c>
      <c r="K2276">
        <v>3</v>
      </c>
      <c r="L2276">
        <v>26475.439999999999</v>
      </c>
      <c r="M2276">
        <v>5</v>
      </c>
      <c r="N2276">
        <v>75455</v>
      </c>
      <c r="O2276" t="s">
        <v>47</v>
      </c>
    </row>
    <row r="2277" spans="1:15" x14ac:dyDescent="0.3">
      <c r="A2277" t="s">
        <v>2345</v>
      </c>
      <c r="B2277" s="2">
        <v>47567</v>
      </c>
      <c r="C2277" t="s">
        <v>15</v>
      </c>
      <c r="D2277" t="str">
        <f t="shared" si="35"/>
        <v>March</v>
      </c>
      <c r="E2277" t="s">
        <v>100</v>
      </c>
      <c r="F2277" t="s">
        <v>60</v>
      </c>
      <c r="G2277" t="s">
        <v>78</v>
      </c>
      <c r="H2277" t="s">
        <v>19</v>
      </c>
      <c r="I2277" t="s">
        <v>20</v>
      </c>
      <c r="J2277" t="s">
        <v>43</v>
      </c>
      <c r="K2277">
        <v>5</v>
      </c>
      <c r="L2277">
        <v>50037.57</v>
      </c>
      <c r="M2277">
        <v>10</v>
      </c>
      <c r="N2277">
        <v>225169.05</v>
      </c>
      <c r="O2277" t="s">
        <v>29</v>
      </c>
    </row>
    <row r="2278" spans="1:15" x14ac:dyDescent="0.3">
      <c r="A2278" t="s">
        <v>2346</v>
      </c>
      <c r="B2278" s="2">
        <v>47568</v>
      </c>
      <c r="C2278" t="s">
        <v>38</v>
      </c>
      <c r="D2278" t="str">
        <f t="shared" si="35"/>
        <v>March</v>
      </c>
      <c r="E2278" t="s">
        <v>72</v>
      </c>
      <c r="F2278" t="s">
        <v>17</v>
      </c>
      <c r="G2278" t="s">
        <v>63</v>
      </c>
      <c r="H2278" t="s">
        <v>27</v>
      </c>
      <c r="I2278" t="s">
        <v>20</v>
      </c>
      <c r="J2278" t="s">
        <v>28</v>
      </c>
      <c r="K2278">
        <v>1</v>
      </c>
      <c r="L2278">
        <v>58719.199999999997</v>
      </c>
      <c r="M2278">
        <v>10</v>
      </c>
      <c r="N2278">
        <v>52847.28</v>
      </c>
      <c r="O2278" t="s">
        <v>29</v>
      </c>
    </row>
    <row r="2279" spans="1:15" x14ac:dyDescent="0.3">
      <c r="A2279" t="s">
        <v>2347</v>
      </c>
      <c r="B2279" s="2">
        <v>47569</v>
      </c>
      <c r="C2279" t="s">
        <v>49</v>
      </c>
      <c r="D2279" t="str">
        <f t="shared" si="35"/>
        <v>March</v>
      </c>
      <c r="E2279" t="s">
        <v>100</v>
      </c>
      <c r="F2279" t="s">
        <v>60</v>
      </c>
      <c r="G2279" t="s">
        <v>73</v>
      </c>
      <c r="H2279" t="s">
        <v>45</v>
      </c>
      <c r="I2279" t="s">
        <v>34</v>
      </c>
      <c r="J2279" t="s">
        <v>28</v>
      </c>
      <c r="K2279">
        <v>5</v>
      </c>
      <c r="L2279">
        <v>50290.38</v>
      </c>
      <c r="M2279">
        <v>15</v>
      </c>
      <c r="N2279">
        <v>213734.13</v>
      </c>
      <c r="O2279" t="s">
        <v>47</v>
      </c>
    </row>
    <row r="2280" spans="1:15" x14ac:dyDescent="0.3">
      <c r="A2280" t="s">
        <v>2348</v>
      </c>
      <c r="B2280" s="2">
        <v>47570</v>
      </c>
      <c r="C2280" t="s">
        <v>31</v>
      </c>
      <c r="D2280" t="str">
        <f t="shared" si="35"/>
        <v>March</v>
      </c>
      <c r="E2280" t="s">
        <v>72</v>
      </c>
      <c r="F2280" t="s">
        <v>60</v>
      </c>
      <c r="G2280" t="s">
        <v>61</v>
      </c>
      <c r="H2280" t="s">
        <v>27</v>
      </c>
      <c r="I2280" t="s">
        <v>42</v>
      </c>
      <c r="J2280" t="s">
        <v>21</v>
      </c>
      <c r="K2280">
        <v>4</v>
      </c>
      <c r="L2280">
        <v>39482.9</v>
      </c>
      <c r="M2280">
        <v>10</v>
      </c>
      <c r="N2280">
        <v>142138.45000000001</v>
      </c>
      <c r="O2280" t="s">
        <v>29</v>
      </c>
    </row>
    <row r="2281" spans="1:15" x14ac:dyDescent="0.3">
      <c r="A2281" t="s">
        <v>2349</v>
      </c>
      <c r="B2281" s="2">
        <v>47571</v>
      </c>
      <c r="C2281" t="s">
        <v>31</v>
      </c>
      <c r="D2281" t="str">
        <f t="shared" si="35"/>
        <v>March</v>
      </c>
      <c r="E2281" t="s">
        <v>50</v>
      </c>
      <c r="F2281" t="s">
        <v>25</v>
      </c>
      <c r="G2281" t="s">
        <v>81</v>
      </c>
      <c r="H2281" t="s">
        <v>19</v>
      </c>
      <c r="I2281" t="s">
        <v>20</v>
      </c>
      <c r="J2281" t="s">
        <v>21</v>
      </c>
      <c r="K2281">
        <v>2</v>
      </c>
      <c r="L2281">
        <v>2561.21</v>
      </c>
      <c r="M2281">
        <v>10</v>
      </c>
      <c r="N2281">
        <v>4610.18</v>
      </c>
      <c r="O2281" t="s">
        <v>47</v>
      </c>
    </row>
    <row r="2282" spans="1:15" x14ac:dyDescent="0.3">
      <c r="A2282" t="s">
        <v>2350</v>
      </c>
      <c r="B2282" s="2">
        <v>47572</v>
      </c>
      <c r="C2282" t="s">
        <v>38</v>
      </c>
      <c r="D2282" t="str">
        <f t="shared" si="35"/>
        <v>March</v>
      </c>
      <c r="E2282" t="s">
        <v>24</v>
      </c>
      <c r="F2282" t="s">
        <v>17</v>
      </c>
      <c r="G2282" t="s">
        <v>67</v>
      </c>
      <c r="H2282" t="s">
        <v>45</v>
      </c>
      <c r="I2282" t="s">
        <v>34</v>
      </c>
      <c r="J2282" t="s">
        <v>43</v>
      </c>
      <c r="K2282">
        <v>3</v>
      </c>
      <c r="L2282">
        <v>60899.519999999997</v>
      </c>
      <c r="M2282">
        <v>10</v>
      </c>
      <c r="N2282">
        <v>164428.69</v>
      </c>
      <c r="O2282" t="s">
        <v>22</v>
      </c>
    </row>
    <row r="2283" spans="1:15" x14ac:dyDescent="0.3">
      <c r="A2283" t="s">
        <v>2351</v>
      </c>
      <c r="B2283" s="2">
        <v>47573</v>
      </c>
      <c r="C2283" t="s">
        <v>38</v>
      </c>
      <c r="D2283" t="str">
        <f t="shared" si="35"/>
        <v>March</v>
      </c>
      <c r="E2283" t="s">
        <v>24</v>
      </c>
      <c r="F2283" t="s">
        <v>53</v>
      </c>
      <c r="G2283" t="s">
        <v>65</v>
      </c>
      <c r="H2283" t="s">
        <v>27</v>
      </c>
      <c r="I2283" t="s">
        <v>42</v>
      </c>
      <c r="J2283" t="s">
        <v>28</v>
      </c>
      <c r="K2283">
        <v>2</v>
      </c>
      <c r="L2283">
        <v>29912.95</v>
      </c>
      <c r="M2283">
        <v>0</v>
      </c>
      <c r="N2283">
        <v>59825.89</v>
      </c>
      <c r="O2283" t="s">
        <v>47</v>
      </c>
    </row>
    <row r="2284" spans="1:15" x14ac:dyDescent="0.3">
      <c r="A2284" t="s">
        <v>2352</v>
      </c>
      <c r="B2284" s="2">
        <v>47574</v>
      </c>
      <c r="C2284" t="s">
        <v>58</v>
      </c>
      <c r="D2284" t="str">
        <f t="shared" si="35"/>
        <v>April</v>
      </c>
      <c r="E2284" t="s">
        <v>24</v>
      </c>
      <c r="F2284" t="s">
        <v>17</v>
      </c>
      <c r="G2284" t="s">
        <v>18</v>
      </c>
      <c r="H2284" t="s">
        <v>45</v>
      </c>
      <c r="I2284" t="s">
        <v>42</v>
      </c>
      <c r="J2284" t="s">
        <v>35</v>
      </c>
      <c r="K2284">
        <v>5</v>
      </c>
      <c r="L2284">
        <v>51493.27</v>
      </c>
      <c r="M2284">
        <v>0</v>
      </c>
      <c r="N2284">
        <v>257466.36</v>
      </c>
      <c r="O2284" t="s">
        <v>47</v>
      </c>
    </row>
    <row r="2285" spans="1:15" x14ac:dyDescent="0.3">
      <c r="A2285" t="s">
        <v>2353</v>
      </c>
      <c r="B2285" s="2">
        <v>47575</v>
      </c>
      <c r="C2285" t="s">
        <v>31</v>
      </c>
      <c r="D2285" t="str">
        <f t="shared" si="35"/>
        <v>April</v>
      </c>
      <c r="E2285" t="s">
        <v>52</v>
      </c>
      <c r="F2285" t="s">
        <v>60</v>
      </c>
      <c r="G2285" t="s">
        <v>78</v>
      </c>
      <c r="H2285" t="s">
        <v>45</v>
      </c>
      <c r="I2285" t="s">
        <v>20</v>
      </c>
      <c r="J2285" t="s">
        <v>43</v>
      </c>
      <c r="K2285">
        <v>1</v>
      </c>
      <c r="L2285">
        <v>40348.71</v>
      </c>
      <c r="M2285">
        <v>0</v>
      </c>
      <c r="N2285">
        <v>40348.71</v>
      </c>
      <c r="O2285" t="s">
        <v>47</v>
      </c>
    </row>
    <row r="2286" spans="1:15" x14ac:dyDescent="0.3">
      <c r="A2286" t="s">
        <v>2354</v>
      </c>
      <c r="B2286" s="2">
        <v>47576</v>
      </c>
      <c r="C2286" t="s">
        <v>58</v>
      </c>
      <c r="D2286" t="str">
        <f t="shared" si="35"/>
        <v>April</v>
      </c>
      <c r="E2286" t="s">
        <v>24</v>
      </c>
      <c r="F2286" t="s">
        <v>25</v>
      </c>
      <c r="G2286" t="s">
        <v>92</v>
      </c>
      <c r="H2286" t="s">
        <v>27</v>
      </c>
      <c r="I2286" t="s">
        <v>20</v>
      </c>
      <c r="J2286" t="s">
        <v>35</v>
      </c>
      <c r="K2286">
        <v>2</v>
      </c>
      <c r="L2286">
        <v>2944.18</v>
      </c>
      <c r="M2286">
        <v>5</v>
      </c>
      <c r="N2286">
        <v>5593.94</v>
      </c>
      <c r="O2286" t="s">
        <v>22</v>
      </c>
    </row>
    <row r="2287" spans="1:15" x14ac:dyDescent="0.3">
      <c r="A2287" t="s">
        <v>2355</v>
      </c>
      <c r="B2287" s="2">
        <v>47577</v>
      </c>
      <c r="C2287" t="s">
        <v>15</v>
      </c>
      <c r="D2287" t="str">
        <f t="shared" si="35"/>
        <v>April</v>
      </c>
      <c r="E2287" t="s">
        <v>24</v>
      </c>
      <c r="F2287" t="s">
        <v>17</v>
      </c>
      <c r="G2287" t="s">
        <v>123</v>
      </c>
      <c r="H2287" t="s">
        <v>19</v>
      </c>
      <c r="I2287" t="s">
        <v>34</v>
      </c>
      <c r="J2287" t="s">
        <v>21</v>
      </c>
      <c r="K2287">
        <v>3</v>
      </c>
      <c r="L2287">
        <v>66804.38</v>
      </c>
      <c r="M2287">
        <v>5</v>
      </c>
      <c r="N2287">
        <v>190392.47</v>
      </c>
      <c r="O2287" t="s">
        <v>29</v>
      </c>
    </row>
    <row r="2288" spans="1:15" x14ac:dyDescent="0.3">
      <c r="A2288" t="s">
        <v>2356</v>
      </c>
      <c r="B2288" s="2">
        <v>47578</v>
      </c>
      <c r="C2288" t="s">
        <v>38</v>
      </c>
      <c r="D2288" t="str">
        <f t="shared" si="35"/>
        <v>April</v>
      </c>
      <c r="E2288" t="s">
        <v>24</v>
      </c>
      <c r="F2288" t="s">
        <v>40</v>
      </c>
      <c r="G2288" t="s">
        <v>41</v>
      </c>
      <c r="H2288" t="s">
        <v>19</v>
      </c>
      <c r="I2288" t="s">
        <v>20</v>
      </c>
      <c r="J2288" t="s">
        <v>35</v>
      </c>
      <c r="K2288">
        <v>3</v>
      </c>
      <c r="L2288">
        <v>6312.38</v>
      </c>
      <c r="M2288">
        <v>10</v>
      </c>
      <c r="N2288">
        <v>17043.419999999998</v>
      </c>
      <c r="O2288" t="s">
        <v>47</v>
      </c>
    </row>
    <row r="2289" spans="1:15" x14ac:dyDescent="0.3">
      <c r="A2289" t="s">
        <v>2357</v>
      </c>
      <c r="B2289" s="2">
        <v>47579</v>
      </c>
      <c r="C2289" t="s">
        <v>38</v>
      </c>
      <c r="D2289" t="str">
        <f t="shared" si="35"/>
        <v>April</v>
      </c>
      <c r="E2289" t="s">
        <v>32</v>
      </c>
      <c r="F2289" t="s">
        <v>53</v>
      </c>
      <c r="G2289" t="s">
        <v>129</v>
      </c>
      <c r="H2289" t="s">
        <v>27</v>
      </c>
      <c r="I2289" t="s">
        <v>42</v>
      </c>
      <c r="J2289" t="s">
        <v>28</v>
      </c>
      <c r="K2289">
        <v>1</v>
      </c>
      <c r="L2289">
        <v>33387.35</v>
      </c>
      <c r="M2289">
        <v>15</v>
      </c>
      <c r="N2289">
        <v>28379.25</v>
      </c>
      <c r="O2289" t="s">
        <v>29</v>
      </c>
    </row>
    <row r="2290" spans="1:15" x14ac:dyDescent="0.3">
      <c r="A2290" t="s">
        <v>2358</v>
      </c>
      <c r="B2290" s="2">
        <v>47580</v>
      </c>
      <c r="C2290" t="s">
        <v>49</v>
      </c>
      <c r="D2290" t="str">
        <f t="shared" si="35"/>
        <v>April</v>
      </c>
      <c r="E2290" t="s">
        <v>52</v>
      </c>
      <c r="F2290" t="s">
        <v>53</v>
      </c>
      <c r="G2290" t="s">
        <v>129</v>
      </c>
      <c r="H2290" t="s">
        <v>45</v>
      </c>
      <c r="I2290" t="s">
        <v>20</v>
      </c>
      <c r="J2290" t="s">
        <v>35</v>
      </c>
      <c r="K2290">
        <v>2</v>
      </c>
      <c r="L2290">
        <v>37979.53</v>
      </c>
      <c r="M2290">
        <v>15</v>
      </c>
      <c r="N2290">
        <v>64565.2</v>
      </c>
      <c r="O2290" t="s">
        <v>36</v>
      </c>
    </row>
    <row r="2291" spans="1:15" x14ac:dyDescent="0.3">
      <c r="A2291" t="s">
        <v>2359</v>
      </c>
      <c r="B2291" s="2">
        <v>47581</v>
      </c>
      <c r="C2291" t="s">
        <v>58</v>
      </c>
      <c r="D2291" t="str">
        <f t="shared" si="35"/>
        <v>April</v>
      </c>
      <c r="E2291" t="s">
        <v>39</v>
      </c>
      <c r="F2291" t="s">
        <v>17</v>
      </c>
      <c r="G2291" t="s">
        <v>18</v>
      </c>
      <c r="H2291" t="s">
        <v>33</v>
      </c>
      <c r="I2291" t="s">
        <v>20</v>
      </c>
      <c r="J2291" t="s">
        <v>43</v>
      </c>
      <c r="K2291">
        <v>4</v>
      </c>
      <c r="L2291">
        <v>58123.23</v>
      </c>
      <c r="M2291">
        <v>0</v>
      </c>
      <c r="N2291">
        <v>232492.91</v>
      </c>
      <c r="O2291" t="s">
        <v>36</v>
      </c>
    </row>
    <row r="2292" spans="1:15" x14ac:dyDescent="0.3">
      <c r="A2292" t="s">
        <v>2360</v>
      </c>
      <c r="B2292" s="2">
        <v>47582</v>
      </c>
      <c r="C2292" t="s">
        <v>38</v>
      </c>
      <c r="D2292" t="str">
        <f t="shared" si="35"/>
        <v>April</v>
      </c>
      <c r="E2292" t="s">
        <v>16</v>
      </c>
      <c r="F2292" t="s">
        <v>25</v>
      </c>
      <c r="G2292" t="s">
        <v>81</v>
      </c>
      <c r="H2292" t="s">
        <v>27</v>
      </c>
      <c r="I2292" t="s">
        <v>34</v>
      </c>
      <c r="J2292" t="s">
        <v>28</v>
      </c>
      <c r="K2292">
        <v>1</v>
      </c>
      <c r="L2292">
        <v>2735.01</v>
      </c>
      <c r="M2292">
        <v>10</v>
      </c>
      <c r="N2292">
        <v>2461.5100000000002</v>
      </c>
      <c r="O2292" t="s">
        <v>22</v>
      </c>
    </row>
    <row r="2293" spans="1:15" x14ac:dyDescent="0.3">
      <c r="A2293" t="s">
        <v>2361</v>
      </c>
      <c r="B2293" s="2">
        <v>47583</v>
      </c>
      <c r="C2293" t="s">
        <v>49</v>
      </c>
      <c r="D2293" t="str">
        <f t="shared" si="35"/>
        <v>April</v>
      </c>
      <c r="E2293" t="s">
        <v>16</v>
      </c>
      <c r="F2293" t="s">
        <v>17</v>
      </c>
      <c r="G2293" t="s">
        <v>67</v>
      </c>
      <c r="H2293" t="s">
        <v>19</v>
      </c>
      <c r="I2293" t="s">
        <v>20</v>
      </c>
      <c r="J2293" t="s">
        <v>43</v>
      </c>
      <c r="K2293">
        <v>4</v>
      </c>
      <c r="L2293">
        <v>66231.47</v>
      </c>
      <c r="M2293">
        <v>10</v>
      </c>
      <c r="N2293">
        <v>238433.3</v>
      </c>
      <c r="O2293" t="s">
        <v>29</v>
      </c>
    </row>
    <row r="2294" spans="1:15" x14ac:dyDescent="0.3">
      <c r="A2294" t="s">
        <v>2362</v>
      </c>
      <c r="B2294" s="2">
        <v>47584</v>
      </c>
      <c r="C2294" t="s">
        <v>38</v>
      </c>
      <c r="D2294" t="str">
        <f t="shared" si="35"/>
        <v>April</v>
      </c>
      <c r="E2294" t="s">
        <v>32</v>
      </c>
      <c r="F2294" t="s">
        <v>25</v>
      </c>
      <c r="G2294" t="s">
        <v>56</v>
      </c>
      <c r="H2294" t="s">
        <v>27</v>
      </c>
      <c r="I2294" t="s">
        <v>20</v>
      </c>
      <c r="J2294" t="s">
        <v>35</v>
      </c>
      <c r="K2294">
        <v>4</v>
      </c>
      <c r="L2294">
        <v>2116.4699999999998</v>
      </c>
      <c r="M2294">
        <v>10</v>
      </c>
      <c r="N2294">
        <v>7619.3</v>
      </c>
      <c r="O2294" t="s">
        <v>36</v>
      </c>
    </row>
    <row r="2295" spans="1:15" x14ac:dyDescent="0.3">
      <c r="A2295" t="s">
        <v>2363</v>
      </c>
      <c r="B2295" s="2">
        <v>47585</v>
      </c>
      <c r="C2295" t="s">
        <v>49</v>
      </c>
      <c r="D2295" t="str">
        <f t="shared" si="35"/>
        <v>April</v>
      </c>
      <c r="E2295" t="s">
        <v>16</v>
      </c>
      <c r="F2295" t="s">
        <v>60</v>
      </c>
      <c r="G2295" t="s">
        <v>78</v>
      </c>
      <c r="H2295" t="s">
        <v>45</v>
      </c>
      <c r="I2295" t="s">
        <v>42</v>
      </c>
      <c r="J2295" t="s">
        <v>21</v>
      </c>
      <c r="K2295">
        <v>2</v>
      </c>
      <c r="L2295">
        <v>47361.71</v>
      </c>
      <c r="M2295">
        <v>0</v>
      </c>
      <c r="N2295">
        <v>94723.41</v>
      </c>
      <c r="O2295" t="s">
        <v>22</v>
      </c>
    </row>
    <row r="2296" spans="1:15" x14ac:dyDescent="0.3">
      <c r="A2296" t="s">
        <v>2364</v>
      </c>
      <c r="B2296" s="2">
        <v>47586</v>
      </c>
      <c r="C2296" t="s">
        <v>31</v>
      </c>
      <c r="D2296" t="str">
        <f t="shared" si="35"/>
        <v>April</v>
      </c>
      <c r="E2296" t="s">
        <v>69</v>
      </c>
      <c r="F2296" t="s">
        <v>53</v>
      </c>
      <c r="G2296" t="s">
        <v>54</v>
      </c>
      <c r="H2296" t="s">
        <v>19</v>
      </c>
      <c r="I2296" t="s">
        <v>42</v>
      </c>
      <c r="J2296" t="s">
        <v>21</v>
      </c>
      <c r="K2296">
        <v>4</v>
      </c>
      <c r="L2296">
        <v>34325.769999999997</v>
      </c>
      <c r="M2296">
        <v>5</v>
      </c>
      <c r="N2296">
        <v>130437.93</v>
      </c>
      <c r="O2296" t="s">
        <v>47</v>
      </c>
    </row>
    <row r="2297" spans="1:15" x14ac:dyDescent="0.3">
      <c r="A2297" t="s">
        <v>2365</v>
      </c>
      <c r="B2297" s="2">
        <v>47587</v>
      </c>
      <c r="C2297" t="s">
        <v>15</v>
      </c>
      <c r="D2297" t="str">
        <f t="shared" si="35"/>
        <v>April</v>
      </c>
      <c r="E2297" t="s">
        <v>100</v>
      </c>
      <c r="F2297" t="s">
        <v>25</v>
      </c>
      <c r="G2297" t="s">
        <v>81</v>
      </c>
      <c r="H2297" t="s">
        <v>45</v>
      </c>
      <c r="I2297" t="s">
        <v>42</v>
      </c>
      <c r="J2297" t="s">
        <v>43</v>
      </c>
      <c r="K2297">
        <v>2</v>
      </c>
      <c r="L2297">
        <v>1895.05</v>
      </c>
      <c r="M2297">
        <v>10</v>
      </c>
      <c r="N2297">
        <v>3411.08</v>
      </c>
      <c r="O2297" t="s">
        <v>29</v>
      </c>
    </row>
    <row r="2298" spans="1:15" x14ac:dyDescent="0.3">
      <c r="A2298" t="s">
        <v>2366</v>
      </c>
      <c r="B2298" s="2">
        <v>47588</v>
      </c>
      <c r="C2298" t="s">
        <v>31</v>
      </c>
      <c r="D2298" t="str">
        <f t="shared" si="35"/>
        <v>April</v>
      </c>
      <c r="E2298" t="s">
        <v>52</v>
      </c>
      <c r="F2298" t="s">
        <v>60</v>
      </c>
      <c r="G2298" t="s">
        <v>78</v>
      </c>
      <c r="H2298" t="s">
        <v>33</v>
      </c>
      <c r="I2298" t="s">
        <v>20</v>
      </c>
      <c r="J2298" t="s">
        <v>28</v>
      </c>
      <c r="K2298">
        <v>3</v>
      </c>
      <c r="L2298">
        <v>46812.75</v>
      </c>
      <c r="M2298">
        <v>15</v>
      </c>
      <c r="N2298">
        <v>119372.5</v>
      </c>
      <c r="O2298" t="s">
        <v>22</v>
      </c>
    </row>
    <row r="2299" spans="1:15" x14ac:dyDescent="0.3">
      <c r="A2299" t="s">
        <v>2367</v>
      </c>
      <c r="B2299" s="2">
        <v>47589</v>
      </c>
      <c r="C2299" t="s">
        <v>49</v>
      </c>
      <c r="D2299" t="str">
        <f t="shared" si="35"/>
        <v>April</v>
      </c>
      <c r="E2299" t="s">
        <v>50</v>
      </c>
      <c r="F2299" t="s">
        <v>40</v>
      </c>
      <c r="G2299" t="s">
        <v>115</v>
      </c>
      <c r="H2299" t="s">
        <v>45</v>
      </c>
      <c r="I2299" t="s">
        <v>42</v>
      </c>
      <c r="J2299" t="s">
        <v>28</v>
      </c>
      <c r="K2299">
        <v>1</v>
      </c>
      <c r="L2299">
        <v>7033.12</v>
      </c>
      <c r="M2299">
        <v>5</v>
      </c>
      <c r="N2299">
        <v>6681.46</v>
      </c>
      <c r="O2299" t="s">
        <v>29</v>
      </c>
    </row>
    <row r="2300" spans="1:15" x14ac:dyDescent="0.3">
      <c r="A2300" t="s">
        <v>2368</v>
      </c>
      <c r="B2300" s="2">
        <v>47590</v>
      </c>
      <c r="C2300" t="s">
        <v>15</v>
      </c>
      <c r="D2300" t="str">
        <f t="shared" si="35"/>
        <v>April</v>
      </c>
      <c r="E2300" t="s">
        <v>50</v>
      </c>
      <c r="F2300" t="s">
        <v>25</v>
      </c>
      <c r="G2300" t="s">
        <v>92</v>
      </c>
      <c r="H2300" t="s">
        <v>33</v>
      </c>
      <c r="I2300" t="s">
        <v>34</v>
      </c>
      <c r="J2300" t="s">
        <v>43</v>
      </c>
      <c r="K2300">
        <v>3</v>
      </c>
      <c r="L2300">
        <v>2835.58</v>
      </c>
      <c r="M2300">
        <v>5</v>
      </c>
      <c r="N2300">
        <v>8081.4</v>
      </c>
      <c r="O2300" t="s">
        <v>47</v>
      </c>
    </row>
    <row r="2301" spans="1:15" x14ac:dyDescent="0.3">
      <c r="A2301" t="s">
        <v>2369</v>
      </c>
      <c r="B2301" s="2">
        <v>47591</v>
      </c>
      <c r="C2301" t="s">
        <v>58</v>
      </c>
      <c r="D2301" t="str">
        <f t="shared" si="35"/>
        <v>April</v>
      </c>
      <c r="E2301" t="s">
        <v>16</v>
      </c>
      <c r="F2301" t="s">
        <v>60</v>
      </c>
      <c r="G2301" t="s">
        <v>70</v>
      </c>
      <c r="H2301" t="s">
        <v>19</v>
      </c>
      <c r="I2301" t="s">
        <v>34</v>
      </c>
      <c r="J2301" t="s">
        <v>21</v>
      </c>
      <c r="K2301">
        <v>2</v>
      </c>
      <c r="L2301">
        <v>43897.64</v>
      </c>
      <c r="M2301">
        <v>5</v>
      </c>
      <c r="N2301">
        <v>83405.52</v>
      </c>
      <c r="O2301" t="s">
        <v>47</v>
      </c>
    </row>
    <row r="2302" spans="1:15" x14ac:dyDescent="0.3">
      <c r="A2302" t="s">
        <v>2370</v>
      </c>
      <c r="B2302" s="2">
        <v>47592</v>
      </c>
      <c r="C2302" t="s">
        <v>49</v>
      </c>
      <c r="D2302" t="str">
        <f t="shared" si="35"/>
        <v>April</v>
      </c>
      <c r="E2302" t="s">
        <v>72</v>
      </c>
      <c r="F2302" t="s">
        <v>40</v>
      </c>
      <c r="G2302" t="s">
        <v>118</v>
      </c>
      <c r="H2302" t="s">
        <v>45</v>
      </c>
      <c r="I2302" t="s">
        <v>34</v>
      </c>
      <c r="J2302" t="s">
        <v>35</v>
      </c>
      <c r="K2302">
        <v>5</v>
      </c>
      <c r="L2302">
        <v>6579.21</v>
      </c>
      <c r="M2302">
        <v>10</v>
      </c>
      <c r="N2302">
        <v>29606.46</v>
      </c>
      <c r="O2302" t="s">
        <v>47</v>
      </c>
    </row>
    <row r="2303" spans="1:15" x14ac:dyDescent="0.3">
      <c r="A2303" t="s">
        <v>2371</v>
      </c>
      <c r="B2303" s="2">
        <v>47593</v>
      </c>
      <c r="C2303" t="s">
        <v>49</v>
      </c>
      <c r="D2303" t="str">
        <f t="shared" si="35"/>
        <v>April</v>
      </c>
      <c r="E2303" t="s">
        <v>24</v>
      </c>
      <c r="F2303" t="s">
        <v>40</v>
      </c>
      <c r="G2303" t="s">
        <v>118</v>
      </c>
      <c r="H2303" t="s">
        <v>27</v>
      </c>
      <c r="I2303" t="s">
        <v>34</v>
      </c>
      <c r="J2303" t="s">
        <v>46</v>
      </c>
      <c r="K2303">
        <v>1</v>
      </c>
      <c r="L2303">
        <v>6272.21</v>
      </c>
      <c r="M2303">
        <v>20</v>
      </c>
      <c r="N2303">
        <v>5017.7700000000004</v>
      </c>
      <c r="O2303" t="s">
        <v>47</v>
      </c>
    </row>
    <row r="2304" spans="1:15" x14ac:dyDescent="0.3">
      <c r="A2304" t="s">
        <v>2372</v>
      </c>
      <c r="B2304" s="2">
        <v>47594</v>
      </c>
      <c r="C2304" t="s">
        <v>31</v>
      </c>
      <c r="D2304" t="str">
        <f t="shared" si="35"/>
        <v>April</v>
      </c>
      <c r="E2304" t="s">
        <v>16</v>
      </c>
      <c r="F2304" t="s">
        <v>17</v>
      </c>
      <c r="G2304" t="s">
        <v>67</v>
      </c>
      <c r="H2304" t="s">
        <v>45</v>
      </c>
      <c r="I2304" t="s">
        <v>42</v>
      </c>
      <c r="J2304" t="s">
        <v>21</v>
      </c>
      <c r="K2304">
        <v>3</v>
      </c>
      <c r="L2304">
        <v>54580.19</v>
      </c>
      <c r="M2304">
        <v>15</v>
      </c>
      <c r="N2304">
        <v>139179.48000000001</v>
      </c>
      <c r="O2304" t="s">
        <v>29</v>
      </c>
    </row>
    <row r="2305" spans="1:15" x14ac:dyDescent="0.3">
      <c r="A2305" t="s">
        <v>2373</v>
      </c>
      <c r="B2305" s="2">
        <v>47595</v>
      </c>
      <c r="C2305" t="s">
        <v>38</v>
      </c>
      <c r="D2305" t="str">
        <f t="shared" si="35"/>
        <v>April</v>
      </c>
      <c r="E2305" t="s">
        <v>72</v>
      </c>
      <c r="F2305" t="s">
        <v>60</v>
      </c>
      <c r="G2305" t="s">
        <v>73</v>
      </c>
      <c r="H2305" t="s">
        <v>19</v>
      </c>
      <c r="I2305" t="s">
        <v>34</v>
      </c>
      <c r="J2305" t="s">
        <v>21</v>
      </c>
      <c r="K2305">
        <v>5</v>
      </c>
      <c r="L2305">
        <v>32211.82</v>
      </c>
      <c r="M2305">
        <v>20</v>
      </c>
      <c r="N2305">
        <v>128847.28</v>
      </c>
      <c r="O2305" t="s">
        <v>47</v>
      </c>
    </row>
    <row r="2306" spans="1:15" x14ac:dyDescent="0.3">
      <c r="A2306" t="s">
        <v>2374</v>
      </c>
      <c r="B2306" s="2">
        <v>47596</v>
      </c>
      <c r="C2306" t="s">
        <v>58</v>
      </c>
      <c r="D2306" t="str">
        <f t="shared" si="35"/>
        <v>April</v>
      </c>
      <c r="E2306" t="s">
        <v>39</v>
      </c>
      <c r="F2306" t="s">
        <v>17</v>
      </c>
      <c r="G2306" t="s">
        <v>67</v>
      </c>
      <c r="H2306" t="s">
        <v>19</v>
      </c>
      <c r="I2306" t="s">
        <v>34</v>
      </c>
      <c r="J2306" t="s">
        <v>21</v>
      </c>
      <c r="K2306">
        <v>1</v>
      </c>
      <c r="L2306">
        <v>65196.22</v>
      </c>
      <c r="M2306">
        <v>20</v>
      </c>
      <c r="N2306">
        <v>52156.97</v>
      </c>
      <c r="O2306" t="s">
        <v>36</v>
      </c>
    </row>
    <row r="2307" spans="1:15" x14ac:dyDescent="0.3">
      <c r="A2307" t="s">
        <v>2375</v>
      </c>
      <c r="B2307" s="2">
        <v>47597</v>
      </c>
      <c r="C2307" t="s">
        <v>38</v>
      </c>
      <c r="D2307" t="str">
        <f t="shared" ref="D2307:D2370" si="36">TEXT(B2307,"mmmm")</f>
        <v>April</v>
      </c>
      <c r="E2307" t="s">
        <v>16</v>
      </c>
      <c r="F2307" t="s">
        <v>17</v>
      </c>
      <c r="G2307" t="s">
        <v>123</v>
      </c>
      <c r="H2307" t="s">
        <v>45</v>
      </c>
      <c r="I2307" t="s">
        <v>34</v>
      </c>
      <c r="J2307" t="s">
        <v>35</v>
      </c>
      <c r="K2307">
        <v>3</v>
      </c>
      <c r="L2307">
        <v>72254.039999999994</v>
      </c>
      <c r="M2307">
        <v>5</v>
      </c>
      <c r="N2307">
        <v>205924.03</v>
      </c>
      <c r="O2307" t="s">
        <v>29</v>
      </c>
    </row>
    <row r="2308" spans="1:15" x14ac:dyDescent="0.3">
      <c r="A2308" t="s">
        <v>2376</v>
      </c>
      <c r="B2308" s="2">
        <v>47598</v>
      </c>
      <c r="C2308" t="s">
        <v>38</v>
      </c>
      <c r="D2308" t="str">
        <f t="shared" si="36"/>
        <v>April</v>
      </c>
      <c r="E2308" t="s">
        <v>100</v>
      </c>
      <c r="F2308" t="s">
        <v>40</v>
      </c>
      <c r="G2308" t="s">
        <v>75</v>
      </c>
      <c r="H2308" t="s">
        <v>33</v>
      </c>
      <c r="I2308" t="s">
        <v>34</v>
      </c>
      <c r="J2308" t="s">
        <v>46</v>
      </c>
      <c r="K2308">
        <v>1</v>
      </c>
      <c r="L2308">
        <v>5106.55</v>
      </c>
      <c r="M2308">
        <v>5</v>
      </c>
      <c r="N2308">
        <v>4851.22</v>
      </c>
      <c r="O2308" t="s">
        <v>22</v>
      </c>
    </row>
    <row r="2309" spans="1:15" x14ac:dyDescent="0.3">
      <c r="A2309" t="s">
        <v>2377</v>
      </c>
      <c r="B2309" s="2">
        <v>47599</v>
      </c>
      <c r="C2309" t="s">
        <v>58</v>
      </c>
      <c r="D2309" t="str">
        <f t="shared" si="36"/>
        <v>April</v>
      </c>
      <c r="E2309" t="s">
        <v>72</v>
      </c>
      <c r="F2309" t="s">
        <v>17</v>
      </c>
      <c r="G2309" t="s">
        <v>67</v>
      </c>
      <c r="H2309" t="s">
        <v>33</v>
      </c>
      <c r="I2309" t="s">
        <v>34</v>
      </c>
      <c r="J2309" t="s">
        <v>46</v>
      </c>
      <c r="K2309">
        <v>2</v>
      </c>
      <c r="L2309">
        <v>58416.75</v>
      </c>
      <c r="M2309">
        <v>10</v>
      </c>
      <c r="N2309">
        <v>105150.16</v>
      </c>
      <c r="O2309" t="s">
        <v>47</v>
      </c>
    </row>
    <row r="2310" spans="1:15" x14ac:dyDescent="0.3">
      <c r="A2310" t="s">
        <v>2378</v>
      </c>
      <c r="B2310" s="2">
        <v>47600</v>
      </c>
      <c r="C2310" t="s">
        <v>15</v>
      </c>
      <c r="D2310" t="str">
        <f t="shared" si="36"/>
        <v>April</v>
      </c>
      <c r="E2310" t="s">
        <v>100</v>
      </c>
      <c r="F2310" t="s">
        <v>60</v>
      </c>
      <c r="G2310" t="s">
        <v>70</v>
      </c>
      <c r="H2310" t="s">
        <v>27</v>
      </c>
      <c r="I2310" t="s">
        <v>20</v>
      </c>
      <c r="J2310" t="s">
        <v>43</v>
      </c>
      <c r="K2310">
        <v>5</v>
      </c>
      <c r="L2310">
        <v>35521.43</v>
      </c>
      <c r="M2310">
        <v>10</v>
      </c>
      <c r="N2310">
        <v>159846.42000000001</v>
      </c>
      <c r="O2310" t="s">
        <v>47</v>
      </c>
    </row>
    <row r="2311" spans="1:15" x14ac:dyDescent="0.3">
      <c r="A2311" t="s">
        <v>2379</v>
      </c>
      <c r="B2311" s="2">
        <v>47601</v>
      </c>
      <c r="C2311" t="s">
        <v>49</v>
      </c>
      <c r="D2311" t="str">
        <f t="shared" si="36"/>
        <v>April</v>
      </c>
      <c r="E2311" t="s">
        <v>52</v>
      </c>
      <c r="F2311" t="s">
        <v>17</v>
      </c>
      <c r="G2311" t="s">
        <v>63</v>
      </c>
      <c r="H2311" t="s">
        <v>33</v>
      </c>
      <c r="I2311" t="s">
        <v>20</v>
      </c>
      <c r="J2311" t="s">
        <v>21</v>
      </c>
      <c r="K2311">
        <v>2</v>
      </c>
      <c r="L2311">
        <v>58606.09</v>
      </c>
      <c r="M2311">
        <v>10</v>
      </c>
      <c r="N2311">
        <v>105490.97</v>
      </c>
      <c r="O2311" t="s">
        <v>47</v>
      </c>
    </row>
    <row r="2312" spans="1:15" x14ac:dyDescent="0.3">
      <c r="A2312" t="s">
        <v>2380</v>
      </c>
      <c r="B2312" s="2">
        <v>47602</v>
      </c>
      <c r="C2312" t="s">
        <v>38</v>
      </c>
      <c r="D2312" t="str">
        <f t="shared" si="36"/>
        <v>April</v>
      </c>
      <c r="E2312" t="s">
        <v>69</v>
      </c>
      <c r="F2312" t="s">
        <v>25</v>
      </c>
      <c r="G2312" t="s">
        <v>81</v>
      </c>
      <c r="H2312" t="s">
        <v>27</v>
      </c>
      <c r="I2312" t="s">
        <v>42</v>
      </c>
      <c r="J2312" t="s">
        <v>35</v>
      </c>
      <c r="K2312">
        <v>4</v>
      </c>
      <c r="L2312">
        <v>3079.33</v>
      </c>
      <c r="M2312">
        <v>20</v>
      </c>
      <c r="N2312">
        <v>9853.86</v>
      </c>
      <c r="O2312" t="s">
        <v>29</v>
      </c>
    </row>
    <row r="2313" spans="1:15" x14ac:dyDescent="0.3">
      <c r="A2313" t="s">
        <v>2381</v>
      </c>
      <c r="B2313" s="2">
        <v>47603</v>
      </c>
      <c r="C2313" t="s">
        <v>58</v>
      </c>
      <c r="D2313" t="str">
        <f t="shared" si="36"/>
        <v>April</v>
      </c>
      <c r="E2313" t="s">
        <v>100</v>
      </c>
      <c r="F2313" t="s">
        <v>53</v>
      </c>
      <c r="G2313" t="s">
        <v>54</v>
      </c>
      <c r="H2313" t="s">
        <v>27</v>
      </c>
      <c r="I2313" t="s">
        <v>34</v>
      </c>
      <c r="J2313" t="s">
        <v>46</v>
      </c>
      <c r="K2313">
        <v>5</v>
      </c>
      <c r="L2313">
        <v>36274.18</v>
      </c>
      <c r="M2313">
        <v>0</v>
      </c>
      <c r="N2313">
        <v>181370.92</v>
      </c>
      <c r="O2313" t="s">
        <v>47</v>
      </c>
    </row>
    <row r="2314" spans="1:15" x14ac:dyDescent="0.3">
      <c r="A2314" t="s">
        <v>2382</v>
      </c>
      <c r="B2314" s="2">
        <v>47604</v>
      </c>
      <c r="C2314" t="s">
        <v>15</v>
      </c>
      <c r="D2314" t="str">
        <f t="shared" si="36"/>
        <v>May</v>
      </c>
      <c r="E2314" t="s">
        <v>39</v>
      </c>
      <c r="F2314" t="s">
        <v>17</v>
      </c>
      <c r="G2314" t="s">
        <v>67</v>
      </c>
      <c r="H2314" t="s">
        <v>19</v>
      </c>
      <c r="I2314" t="s">
        <v>42</v>
      </c>
      <c r="J2314" t="s">
        <v>28</v>
      </c>
      <c r="K2314">
        <v>5</v>
      </c>
      <c r="L2314">
        <v>69358.52</v>
      </c>
      <c r="M2314">
        <v>0</v>
      </c>
      <c r="N2314">
        <v>346792.59</v>
      </c>
      <c r="O2314" t="s">
        <v>22</v>
      </c>
    </row>
    <row r="2315" spans="1:15" x14ac:dyDescent="0.3">
      <c r="A2315" t="s">
        <v>2383</v>
      </c>
      <c r="B2315" s="2">
        <v>47605</v>
      </c>
      <c r="C2315" t="s">
        <v>31</v>
      </c>
      <c r="D2315" t="str">
        <f t="shared" si="36"/>
        <v>May</v>
      </c>
      <c r="E2315" t="s">
        <v>69</v>
      </c>
      <c r="F2315" t="s">
        <v>53</v>
      </c>
      <c r="G2315" t="s">
        <v>129</v>
      </c>
      <c r="H2315" t="s">
        <v>45</v>
      </c>
      <c r="I2315" t="s">
        <v>20</v>
      </c>
      <c r="J2315" t="s">
        <v>28</v>
      </c>
      <c r="K2315">
        <v>5</v>
      </c>
      <c r="L2315">
        <v>34347.22</v>
      </c>
      <c r="M2315">
        <v>5</v>
      </c>
      <c r="N2315">
        <v>163149.28</v>
      </c>
      <c r="O2315" t="s">
        <v>29</v>
      </c>
    </row>
    <row r="2316" spans="1:15" x14ac:dyDescent="0.3">
      <c r="A2316" t="s">
        <v>2384</v>
      </c>
      <c r="B2316" s="2">
        <v>47606</v>
      </c>
      <c r="C2316" t="s">
        <v>31</v>
      </c>
      <c r="D2316" t="str">
        <f t="shared" si="36"/>
        <v>May</v>
      </c>
      <c r="E2316" t="s">
        <v>77</v>
      </c>
      <c r="F2316" t="s">
        <v>53</v>
      </c>
      <c r="G2316" t="s">
        <v>105</v>
      </c>
      <c r="H2316" t="s">
        <v>27</v>
      </c>
      <c r="I2316" t="s">
        <v>42</v>
      </c>
      <c r="J2316" t="s">
        <v>46</v>
      </c>
      <c r="K2316">
        <v>2</v>
      </c>
      <c r="L2316">
        <v>38064.800000000003</v>
      </c>
      <c r="M2316">
        <v>0</v>
      </c>
      <c r="N2316">
        <v>76129.600000000006</v>
      </c>
      <c r="O2316" t="s">
        <v>47</v>
      </c>
    </row>
    <row r="2317" spans="1:15" x14ac:dyDescent="0.3">
      <c r="A2317" t="s">
        <v>2385</v>
      </c>
      <c r="B2317" s="2">
        <v>47607</v>
      </c>
      <c r="C2317" t="s">
        <v>31</v>
      </c>
      <c r="D2317" t="str">
        <f t="shared" si="36"/>
        <v>May</v>
      </c>
      <c r="E2317" t="s">
        <v>16</v>
      </c>
      <c r="F2317" t="s">
        <v>60</v>
      </c>
      <c r="G2317" t="s">
        <v>70</v>
      </c>
      <c r="H2317" t="s">
        <v>45</v>
      </c>
      <c r="I2317" t="s">
        <v>34</v>
      </c>
      <c r="J2317" t="s">
        <v>46</v>
      </c>
      <c r="K2317">
        <v>2</v>
      </c>
      <c r="L2317">
        <v>49674.28</v>
      </c>
      <c r="M2317">
        <v>0</v>
      </c>
      <c r="N2317">
        <v>99348.55</v>
      </c>
      <c r="O2317" t="s">
        <v>29</v>
      </c>
    </row>
    <row r="2318" spans="1:15" x14ac:dyDescent="0.3">
      <c r="A2318" t="s">
        <v>2386</v>
      </c>
      <c r="B2318" s="2">
        <v>47608</v>
      </c>
      <c r="C2318" t="s">
        <v>38</v>
      </c>
      <c r="D2318" t="str">
        <f t="shared" si="36"/>
        <v>May</v>
      </c>
      <c r="E2318" t="s">
        <v>72</v>
      </c>
      <c r="F2318" t="s">
        <v>25</v>
      </c>
      <c r="G2318" t="s">
        <v>56</v>
      </c>
      <c r="H2318" t="s">
        <v>45</v>
      </c>
      <c r="I2318" t="s">
        <v>20</v>
      </c>
      <c r="J2318" t="s">
        <v>21</v>
      </c>
      <c r="K2318">
        <v>2</v>
      </c>
      <c r="L2318">
        <v>2105.09</v>
      </c>
      <c r="M2318">
        <v>0</v>
      </c>
      <c r="N2318">
        <v>4210.17</v>
      </c>
      <c r="O2318" t="s">
        <v>36</v>
      </c>
    </row>
    <row r="2319" spans="1:15" x14ac:dyDescent="0.3">
      <c r="A2319" t="s">
        <v>2387</v>
      </c>
      <c r="B2319" s="2">
        <v>47609</v>
      </c>
      <c r="C2319" t="s">
        <v>15</v>
      </c>
      <c r="D2319" t="str">
        <f t="shared" si="36"/>
        <v>May</v>
      </c>
      <c r="E2319" t="s">
        <v>77</v>
      </c>
      <c r="F2319" t="s">
        <v>17</v>
      </c>
      <c r="G2319" t="s">
        <v>67</v>
      </c>
      <c r="H2319" t="s">
        <v>33</v>
      </c>
      <c r="I2319" t="s">
        <v>34</v>
      </c>
      <c r="J2319" t="s">
        <v>28</v>
      </c>
      <c r="K2319">
        <v>4</v>
      </c>
      <c r="L2319">
        <v>46238.32</v>
      </c>
      <c r="M2319">
        <v>10</v>
      </c>
      <c r="N2319">
        <v>166457.95000000001</v>
      </c>
      <c r="O2319" t="s">
        <v>29</v>
      </c>
    </row>
    <row r="2320" spans="1:15" x14ac:dyDescent="0.3">
      <c r="A2320" t="s">
        <v>2388</v>
      </c>
      <c r="B2320" s="2">
        <v>47610</v>
      </c>
      <c r="C2320" t="s">
        <v>15</v>
      </c>
      <c r="D2320" t="str">
        <f t="shared" si="36"/>
        <v>May</v>
      </c>
      <c r="E2320" t="s">
        <v>72</v>
      </c>
      <c r="F2320" t="s">
        <v>17</v>
      </c>
      <c r="G2320" t="s">
        <v>123</v>
      </c>
      <c r="H2320" t="s">
        <v>19</v>
      </c>
      <c r="I2320" t="s">
        <v>42</v>
      </c>
      <c r="J2320" t="s">
        <v>46</v>
      </c>
      <c r="K2320">
        <v>5</v>
      </c>
      <c r="L2320">
        <v>55098.45</v>
      </c>
      <c r="M2320">
        <v>20</v>
      </c>
      <c r="N2320">
        <v>220393.82</v>
      </c>
      <c r="O2320" t="s">
        <v>36</v>
      </c>
    </row>
    <row r="2321" spans="1:15" x14ac:dyDescent="0.3">
      <c r="A2321" t="s">
        <v>2389</v>
      </c>
      <c r="B2321" s="2">
        <v>47611</v>
      </c>
      <c r="C2321" t="s">
        <v>31</v>
      </c>
      <c r="D2321" t="str">
        <f t="shared" si="36"/>
        <v>May</v>
      </c>
      <c r="E2321" t="s">
        <v>77</v>
      </c>
      <c r="F2321" t="s">
        <v>17</v>
      </c>
      <c r="G2321" t="s">
        <v>18</v>
      </c>
      <c r="H2321" t="s">
        <v>45</v>
      </c>
      <c r="I2321" t="s">
        <v>42</v>
      </c>
      <c r="J2321" t="s">
        <v>43</v>
      </c>
      <c r="K2321">
        <v>5</v>
      </c>
      <c r="L2321">
        <v>59584.11</v>
      </c>
      <c r="M2321">
        <v>10</v>
      </c>
      <c r="N2321">
        <v>268128.49</v>
      </c>
      <c r="O2321" t="s">
        <v>36</v>
      </c>
    </row>
    <row r="2322" spans="1:15" x14ac:dyDescent="0.3">
      <c r="A2322" t="s">
        <v>2390</v>
      </c>
      <c r="B2322" s="2">
        <v>47612</v>
      </c>
      <c r="C2322" t="s">
        <v>58</v>
      </c>
      <c r="D2322" t="str">
        <f t="shared" si="36"/>
        <v>May</v>
      </c>
      <c r="E2322" t="s">
        <v>100</v>
      </c>
      <c r="F2322" t="s">
        <v>60</v>
      </c>
      <c r="G2322" t="s">
        <v>73</v>
      </c>
      <c r="H2322" t="s">
        <v>33</v>
      </c>
      <c r="I2322" t="s">
        <v>34</v>
      </c>
      <c r="J2322" t="s">
        <v>43</v>
      </c>
      <c r="K2322">
        <v>2</v>
      </c>
      <c r="L2322">
        <v>32559.09</v>
      </c>
      <c r="M2322">
        <v>15</v>
      </c>
      <c r="N2322">
        <v>55350.45</v>
      </c>
      <c r="O2322" t="s">
        <v>47</v>
      </c>
    </row>
    <row r="2323" spans="1:15" x14ac:dyDescent="0.3">
      <c r="A2323" t="s">
        <v>2391</v>
      </c>
      <c r="B2323" s="2">
        <v>47613</v>
      </c>
      <c r="C2323" t="s">
        <v>31</v>
      </c>
      <c r="D2323" t="str">
        <f t="shared" si="36"/>
        <v>May</v>
      </c>
      <c r="E2323" t="s">
        <v>50</v>
      </c>
      <c r="F2323" t="s">
        <v>53</v>
      </c>
      <c r="G2323" t="s">
        <v>105</v>
      </c>
      <c r="H2323" t="s">
        <v>27</v>
      </c>
      <c r="I2323" t="s">
        <v>34</v>
      </c>
      <c r="J2323" t="s">
        <v>35</v>
      </c>
      <c r="K2323">
        <v>4</v>
      </c>
      <c r="L2323">
        <v>35726.879999999997</v>
      </c>
      <c r="M2323">
        <v>10</v>
      </c>
      <c r="N2323">
        <v>128616.78</v>
      </c>
      <c r="O2323" t="s">
        <v>47</v>
      </c>
    </row>
    <row r="2324" spans="1:15" x14ac:dyDescent="0.3">
      <c r="A2324" t="s">
        <v>2392</v>
      </c>
      <c r="B2324" s="2">
        <v>47614</v>
      </c>
      <c r="C2324" t="s">
        <v>31</v>
      </c>
      <c r="D2324" t="str">
        <f t="shared" si="36"/>
        <v>May</v>
      </c>
      <c r="E2324" t="s">
        <v>72</v>
      </c>
      <c r="F2324" t="s">
        <v>60</v>
      </c>
      <c r="G2324" t="s">
        <v>61</v>
      </c>
      <c r="H2324" t="s">
        <v>33</v>
      </c>
      <c r="I2324" t="s">
        <v>42</v>
      </c>
      <c r="J2324" t="s">
        <v>35</v>
      </c>
      <c r="K2324">
        <v>1</v>
      </c>
      <c r="L2324">
        <v>44878.13</v>
      </c>
      <c r="M2324">
        <v>15</v>
      </c>
      <c r="N2324">
        <v>38146.410000000003</v>
      </c>
      <c r="O2324" t="s">
        <v>29</v>
      </c>
    </row>
    <row r="2325" spans="1:15" x14ac:dyDescent="0.3">
      <c r="A2325" t="s">
        <v>2393</v>
      </c>
      <c r="B2325" s="2">
        <v>47615</v>
      </c>
      <c r="C2325" t="s">
        <v>15</v>
      </c>
      <c r="D2325" t="str">
        <f t="shared" si="36"/>
        <v>May</v>
      </c>
      <c r="E2325" t="s">
        <v>16</v>
      </c>
      <c r="F2325" t="s">
        <v>53</v>
      </c>
      <c r="G2325" t="s">
        <v>129</v>
      </c>
      <c r="H2325" t="s">
        <v>45</v>
      </c>
      <c r="I2325" t="s">
        <v>42</v>
      </c>
      <c r="J2325" t="s">
        <v>21</v>
      </c>
      <c r="K2325">
        <v>5</v>
      </c>
      <c r="L2325">
        <v>36520.480000000003</v>
      </c>
      <c r="M2325">
        <v>5</v>
      </c>
      <c r="N2325">
        <v>173472.27</v>
      </c>
      <c r="O2325" t="s">
        <v>22</v>
      </c>
    </row>
    <row r="2326" spans="1:15" x14ac:dyDescent="0.3">
      <c r="A2326" t="s">
        <v>2394</v>
      </c>
      <c r="B2326" s="2">
        <v>47616</v>
      </c>
      <c r="C2326" t="s">
        <v>15</v>
      </c>
      <c r="D2326" t="str">
        <f t="shared" si="36"/>
        <v>May</v>
      </c>
      <c r="E2326" t="s">
        <v>24</v>
      </c>
      <c r="F2326" t="s">
        <v>60</v>
      </c>
      <c r="G2326" t="s">
        <v>78</v>
      </c>
      <c r="H2326" t="s">
        <v>33</v>
      </c>
      <c r="I2326" t="s">
        <v>20</v>
      </c>
      <c r="J2326" t="s">
        <v>35</v>
      </c>
      <c r="K2326">
        <v>4</v>
      </c>
      <c r="L2326">
        <v>36209.11</v>
      </c>
      <c r="M2326">
        <v>0</v>
      </c>
      <c r="N2326">
        <v>144836.43</v>
      </c>
      <c r="O2326" t="s">
        <v>22</v>
      </c>
    </row>
    <row r="2327" spans="1:15" x14ac:dyDescent="0.3">
      <c r="A2327" t="s">
        <v>2395</v>
      </c>
      <c r="B2327" s="2">
        <v>47617</v>
      </c>
      <c r="C2327" t="s">
        <v>38</v>
      </c>
      <c r="D2327" t="str">
        <f t="shared" si="36"/>
        <v>May</v>
      </c>
      <c r="E2327" t="s">
        <v>32</v>
      </c>
      <c r="F2327" t="s">
        <v>40</v>
      </c>
      <c r="G2327" t="s">
        <v>115</v>
      </c>
      <c r="H2327" t="s">
        <v>27</v>
      </c>
      <c r="I2327" t="s">
        <v>20</v>
      </c>
      <c r="J2327" t="s">
        <v>21</v>
      </c>
      <c r="K2327">
        <v>1</v>
      </c>
      <c r="L2327">
        <v>7542.21</v>
      </c>
      <c r="M2327">
        <v>0</v>
      </c>
      <c r="N2327">
        <v>7542.21</v>
      </c>
      <c r="O2327" t="s">
        <v>47</v>
      </c>
    </row>
    <row r="2328" spans="1:15" x14ac:dyDescent="0.3">
      <c r="A2328" t="s">
        <v>2396</v>
      </c>
      <c r="B2328" s="2">
        <v>47618</v>
      </c>
      <c r="C2328" t="s">
        <v>49</v>
      </c>
      <c r="D2328" t="str">
        <f t="shared" si="36"/>
        <v>May</v>
      </c>
      <c r="E2328" t="s">
        <v>32</v>
      </c>
      <c r="F2328" t="s">
        <v>17</v>
      </c>
      <c r="G2328" t="s">
        <v>67</v>
      </c>
      <c r="H2328" t="s">
        <v>27</v>
      </c>
      <c r="I2328" t="s">
        <v>42</v>
      </c>
      <c r="J2328" t="s">
        <v>28</v>
      </c>
      <c r="K2328">
        <v>1</v>
      </c>
      <c r="L2328">
        <v>60097.82</v>
      </c>
      <c r="M2328">
        <v>10</v>
      </c>
      <c r="N2328">
        <v>54088.03</v>
      </c>
      <c r="O2328" t="s">
        <v>47</v>
      </c>
    </row>
    <row r="2329" spans="1:15" x14ac:dyDescent="0.3">
      <c r="A2329" t="s">
        <v>2397</v>
      </c>
      <c r="B2329" s="2">
        <v>47619</v>
      </c>
      <c r="C2329" t="s">
        <v>31</v>
      </c>
      <c r="D2329" t="str">
        <f t="shared" si="36"/>
        <v>May</v>
      </c>
      <c r="E2329" t="s">
        <v>77</v>
      </c>
      <c r="F2329" t="s">
        <v>17</v>
      </c>
      <c r="G2329" t="s">
        <v>63</v>
      </c>
      <c r="H2329" t="s">
        <v>19</v>
      </c>
      <c r="I2329" t="s">
        <v>42</v>
      </c>
      <c r="J2329" t="s">
        <v>21</v>
      </c>
      <c r="K2329">
        <v>1</v>
      </c>
      <c r="L2329">
        <v>61295.27</v>
      </c>
      <c r="M2329">
        <v>20</v>
      </c>
      <c r="N2329">
        <v>49036.21</v>
      </c>
      <c r="O2329" t="s">
        <v>36</v>
      </c>
    </row>
    <row r="2330" spans="1:15" x14ac:dyDescent="0.3">
      <c r="A2330" t="s">
        <v>2398</v>
      </c>
      <c r="B2330" s="2">
        <v>47620</v>
      </c>
      <c r="C2330" t="s">
        <v>15</v>
      </c>
      <c r="D2330" t="str">
        <f t="shared" si="36"/>
        <v>May</v>
      </c>
      <c r="E2330" t="s">
        <v>24</v>
      </c>
      <c r="F2330" t="s">
        <v>53</v>
      </c>
      <c r="G2330" t="s">
        <v>129</v>
      </c>
      <c r="H2330" t="s">
        <v>27</v>
      </c>
      <c r="I2330" t="s">
        <v>20</v>
      </c>
      <c r="J2330" t="s">
        <v>21</v>
      </c>
      <c r="K2330">
        <v>2</v>
      </c>
      <c r="L2330">
        <v>34583.21</v>
      </c>
      <c r="M2330">
        <v>5</v>
      </c>
      <c r="N2330">
        <v>65708.100000000006</v>
      </c>
      <c r="O2330" t="s">
        <v>22</v>
      </c>
    </row>
    <row r="2331" spans="1:15" x14ac:dyDescent="0.3">
      <c r="A2331" t="s">
        <v>2399</v>
      </c>
      <c r="B2331" s="2">
        <v>47621</v>
      </c>
      <c r="C2331" t="s">
        <v>31</v>
      </c>
      <c r="D2331" t="str">
        <f t="shared" si="36"/>
        <v>May</v>
      </c>
      <c r="E2331" t="s">
        <v>16</v>
      </c>
      <c r="F2331" t="s">
        <v>17</v>
      </c>
      <c r="G2331" t="s">
        <v>123</v>
      </c>
      <c r="H2331" t="s">
        <v>33</v>
      </c>
      <c r="I2331" t="s">
        <v>20</v>
      </c>
      <c r="J2331" t="s">
        <v>43</v>
      </c>
      <c r="K2331">
        <v>5</v>
      </c>
      <c r="L2331">
        <v>54329.21</v>
      </c>
      <c r="M2331">
        <v>20</v>
      </c>
      <c r="N2331">
        <v>217316.84</v>
      </c>
      <c r="O2331" t="s">
        <v>36</v>
      </c>
    </row>
    <row r="2332" spans="1:15" x14ac:dyDescent="0.3">
      <c r="A2332" t="s">
        <v>2400</v>
      </c>
      <c r="B2332" s="2">
        <v>47622</v>
      </c>
      <c r="C2332" t="s">
        <v>38</v>
      </c>
      <c r="D2332" t="str">
        <f t="shared" si="36"/>
        <v>May</v>
      </c>
      <c r="E2332" t="s">
        <v>39</v>
      </c>
      <c r="F2332" t="s">
        <v>60</v>
      </c>
      <c r="G2332" t="s">
        <v>78</v>
      </c>
      <c r="H2332" t="s">
        <v>33</v>
      </c>
      <c r="I2332" t="s">
        <v>34</v>
      </c>
      <c r="J2332" t="s">
        <v>46</v>
      </c>
      <c r="K2332">
        <v>4</v>
      </c>
      <c r="L2332">
        <v>47476.32</v>
      </c>
      <c r="M2332">
        <v>15</v>
      </c>
      <c r="N2332">
        <v>161419.5</v>
      </c>
      <c r="O2332" t="s">
        <v>22</v>
      </c>
    </row>
    <row r="2333" spans="1:15" x14ac:dyDescent="0.3">
      <c r="A2333" t="s">
        <v>2401</v>
      </c>
      <c r="B2333" s="2">
        <v>47623</v>
      </c>
      <c r="C2333" t="s">
        <v>31</v>
      </c>
      <c r="D2333" t="str">
        <f t="shared" si="36"/>
        <v>May</v>
      </c>
      <c r="E2333" t="s">
        <v>39</v>
      </c>
      <c r="F2333" t="s">
        <v>60</v>
      </c>
      <c r="G2333" t="s">
        <v>70</v>
      </c>
      <c r="H2333" t="s">
        <v>33</v>
      </c>
      <c r="I2333" t="s">
        <v>20</v>
      </c>
      <c r="J2333" t="s">
        <v>21</v>
      </c>
      <c r="K2333">
        <v>5</v>
      </c>
      <c r="L2333">
        <v>52499.99</v>
      </c>
      <c r="M2333">
        <v>15</v>
      </c>
      <c r="N2333">
        <v>223124.94</v>
      </c>
      <c r="O2333" t="s">
        <v>22</v>
      </c>
    </row>
    <row r="2334" spans="1:15" x14ac:dyDescent="0.3">
      <c r="A2334" t="s">
        <v>2402</v>
      </c>
      <c r="B2334" s="2">
        <v>47624</v>
      </c>
      <c r="C2334" t="s">
        <v>58</v>
      </c>
      <c r="D2334" t="str">
        <f t="shared" si="36"/>
        <v>May</v>
      </c>
      <c r="E2334" t="s">
        <v>69</v>
      </c>
      <c r="F2334" t="s">
        <v>53</v>
      </c>
      <c r="G2334" t="s">
        <v>54</v>
      </c>
      <c r="H2334" t="s">
        <v>27</v>
      </c>
      <c r="I2334" t="s">
        <v>34</v>
      </c>
      <c r="J2334" t="s">
        <v>35</v>
      </c>
      <c r="K2334">
        <v>2</v>
      </c>
      <c r="L2334">
        <v>37948.17</v>
      </c>
      <c r="M2334">
        <v>10</v>
      </c>
      <c r="N2334">
        <v>68306.710000000006</v>
      </c>
      <c r="O2334" t="s">
        <v>22</v>
      </c>
    </row>
    <row r="2335" spans="1:15" x14ac:dyDescent="0.3">
      <c r="A2335" t="s">
        <v>2403</v>
      </c>
      <c r="B2335" s="2">
        <v>47625</v>
      </c>
      <c r="C2335" t="s">
        <v>15</v>
      </c>
      <c r="D2335" t="str">
        <f t="shared" si="36"/>
        <v>May</v>
      </c>
      <c r="E2335" t="s">
        <v>72</v>
      </c>
      <c r="F2335" t="s">
        <v>25</v>
      </c>
      <c r="G2335" t="s">
        <v>92</v>
      </c>
      <c r="H2335" t="s">
        <v>27</v>
      </c>
      <c r="I2335" t="s">
        <v>34</v>
      </c>
      <c r="J2335" t="s">
        <v>46</v>
      </c>
      <c r="K2335">
        <v>5</v>
      </c>
      <c r="L2335">
        <v>2963.49</v>
      </c>
      <c r="M2335">
        <v>10</v>
      </c>
      <c r="N2335">
        <v>13335.7</v>
      </c>
      <c r="O2335" t="s">
        <v>47</v>
      </c>
    </row>
    <row r="2336" spans="1:15" x14ac:dyDescent="0.3">
      <c r="A2336" t="s">
        <v>2404</v>
      </c>
      <c r="B2336" s="2">
        <v>47626</v>
      </c>
      <c r="C2336" t="s">
        <v>38</v>
      </c>
      <c r="D2336" t="str">
        <f t="shared" si="36"/>
        <v>May</v>
      </c>
      <c r="E2336" t="s">
        <v>39</v>
      </c>
      <c r="F2336" t="s">
        <v>60</v>
      </c>
      <c r="G2336" t="s">
        <v>61</v>
      </c>
      <c r="H2336" t="s">
        <v>33</v>
      </c>
      <c r="I2336" t="s">
        <v>42</v>
      </c>
      <c r="J2336" t="s">
        <v>43</v>
      </c>
      <c r="K2336">
        <v>2</v>
      </c>
      <c r="L2336">
        <v>40883.660000000003</v>
      </c>
      <c r="M2336">
        <v>10</v>
      </c>
      <c r="N2336">
        <v>73590.59</v>
      </c>
      <c r="O2336" t="s">
        <v>29</v>
      </c>
    </row>
    <row r="2337" spans="1:15" x14ac:dyDescent="0.3">
      <c r="A2337" t="s">
        <v>2405</v>
      </c>
      <c r="B2337" s="2">
        <v>47627</v>
      </c>
      <c r="C2337" t="s">
        <v>38</v>
      </c>
      <c r="D2337" t="str">
        <f t="shared" si="36"/>
        <v>May</v>
      </c>
      <c r="E2337" t="s">
        <v>16</v>
      </c>
      <c r="F2337" t="s">
        <v>17</v>
      </c>
      <c r="G2337" t="s">
        <v>123</v>
      </c>
      <c r="H2337" t="s">
        <v>27</v>
      </c>
      <c r="I2337" t="s">
        <v>42</v>
      </c>
      <c r="J2337" t="s">
        <v>35</v>
      </c>
      <c r="K2337">
        <v>5</v>
      </c>
      <c r="L2337">
        <v>69171.66</v>
      </c>
      <c r="M2337">
        <v>10</v>
      </c>
      <c r="N2337">
        <v>311272.49</v>
      </c>
      <c r="O2337" t="s">
        <v>47</v>
      </c>
    </row>
    <row r="2338" spans="1:15" x14ac:dyDescent="0.3">
      <c r="A2338" t="s">
        <v>2406</v>
      </c>
      <c r="B2338" s="2">
        <v>47628</v>
      </c>
      <c r="C2338" t="s">
        <v>58</v>
      </c>
      <c r="D2338" t="str">
        <f t="shared" si="36"/>
        <v>May</v>
      </c>
      <c r="E2338" t="s">
        <v>100</v>
      </c>
      <c r="F2338" t="s">
        <v>17</v>
      </c>
      <c r="G2338" t="s">
        <v>67</v>
      </c>
      <c r="H2338" t="s">
        <v>27</v>
      </c>
      <c r="I2338" t="s">
        <v>42</v>
      </c>
      <c r="J2338" t="s">
        <v>46</v>
      </c>
      <c r="K2338">
        <v>3</v>
      </c>
      <c r="L2338">
        <v>68603.48</v>
      </c>
      <c r="M2338">
        <v>0</v>
      </c>
      <c r="N2338">
        <v>205810.43</v>
      </c>
      <c r="O2338" t="s">
        <v>47</v>
      </c>
    </row>
    <row r="2339" spans="1:15" x14ac:dyDescent="0.3">
      <c r="A2339" t="s">
        <v>2407</v>
      </c>
      <c r="B2339" s="2">
        <v>47629</v>
      </c>
      <c r="C2339" t="s">
        <v>49</v>
      </c>
      <c r="D2339" t="str">
        <f t="shared" si="36"/>
        <v>May</v>
      </c>
      <c r="E2339" t="s">
        <v>39</v>
      </c>
      <c r="F2339" t="s">
        <v>60</v>
      </c>
      <c r="G2339" t="s">
        <v>73</v>
      </c>
      <c r="H2339" t="s">
        <v>19</v>
      </c>
      <c r="I2339" t="s">
        <v>34</v>
      </c>
      <c r="J2339" t="s">
        <v>35</v>
      </c>
      <c r="K2339">
        <v>3</v>
      </c>
      <c r="L2339">
        <v>48378.51</v>
      </c>
      <c r="M2339">
        <v>15</v>
      </c>
      <c r="N2339">
        <v>123365.2</v>
      </c>
      <c r="O2339" t="s">
        <v>29</v>
      </c>
    </row>
    <row r="2340" spans="1:15" x14ac:dyDescent="0.3">
      <c r="A2340" t="s">
        <v>2408</v>
      </c>
      <c r="B2340" s="2">
        <v>47630</v>
      </c>
      <c r="C2340" t="s">
        <v>58</v>
      </c>
      <c r="D2340" t="str">
        <f t="shared" si="36"/>
        <v>May</v>
      </c>
      <c r="E2340" t="s">
        <v>100</v>
      </c>
      <c r="F2340" t="s">
        <v>25</v>
      </c>
      <c r="G2340" t="s">
        <v>56</v>
      </c>
      <c r="H2340" t="s">
        <v>33</v>
      </c>
      <c r="I2340" t="s">
        <v>20</v>
      </c>
      <c r="J2340" t="s">
        <v>43</v>
      </c>
      <c r="K2340">
        <v>4</v>
      </c>
      <c r="L2340">
        <v>2967.93</v>
      </c>
      <c r="M2340">
        <v>5</v>
      </c>
      <c r="N2340">
        <v>11278.15</v>
      </c>
      <c r="O2340" t="s">
        <v>29</v>
      </c>
    </row>
    <row r="2341" spans="1:15" x14ac:dyDescent="0.3">
      <c r="A2341" t="s">
        <v>2409</v>
      </c>
      <c r="B2341" s="2">
        <v>47631</v>
      </c>
      <c r="C2341" t="s">
        <v>31</v>
      </c>
      <c r="D2341" t="str">
        <f t="shared" si="36"/>
        <v>May</v>
      </c>
      <c r="E2341" t="s">
        <v>100</v>
      </c>
      <c r="F2341" t="s">
        <v>53</v>
      </c>
      <c r="G2341" t="s">
        <v>54</v>
      </c>
      <c r="H2341" t="s">
        <v>19</v>
      </c>
      <c r="I2341" t="s">
        <v>34</v>
      </c>
      <c r="J2341" t="s">
        <v>43</v>
      </c>
      <c r="K2341">
        <v>3</v>
      </c>
      <c r="L2341">
        <v>39846.36</v>
      </c>
      <c r="M2341">
        <v>5</v>
      </c>
      <c r="N2341">
        <v>113562.13</v>
      </c>
      <c r="O2341" t="s">
        <v>22</v>
      </c>
    </row>
    <row r="2342" spans="1:15" x14ac:dyDescent="0.3">
      <c r="A2342" t="s">
        <v>2410</v>
      </c>
      <c r="B2342" s="2">
        <v>47632</v>
      </c>
      <c r="C2342" t="s">
        <v>49</v>
      </c>
      <c r="D2342" t="str">
        <f t="shared" si="36"/>
        <v>May</v>
      </c>
      <c r="E2342" t="s">
        <v>32</v>
      </c>
      <c r="F2342" t="s">
        <v>17</v>
      </c>
      <c r="G2342" t="s">
        <v>63</v>
      </c>
      <c r="H2342" t="s">
        <v>27</v>
      </c>
      <c r="I2342" t="s">
        <v>34</v>
      </c>
      <c r="J2342" t="s">
        <v>21</v>
      </c>
      <c r="K2342">
        <v>2</v>
      </c>
      <c r="L2342">
        <v>63849.47</v>
      </c>
      <c r="M2342">
        <v>20</v>
      </c>
      <c r="N2342">
        <v>102159.15</v>
      </c>
      <c r="O2342" t="s">
        <v>47</v>
      </c>
    </row>
    <row r="2343" spans="1:15" x14ac:dyDescent="0.3">
      <c r="A2343" t="s">
        <v>2411</v>
      </c>
      <c r="B2343" s="2">
        <v>47633</v>
      </c>
      <c r="C2343" t="s">
        <v>38</v>
      </c>
      <c r="D2343" t="str">
        <f t="shared" si="36"/>
        <v>May</v>
      </c>
      <c r="E2343" t="s">
        <v>32</v>
      </c>
      <c r="F2343" t="s">
        <v>60</v>
      </c>
      <c r="G2343" t="s">
        <v>70</v>
      </c>
      <c r="H2343" t="s">
        <v>45</v>
      </c>
      <c r="I2343" t="s">
        <v>42</v>
      </c>
      <c r="J2343" t="s">
        <v>21</v>
      </c>
      <c r="K2343">
        <v>1</v>
      </c>
      <c r="L2343">
        <v>45647.14</v>
      </c>
      <c r="M2343">
        <v>0</v>
      </c>
      <c r="N2343">
        <v>45647.14</v>
      </c>
      <c r="O2343" t="s">
        <v>47</v>
      </c>
    </row>
    <row r="2344" spans="1:15" x14ac:dyDescent="0.3">
      <c r="A2344" t="s">
        <v>2412</v>
      </c>
      <c r="B2344" s="2">
        <v>47634</v>
      </c>
      <c r="C2344" t="s">
        <v>58</v>
      </c>
      <c r="D2344" t="str">
        <f t="shared" si="36"/>
        <v>May</v>
      </c>
      <c r="E2344" t="s">
        <v>32</v>
      </c>
      <c r="F2344" t="s">
        <v>60</v>
      </c>
      <c r="G2344" t="s">
        <v>78</v>
      </c>
      <c r="H2344" t="s">
        <v>33</v>
      </c>
      <c r="I2344" t="s">
        <v>34</v>
      </c>
      <c r="J2344" t="s">
        <v>43</v>
      </c>
      <c r="K2344">
        <v>4</v>
      </c>
      <c r="L2344">
        <v>32789.51</v>
      </c>
      <c r="M2344">
        <v>15</v>
      </c>
      <c r="N2344">
        <v>111484.34</v>
      </c>
      <c r="O2344" t="s">
        <v>47</v>
      </c>
    </row>
    <row r="2345" spans="1:15" x14ac:dyDescent="0.3">
      <c r="A2345" t="s">
        <v>2413</v>
      </c>
      <c r="B2345" s="2">
        <v>47635</v>
      </c>
      <c r="C2345" t="s">
        <v>31</v>
      </c>
      <c r="D2345" t="str">
        <f t="shared" si="36"/>
        <v>June</v>
      </c>
      <c r="E2345" t="s">
        <v>52</v>
      </c>
      <c r="F2345" t="s">
        <v>60</v>
      </c>
      <c r="G2345" t="s">
        <v>73</v>
      </c>
      <c r="H2345" t="s">
        <v>19</v>
      </c>
      <c r="I2345" t="s">
        <v>20</v>
      </c>
      <c r="J2345" t="s">
        <v>35</v>
      </c>
      <c r="K2345">
        <v>2</v>
      </c>
      <c r="L2345">
        <v>41017.31</v>
      </c>
      <c r="M2345">
        <v>0</v>
      </c>
      <c r="N2345">
        <v>82034.62</v>
      </c>
      <c r="O2345" t="s">
        <v>36</v>
      </c>
    </row>
    <row r="2346" spans="1:15" x14ac:dyDescent="0.3">
      <c r="A2346" t="s">
        <v>2414</v>
      </c>
      <c r="B2346" s="2">
        <v>47636</v>
      </c>
      <c r="C2346" t="s">
        <v>15</v>
      </c>
      <c r="D2346" t="str">
        <f t="shared" si="36"/>
        <v>June</v>
      </c>
      <c r="E2346" t="s">
        <v>50</v>
      </c>
      <c r="F2346" t="s">
        <v>60</v>
      </c>
      <c r="G2346" t="s">
        <v>61</v>
      </c>
      <c r="H2346" t="s">
        <v>33</v>
      </c>
      <c r="I2346" t="s">
        <v>20</v>
      </c>
      <c r="J2346" t="s">
        <v>46</v>
      </c>
      <c r="K2346">
        <v>2</v>
      </c>
      <c r="L2346">
        <v>35530.910000000003</v>
      </c>
      <c r="M2346">
        <v>20</v>
      </c>
      <c r="N2346">
        <v>56849.46</v>
      </c>
      <c r="O2346" t="s">
        <v>47</v>
      </c>
    </row>
    <row r="2347" spans="1:15" x14ac:dyDescent="0.3">
      <c r="A2347" t="s">
        <v>2415</v>
      </c>
      <c r="B2347" s="2">
        <v>47637</v>
      </c>
      <c r="C2347" t="s">
        <v>58</v>
      </c>
      <c r="D2347" t="str">
        <f t="shared" si="36"/>
        <v>June</v>
      </c>
      <c r="E2347" t="s">
        <v>100</v>
      </c>
      <c r="F2347" t="s">
        <v>40</v>
      </c>
      <c r="G2347" t="s">
        <v>41</v>
      </c>
      <c r="H2347" t="s">
        <v>45</v>
      </c>
      <c r="I2347" t="s">
        <v>42</v>
      </c>
      <c r="J2347" t="s">
        <v>21</v>
      </c>
      <c r="K2347">
        <v>1</v>
      </c>
      <c r="L2347">
        <v>5691.75</v>
      </c>
      <c r="M2347">
        <v>15</v>
      </c>
      <c r="N2347">
        <v>4837.99</v>
      </c>
      <c r="O2347" t="s">
        <v>47</v>
      </c>
    </row>
    <row r="2348" spans="1:15" x14ac:dyDescent="0.3">
      <c r="A2348" t="s">
        <v>2416</v>
      </c>
      <c r="B2348" s="2">
        <v>47638</v>
      </c>
      <c r="C2348" t="s">
        <v>49</v>
      </c>
      <c r="D2348" t="str">
        <f t="shared" si="36"/>
        <v>June</v>
      </c>
      <c r="E2348" t="s">
        <v>77</v>
      </c>
      <c r="F2348" t="s">
        <v>40</v>
      </c>
      <c r="G2348" t="s">
        <v>118</v>
      </c>
      <c r="H2348" t="s">
        <v>27</v>
      </c>
      <c r="I2348" t="s">
        <v>42</v>
      </c>
      <c r="J2348" t="s">
        <v>28</v>
      </c>
      <c r="K2348">
        <v>4</v>
      </c>
      <c r="L2348">
        <v>7849.82</v>
      </c>
      <c r="M2348">
        <v>10</v>
      </c>
      <c r="N2348">
        <v>28259.360000000001</v>
      </c>
      <c r="O2348" t="s">
        <v>47</v>
      </c>
    </row>
    <row r="2349" spans="1:15" x14ac:dyDescent="0.3">
      <c r="A2349" t="s">
        <v>2417</v>
      </c>
      <c r="B2349" s="2">
        <v>47639</v>
      </c>
      <c r="C2349" t="s">
        <v>38</v>
      </c>
      <c r="D2349" t="str">
        <f t="shared" si="36"/>
        <v>June</v>
      </c>
      <c r="E2349" t="s">
        <v>16</v>
      </c>
      <c r="F2349" t="s">
        <v>53</v>
      </c>
      <c r="G2349" t="s">
        <v>65</v>
      </c>
      <c r="H2349" t="s">
        <v>19</v>
      </c>
      <c r="I2349" t="s">
        <v>42</v>
      </c>
      <c r="J2349" t="s">
        <v>28</v>
      </c>
      <c r="K2349">
        <v>3</v>
      </c>
      <c r="L2349">
        <v>32878.75</v>
      </c>
      <c r="M2349">
        <v>5</v>
      </c>
      <c r="N2349">
        <v>93704.43</v>
      </c>
      <c r="O2349" t="s">
        <v>29</v>
      </c>
    </row>
    <row r="2350" spans="1:15" x14ac:dyDescent="0.3">
      <c r="A2350" t="s">
        <v>2418</v>
      </c>
      <c r="B2350" s="2">
        <v>47640</v>
      </c>
      <c r="C2350" t="s">
        <v>49</v>
      </c>
      <c r="D2350" t="str">
        <f t="shared" si="36"/>
        <v>June</v>
      </c>
      <c r="E2350" t="s">
        <v>72</v>
      </c>
      <c r="F2350" t="s">
        <v>53</v>
      </c>
      <c r="G2350" t="s">
        <v>65</v>
      </c>
      <c r="H2350" t="s">
        <v>45</v>
      </c>
      <c r="I2350" t="s">
        <v>20</v>
      </c>
      <c r="J2350" t="s">
        <v>46</v>
      </c>
      <c r="K2350">
        <v>4</v>
      </c>
      <c r="L2350">
        <v>29701.040000000001</v>
      </c>
      <c r="M2350">
        <v>20</v>
      </c>
      <c r="N2350">
        <v>95043.32</v>
      </c>
      <c r="O2350" t="s">
        <v>47</v>
      </c>
    </row>
    <row r="2351" spans="1:15" x14ac:dyDescent="0.3">
      <c r="A2351" t="s">
        <v>2419</v>
      </c>
      <c r="B2351" s="2">
        <v>47641</v>
      </c>
      <c r="C2351" t="s">
        <v>38</v>
      </c>
      <c r="D2351" t="str">
        <f t="shared" si="36"/>
        <v>June</v>
      </c>
      <c r="E2351" t="s">
        <v>52</v>
      </c>
      <c r="F2351" t="s">
        <v>17</v>
      </c>
      <c r="G2351" t="s">
        <v>18</v>
      </c>
      <c r="H2351" t="s">
        <v>33</v>
      </c>
      <c r="I2351" t="s">
        <v>20</v>
      </c>
      <c r="J2351" t="s">
        <v>43</v>
      </c>
      <c r="K2351">
        <v>1</v>
      </c>
      <c r="L2351">
        <v>67118.27</v>
      </c>
      <c r="M2351">
        <v>0</v>
      </c>
      <c r="N2351">
        <v>67118.27</v>
      </c>
      <c r="O2351" t="s">
        <v>29</v>
      </c>
    </row>
    <row r="2352" spans="1:15" x14ac:dyDescent="0.3">
      <c r="A2352" t="s">
        <v>2420</v>
      </c>
      <c r="B2352" s="2">
        <v>47642</v>
      </c>
      <c r="C2352" t="s">
        <v>58</v>
      </c>
      <c r="D2352" t="str">
        <f t="shared" si="36"/>
        <v>June</v>
      </c>
      <c r="E2352" t="s">
        <v>100</v>
      </c>
      <c r="F2352" t="s">
        <v>60</v>
      </c>
      <c r="G2352" t="s">
        <v>61</v>
      </c>
      <c r="H2352" t="s">
        <v>33</v>
      </c>
      <c r="I2352" t="s">
        <v>20</v>
      </c>
      <c r="J2352" t="s">
        <v>35</v>
      </c>
      <c r="K2352">
        <v>2</v>
      </c>
      <c r="L2352">
        <v>47016.63</v>
      </c>
      <c r="M2352">
        <v>10</v>
      </c>
      <c r="N2352">
        <v>84629.93</v>
      </c>
      <c r="O2352" t="s">
        <v>29</v>
      </c>
    </row>
    <row r="2353" spans="1:15" x14ac:dyDescent="0.3">
      <c r="A2353" t="s">
        <v>2421</v>
      </c>
      <c r="B2353" s="2">
        <v>47643</v>
      </c>
      <c r="C2353" t="s">
        <v>15</v>
      </c>
      <c r="D2353" t="str">
        <f t="shared" si="36"/>
        <v>June</v>
      </c>
      <c r="E2353" t="s">
        <v>100</v>
      </c>
      <c r="F2353" t="s">
        <v>53</v>
      </c>
      <c r="G2353" t="s">
        <v>65</v>
      </c>
      <c r="H2353" t="s">
        <v>45</v>
      </c>
      <c r="I2353" t="s">
        <v>42</v>
      </c>
      <c r="J2353" t="s">
        <v>28</v>
      </c>
      <c r="K2353">
        <v>4</v>
      </c>
      <c r="L2353">
        <v>30468.47</v>
      </c>
      <c r="M2353">
        <v>0</v>
      </c>
      <c r="N2353">
        <v>121873.88</v>
      </c>
      <c r="O2353" t="s">
        <v>29</v>
      </c>
    </row>
    <row r="2354" spans="1:15" x14ac:dyDescent="0.3">
      <c r="A2354" t="s">
        <v>2422</v>
      </c>
      <c r="B2354" s="2">
        <v>47644</v>
      </c>
      <c r="C2354" t="s">
        <v>31</v>
      </c>
      <c r="D2354" t="str">
        <f t="shared" si="36"/>
        <v>June</v>
      </c>
      <c r="E2354" t="s">
        <v>100</v>
      </c>
      <c r="F2354" t="s">
        <v>17</v>
      </c>
      <c r="G2354" t="s">
        <v>67</v>
      </c>
      <c r="H2354" t="s">
        <v>45</v>
      </c>
      <c r="I2354" t="s">
        <v>20</v>
      </c>
      <c r="J2354" t="s">
        <v>46</v>
      </c>
      <c r="K2354">
        <v>4</v>
      </c>
      <c r="L2354">
        <v>56015.48</v>
      </c>
      <c r="M2354">
        <v>10</v>
      </c>
      <c r="N2354">
        <v>201655.74</v>
      </c>
      <c r="O2354" t="s">
        <v>29</v>
      </c>
    </row>
    <row r="2355" spans="1:15" x14ac:dyDescent="0.3">
      <c r="A2355" t="s">
        <v>2423</v>
      </c>
      <c r="B2355" s="2">
        <v>47645</v>
      </c>
      <c r="C2355" t="s">
        <v>58</v>
      </c>
      <c r="D2355" t="str">
        <f t="shared" si="36"/>
        <v>June</v>
      </c>
      <c r="E2355" t="s">
        <v>52</v>
      </c>
      <c r="F2355" t="s">
        <v>25</v>
      </c>
      <c r="G2355" t="s">
        <v>81</v>
      </c>
      <c r="H2355" t="s">
        <v>27</v>
      </c>
      <c r="I2355" t="s">
        <v>20</v>
      </c>
      <c r="J2355" t="s">
        <v>21</v>
      </c>
      <c r="K2355">
        <v>5</v>
      </c>
      <c r="L2355">
        <v>2075.69</v>
      </c>
      <c r="M2355">
        <v>20</v>
      </c>
      <c r="N2355">
        <v>8302.75</v>
      </c>
      <c r="O2355" t="s">
        <v>47</v>
      </c>
    </row>
    <row r="2356" spans="1:15" x14ac:dyDescent="0.3">
      <c r="A2356" t="s">
        <v>2424</v>
      </c>
      <c r="B2356" s="2">
        <v>47646</v>
      </c>
      <c r="C2356" t="s">
        <v>58</v>
      </c>
      <c r="D2356" t="str">
        <f t="shared" si="36"/>
        <v>June</v>
      </c>
      <c r="E2356" t="s">
        <v>24</v>
      </c>
      <c r="F2356" t="s">
        <v>60</v>
      </c>
      <c r="G2356" t="s">
        <v>78</v>
      </c>
      <c r="H2356" t="s">
        <v>45</v>
      </c>
      <c r="I2356" t="s">
        <v>20</v>
      </c>
      <c r="J2356" t="s">
        <v>21</v>
      </c>
      <c r="K2356">
        <v>3</v>
      </c>
      <c r="L2356">
        <v>47975.63</v>
      </c>
      <c r="M2356">
        <v>5</v>
      </c>
      <c r="N2356">
        <v>136730.56</v>
      </c>
      <c r="O2356" t="s">
        <v>36</v>
      </c>
    </row>
    <row r="2357" spans="1:15" x14ac:dyDescent="0.3">
      <c r="A2357" t="s">
        <v>2425</v>
      </c>
      <c r="B2357" s="2">
        <v>47647</v>
      </c>
      <c r="C2357" t="s">
        <v>58</v>
      </c>
      <c r="D2357" t="str">
        <f t="shared" si="36"/>
        <v>June</v>
      </c>
      <c r="E2357" t="s">
        <v>24</v>
      </c>
      <c r="F2357" t="s">
        <v>40</v>
      </c>
      <c r="G2357" t="s">
        <v>75</v>
      </c>
      <c r="H2357" t="s">
        <v>33</v>
      </c>
      <c r="I2357" t="s">
        <v>34</v>
      </c>
      <c r="J2357" t="s">
        <v>35</v>
      </c>
      <c r="K2357">
        <v>3</v>
      </c>
      <c r="L2357">
        <v>7083.85</v>
      </c>
      <c r="M2357">
        <v>5</v>
      </c>
      <c r="N2357">
        <v>20188.97</v>
      </c>
      <c r="O2357" t="s">
        <v>22</v>
      </c>
    </row>
    <row r="2358" spans="1:15" x14ac:dyDescent="0.3">
      <c r="A2358" t="s">
        <v>2426</v>
      </c>
      <c r="B2358" s="2">
        <v>47648</v>
      </c>
      <c r="C2358" t="s">
        <v>38</v>
      </c>
      <c r="D2358" t="str">
        <f t="shared" si="36"/>
        <v>June</v>
      </c>
      <c r="E2358" t="s">
        <v>16</v>
      </c>
      <c r="F2358" t="s">
        <v>40</v>
      </c>
      <c r="G2358" t="s">
        <v>118</v>
      </c>
      <c r="H2358" t="s">
        <v>19</v>
      </c>
      <c r="I2358" t="s">
        <v>20</v>
      </c>
      <c r="J2358" t="s">
        <v>28</v>
      </c>
      <c r="K2358">
        <v>4</v>
      </c>
      <c r="L2358">
        <v>6771.94</v>
      </c>
      <c r="M2358">
        <v>15</v>
      </c>
      <c r="N2358">
        <v>23024.6</v>
      </c>
      <c r="O2358" t="s">
        <v>47</v>
      </c>
    </row>
    <row r="2359" spans="1:15" x14ac:dyDescent="0.3">
      <c r="A2359" t="s">
        <v>2427</v>
      </c>
      <c r="B2359" s="2">
        <v>47649</v>
      </c>
      <c r="C2359" t="s">
        <v>49</v>
      </c>
      <c r="D2359" t="str">
        <f t="shared" si="36"/>
        <v>June</v>
      </c>
      <c r="E2359" t="s">
        <v>39</v>
      </c>
      <c r="F2359" t="s">
        <v>53</v>
      </c>
      <c r="G2359" t="s">
        <v>129</v>
      </c>
      <c r="H2359" t="s">
        <v>45</v>
      </c>
      <c r="I2359" t="s">
        <v>20</v>
      </c>
      <c r="J2359" t="s">
        <v>46</v>
      </c>
      <c r="K2359">
        <v>4</v>
      </c>
      <c r="L2359">
        <v>30210.81</v>
      </c>
      <c r="M2359">
        <v>15</v>
      </c>
      <c r="N2359">
        <v>102716.74</v>
      </c>
      <c r="O2359" t="s">
        <v>47</v>
      </c>
    </row>
    <row r="2360" spans="1:15" x14ac:dyDescent="0.3">
      <c r="A2360" t="s">
        <v>2428</v>
      </c>
      <c r="B2360" s="2">
        <v>47650</v>
      </c>
      <c r="C2360" t="s">
        <v>38</v>
      </c>
      <c r="D2360" t="str">
        <f t="shared" si="36"/>
        <v>June</v>
      </c>
      <c r="E2360" t="s">
        <v>50</v>
      </c>
      <c r="F2360" t="s">
        <v>25</v>
      </c>
      <c r="G2360" t="s">
        <v>92</v>
      </c>
      <c r="H2360" t="s">
        <v>33</v>
      </c>
      <c r="I2360" t="s">
        <v>34</v>
      </c>
      <c r="J2360" t="s">
        <v>46</v>
      </c>
      <c r="K2360">
        <v>1</v>
      </c>
      <c r="L2360">
        <v>2250.46</v>
      </c>
      <c r="M2360">
        <v>10</v>
      </c>
      <c r="N2360">
        <v>2025.41</v>
      </c>
      <c r="O2360" t="s">
        <v>29</v>
      </c>
    </row>
    <row r="2361" spans="1:15" x14ac:dyDescent="0.3">
      <c r="A2361" t="s">
        <v>2429</v>
      </c>
      <c r="B2361" s="2">
        <v>47651</v>
      </c>
      <c r="C2361" t="s">
        <v>15</v>
      </c>
      <c r="D2361" t="str">
        <f t="shared" si="36"/>
        <v>June</v>
      </c>
      <c r="E2361" t="s">
        <v>77</v>
      </c>
      <c r="F2361" t="s">
        <v>60</v>
      </c>
      <c r="G2361" t="s">
        <v>78</v>
      </c>
      <c r="H2361" t="s">
        <v>19</v>
      </c>
      <c r="I2361" t="s">
        <v>34</v>
      </c>
      <c r="J2361" t="s">
        <v>35</v>
      </c>
      <c r="K2361">
        <v>4</v>
      </c>
      <c r="L2361">
        <v>39696.199999999997</v>
      </c>
      <c r="M2361">
        <v>10</v>
      </c>
      <c r="N2361">
        <v>142906.31</v>
      </c>
      <c r="O2361" t="s">
        <v>47</v>
      </c>
    </row>
    <row r="2362" spans="1:15" x14ac:dyDescent="0.3">
      <c r="A2362" t="s">
        <v>2430</v>
      </c>
      <c r="B2362" s="2">
        <v>47652</v>
      </c>
      <c r="C2362" t="s">
        <v>38</v>
      </c>
      <c r="D2362" t="str">
        <f t="shared" si="36"/>
        <v>June</v>
      </c>
      <c r="E2362" t="s">
        <v>24</v>
      </c>
      <c r="F2362" t="s">
        <v>17</v>
      </c>
      <c r="G2362" t="s">
        <v>63</v>
      </c>
      <c r="H2362" t="s">
        <v>33</v>
      </c>
      <c r="I2362" t="s">
        <v>34</v>
      </c>
      <c r="J2362" t="s">
        <v>43</v>
      </c>
      <c r="K2362">
        <v>1</v>
      </c>
      <c r="L2362">
        <v>56533.06</v>
      </c>
      <c r="M2362">
        <v>15</v>
      </c>
      <c r="N2362">
        <v>48053.1</v>
      </c>
      <c r="O2362" t="s">
        <v>47</v>
      </c>
    </row>
    <row r="2363" spans="1:15" x14ac:dyDescent="0.3">
      <c r="A2363" t="s">
        <v>2431</v>
      </c>
      <c r="B2363" s="2">
        <v>47653</v>
      </c>
      <c r="C2363" t="s">
        <v>49</v>
      </c>
      <c r="D2363" t="str">
        <f t="shared" si="36"/>
        <v>June</v>
      </c>
      <c r="E2363" t="s">
        <v>16</v>
      </c>
      <c r="F2363" t="s">
        <v>25</v>
      </c>
      <c r="G2363" t="s">
        <v>92</v>
      </c>
      <c r="H2363" t="s">
        <v>19</v>
      </c>
      <c r="I2363" t="s">
        <v>42</v>
      </c>
      <c r="J2363" t="s">
        <v>28</v>
      </c>
      <c r="K2363">
        <v>1</v>
      </c>
      <c r="L2363">
        <v>2669.98</v>
      </c>
      <c r="M2363">
        <v>0</v>
      </c>
      <c r="N2363">
        <v>2669.98</v>
      </c>
      <c r="O2363" t="s">
        <v>47</v>
      </c>
    </row>
    <row r="2364" spans="1:15" x14ac:dyDescent="0.3">
      <c r="A2364" t="s">
        <v>2432</v>
      </c>
      <c r="B2364" s="2">
        <v>47654</v>
      </c>
      <c r="C2364" t="s">
        <v>49</v>
      </c>
      <c r="D2364" t="str">
        <f t="shared" si="36"/>
        <v>June</v>
      </c>
      <c r="E2364" t="s">
        <v>77</v>
      </c>
      <c r="F2364" t="s">
        <v>53</v>
      </c>
      <c r="G2364" t="s">
        <v>129</v>
      </c>
      <c r="H2364" t="s">
        <v>19</v>
      </c>
      <c r="I2364" t="s">
        <v>34</v>
      </c>
      <c r="J2364" t="s">
        <v>21</v>
      </c>
      <c r="K2364">
        <v>3</v>
      </c>
      <c r="L2364">
        <v>35242.400000000001</v>
      </c>
      <c r="M2364">
        <v>5</v>
      </c>
      <c r="N2364">
        <v>100440.84</v>
      </c>
      <c r="O2364" t="s">
        <v>22</v>
      </c>
    </row>
    <row r="2365" spans="1:15" x14ac:dyDescent="0.3">
      <c r="A2365" t="s">
        <v>2433</v>
      </c>
      <c r="B2365" s="2">
        <v>47655</v>
      </c>
      <c r="C2365" t="s">
        <v>49</v>
      </c>
      <c r="D2365" t="str">
        <f t="shared" si="36"/>
        <v>June</v>
      </c>
      <c r="E2365" t="s">
        <v>24</v>
      </c>
      <c r="F2365" t="s">
        <v>40</v>
      </c>
      <c r="G2365" t="s">
        <v>115</v>
      </c>
      <c r="H2365" t="s">
        <v>19</v>
      </c>
      <c r="I2365" t="s">
        <v>20</v>
      </c>
      <c r="J2365" t="s">
        <v>35</v>
      </c>
      <c r="K2365">
        <v>1</v>
      </c>
      <c r="L2365">
        <v>4905.7700000000004</v>
      </c>
      <c r="M2365">
        <v>15</v>
      </c>
      <c r="N2365">
        <v>4169.91</v>
      </c>
      <c r="O2365" t="s">
        <v>22</v>
      </c>
    </row>
    <row r="2366" spans="1:15" x14ac:dyDescent="0.3">
      <c r="A2366" t="s">
        <v>2434</v>
      </c>
      <c r="B2366" s="2">
        <v>47656</v>
      </c>
      <c r="C2366" t="s">
        <v>31</v>
      </c>
      <c r="D2366" t="str">
        <f t="shared" si="36"/>
        <v>June</v>
      </c>
      <c r="E2366" t="s">
        <v>32</v>
      </c>
      <c r="F2366" t="s">
        <v>17</v>
      </c>
      <c r="G2366" t="s">
        <v>18</v>
      </c>
      <c r="H2366" t="s">
        <v>19</v>
      </c>
      <c r="I2366" t="s">
        <v>34</v>
      </c>
      <c r="J2366" t="s">
        <v>21</v>
      </c>
      <c r="K2366">
        <v>3</v>
      </c>
      <c r="L2366">
        <v>51348.3</v>
      </c>
      <c r="M2366">
        <v>10</v>
      </c>
      <c r="N2366">
        <v>138640.41</v>
      </c>
      <c r="O2366" t="s">
        <v>36</v>
      </c>
    </row>
    <row r="2367" spans="1:15" x14ac:dyDescent="0.3">
      <c r="A2367" t="s">
        <v>2435</v>
      </c>
      <c r="B2367" s="2">
        <v>47657</v>
      </c>
      <c r="C2367" t="s">
        <v>49</v>
      </c>
      <c r="D2367" t="str">
        <f t="shared" si="36"/>
        <v>June</v>
      </c>
      <c r="E2367" t="s">
        <v>72</v>
      </c>
      <c r="F2367" t="s">
        <v>40</v>
      </c>
      <c r="G2367" t="s">
        <v>115</v>
      </c>
      <c r="H2367" t="s">
        <v>19</v>
      </c>
      <c r="I2367" t="s">
        <v>34</v>
      </c>
      <c r="J2367" t="s">
        <v>21</v>
      </c>
      <c r="K2367">
        <v>4</v>
      </c>
      <c r="L2367">
        <v>7663.92</v>
      </c>
      <c r="M2367">
        <v>15</v>
      </c>
      <c r="N2367">
        <v>26057.34</v>
      </c>
      <c r="O2367" t="s">
        <v>29</v>
      </c>
    </row>
    <row r="2368" spans="1:15" x14ac:dyDescent="0.3">
      <c r="A2368" t="s">
        <v>2436</v>
      </c>
      <c r="B2368" s="2">
        <v>47658</v>
      </c>
      <c r="C2368" t="s">
        <v>31</v>
      </c>
      <c r="D2368" t="str">
        <f t="shared" si="36"/>
        <v>June</v>
      </c>
      <c r="E2368" t="s">
        <v>16</v>
      </c>
      <c r="F2368" t="s">
        <v>53</v>
      </c>
      <c r="G2368" t="s">
        <v>54</v>
      </c>
      <c r="H2368" t="s">
        <v>19</v>
      </c>
      <c r="I2368" t="s">
        <v>34</v>
      </c>
      <c r="J2368" t="s">
        <v>43</v>
      </c>
      <c r="K2368">
        <v>4</v>
      </c>
      <c r="L2368">
        <v>35435.18</v>
      </c>
      <c r="M2368">
        <v>10</v>
      </c>
      <c r="N2368">
        <v>127566.64</v>
      </c>
      <c r="O2368" t="s">
        <v>47</v>
      </c>
    </row>
    <row r="2369" spans="1:15" x14ac:dyDescent="0.3">
      <c r="A2369" t="s">
        <v>2437</v>
      </c>
      <c r="B2369" s="2">
        <v>47659</v>
      </c>
      <c r="C2369" t="s">
        <v>15</v>
      </c>
      <c r="D2369" t="str">
        <f t="shared" si="36"/>
        <v>June</v>
      </c>
      <c r="E2369" t="s">
        <v>52</v>
      </c>
      <c r="F2369" t="s">
        <v>25</v>
      </c>
      <c r="G2369" t="s">
        <v>92</v>
      </c>
      <c r="H2369" t="s">
        <v>19</v>
      </c>
      <c r="I2369" t="s">
        <v>34</v>
      </c>
      <c r="J2369" t="s">
        <v>28</v>
      </c>
      <c r="K2369">
        <v>5</v>
      </c>
      <c r="L2369">
        <v>3037.85</v>
      </c>
      <c r="M2369">
        <v>5</v>
      </c>
      <c r="N2369">
        <v>14429.77</v>
      </c>
      <c r="O2369" t="s">
        <v>47</v>
      </c>
    </row>
    <row r="2370" spans="1:15" x14ac:dyDescent="0.3">
      <c r="A2370" t="s">
        <v>2438</v>
      </c>
      <c r="B2370" s="2">
        <v>47660</v>
      </c>
      <c r="C2370" t="s">
        <v>58</v>
      </c>
      <c r="D2370" t="str">
        <f t="shared" si="36"/>
        <v>June</v>
      </c>
      <c r="E2370" t="s">
        <v>32</v>
      </c>
      <c r="F2370" t="s">
        <v>40</v>
      </c>
      <c r="G2370" t="s">
        <v>118</v>
      </c>
      <c r="H2370" t="s">
        <v>33</v>
      </c>
      <c r="I2370" t="s">
        <v>42</v>
      </c>
      <c r="J2370" t="s">
        <v>35</v>
      </c>
      <c r="K2370">
        <v>3</v>
      </c>
      <c r="L2370">
        <v>7164.1</v>
      </c>
      <c r="M2370">
        <v>20</v>
      </c>
      <c r="N2370">
        <v>17193.830000000002</v>
      </c>
      <c r="O2370" t="s">
        <v>22</v>
      </c>
    </row>
    <row r="2371" spans="1:15" x14ac:dyDescent="0.3">
      <c r="A2371" t="s">
        <v>2439</v>
      </c>
      <c r="B2371" s="2">
        <v>47661</v>
      </c>
      <c r="C2371" t="s">
        <v>15</v>
      </c>
      <c r="D2371" t="str">
        <f t="shared" ref="D2371:D2434" si="37">TEXT(B2371,"mmmm")</f>
        <v>June</v>
      </c>
      <c r="E2371" t="s">
        <v>69</v>
      </c>
      <c r="F2371" t="s">
        <v>40</v>
      </c>
      <c r="G2371" t="s">
        <v>75</v>
      </c>
      <c r="H2371" t="s">
        <v>45</v>
      </c>
      <c r="I2371" t="s">
        <v>42</v>
      </c>
      <c r="J2371" t="s">
        <v>46</v>
      </c>
      <c r="K2371">
        <v>2</v>
      </c>
      <c r="L2371">
        <v>5688.13</v>
      </c>
      <c r="M2371">
        <v>0</v>
      </c>
      <c r="N2371">
        <v>11376.26</v>
      </c>
      <c r="O2371" t="s">
        <v>29</v>
      </c>
    </row>
    <row r="2372" spans="1:15" x14ac:dyDescent="0.3">
      <c r="A2372" t="s">
        <v>2440</v>
      </c>
      <c r="B2372" s="2">
        <v>47662</v>
      </c>
      <c r="C2372" t="s">
        <v>15</v>
      </c>
      <c r="D2372" t="str">
        <f t="shared" si="37"/>
        <v>June</v>
      </c>
      <c r="E2372" t="s">
        <v>16</v>
      </c>
      <c r="F2372" t="s">
        <v>53</v>
      </c>
      <c r="G2372" t="s">
        <v>129</v>
      </c>
      <c r="H2372" t="s">
        <v>19</v>
      </c>
      <c r="I2372" t="s">
        <v>42</v>
      </c>
      <c r="J2372" t="s">
        <v>46</v>
      </c>
      <c r="K2372">
        <v>5</v>
      </c>
      <c r="L2372">
        <v>24552.15</v>
      </c>
      <c r="M2372">
        <v>20</v>
      </c>
      <c r="N2372">
        <v>98208.58</v>
      </c>
      <c r="O2372" t="s">
        <v>47</v>
      </c>
    </row>
    <row r="2373" spans="1:15" x14ac:dyDescent="0.3">
      <c r="A2373" t="s">
        <v>2441</v>
      </c>
      <c r="B2373" s="2">
        <v>47663</v>
      </c>
      <c r="C2373" t="s">
        <v>49</v>
      </c>
      <c r="D2373" t="str">
        <f t="shared" si="37"/>
        <v>June</v>
      </c>
      <c r="E2373" t="s">
        <v>39</v>
      </c>
      <c r="F2373" t="s">
        <v>17</v>
      </c>
      <c r="G2373" t="s">
        <v>67</v>
      </c>
      <c r="H2373" t="s">
        <v>33</v>
      </c>
      <c r="I2373" t="s">
        <v>42</v>
      </c>
      <c r="J2373" t="s">
        <v>21</v>
      </c>
      <c r="K2373">
        <v>2</v>
      </c>
      <c r="L2373">
        <v>61703.360000000001</v>
      </c>
      <c r="M2373">
        <v>0</v>
      </c>
      <c r="N2373">
        <v>123406.73</v>
      </c>
      <c r="O2373" t="s">
        <v>47</v>
      </c>
    </row>
    <row r="2374" spans="1:15" x14ac:dyDescent="0.3">
      <c r="A2374" t="s">
        <v>2442</v>
      </c>
      <c r="B2374" s="2">
        <v>47664</v>
      </c>
      <c r="C2374" t="s">
        <v>49</v>
      </c>
      <c r="D2374" t="str">
        <f t="shared" si="37"/>
        <v>June</v>
      </c>
      <c r="E2374" t="s">
        <v>52</v>
      </c>
      <c r="F2374" t="s">
        <v>53</v>
      </c>
      <c r="G2374" t="s">
        <v>129</v>
      </c>
      <c r="H2374" t="s">
        <v>27</v>
      </c>
      <c r="I2374" t="s">
        <v>20</v>
      </c>
      <c r="J2374" t="s">
        <v>46</v>
      </c>
      <c r="K2374">
        <v>2</v>
      </c>
      <c r="L2374">
        <v>29843.81</v>
      </c>
      <c r="M2374">
        <v>0</v>
      </c>
      <c r="N2374">
        <v>59687.61</v>
      </c>
      <c r="O2374" t="s">
        <v>29</v>
      </c>
    </row>
    <row r="2375" spans="1:15" x14ac:dyDescent="0.3">
      <c r="A2375" t="s">
        <v>2443</v>
      </c>
      <c r="B2375" s="2">
        <v>47665</v>
      </c>
      <c r="C2375" t="s">
        <v>49</v>
      </c>
      <c r="D2375" t="str">
        <f t="shared" si="37"/>
        <v>July</v>
      </c>
      <c r="E2375" t="s">
        <v>52</v>
      </c>
      <c r="F2375" t="s">
        <v>60</v>
      </c>
      <c r="G2375" t="s">
        <v>61</v>
      </c>
      <c r="H2375" t="s">
        <v>19</v>
      </c>
      <c r="I2375" t="s">
        <v>34</v>
      </c>
      <c r="J2375" t="s">
        <v>35</v>
      </c>
      <c r="K2375">
        <v>2</v>
      </c>
      <c r="L2375">
        <v>38873.769999999997</v>
      </c>
      <c r="M2375">
        <v>5</v>
      </c>
      <c r="N2375">
        <v>73860.17</v>
      </c>
      <c r="O2375" t="s">
        <v>22</v>
      </c>
    </row>
    <row r="2376" spans="1:15" x14ac:dyDescent="0.3">
      <c r="A2376" t="s">
        <v>2444</v>
      </c>
      <c r="B2376" s="2">
        <v>47666</v>
      </c>
      <c r="C2376" t="s">
        <v>15</v>
      </c>
      <c r="D2376" t="str">
        <f t="shared" si="37"/>
        <v>July</v>
      </c>
      <c r="E2376" t="s">
        <v>72</v>
      </c>
      <c r="F2376" t="s">
        <v>25</v>
      </c>
      <c r="G2376" t="s">
        <v>81</v>
      </c>
      <c r="H2376" t="s">
        <v>27</v>
      </c>
      <c r="I2376" t="s">
        <v>34</v>
      </c>
      <c r="J2376" t="s">
        <v>46</v>
      </c>
      <c r="K2376">
        <v>5</v>
      </c>
      <c r="L2376">
        <v>3100.22</v>
      </c>
      <c r="M2376">
        <v>5</v>
      </c>
      <c r="N2376">
        <v>14726.05</v>
      </c>
      <c r="O2376" t="s">
        <v>22</v>
      </c>
    </row>
    <row r="2377" spans="1:15" x14ac:dyDescent="0.3">
      <c r="A2377" t="s">
        <v>2445</v>
      </c>
      <c r="B2377" s="2">
        <v>47667</v>
      </c>
      <c r="C2377" t="s">
        <v>49</v>
      </c>
      <c r="D2377" t="str">
        <f t="shared" si="37"/>
        <v>July</v>
      </c>
      <c r="E2377" t="s">
        <v>32</v>
      </c>
      <c r="F2377" t="s">
        <v>53</v>
      </c>
      <c r="G2377" t="s">
        <v>129</v>
      </c>
      <c r="H2377" t="s">
        <v>33</v>
      </c>
      <c r="I2377" t="s">
        <v>20</v>
      </c>
      <c r="J2377" t="s">
        <v>46</v>
      </c>
      <c r="K2377">
        <v>3</v>
      </c>
      <c r="L2377">
        <v>31785.7</v>
      </c>
      <c r="M2377">
        <v>10</v>
      </c>
      <c r="N2377">
        <v>85821.38</v>
      </c>
      <c r="O2377" t="s">
        <v>29</v>
      </c>
    </row>
    <row r="2378" spans="1:15" x14ac:dyDescent="0.3">
      <c r="A2378" t="s">
        <v>2446</v>
      </c>
      <c r="B2378" s="2">
        <v>47668</v>
      </c>
      <c r="C2378" t="s">
        <v>31</v>
      </c>
      <c r="D2378" t="str">
        <f t="shared" si="37"/>
        <v>July</v>
      </c>
      <c r="E2378" t="s">
        <v>32</v>
      </c>
      <c r="F2378" t="s">
        <v>17</v>
      </c>
      <c r="G2378" t="s">
        <v>63</v>
      </c>
      <c r="H2378" t="s">
        <v>19</v>
      </c>
      <c r="I2378" t="s">
        <v>34</v>
      </c>
      <c r="J2378" t="s">
        <v>21</v>
      </c>
      <c r="K2378">
        <v>4</v>
      </c>
      <c r="L2378">
        <v>56177.53</v>
      </c>
      <c r="M2378">
        <v>10</v>
      </c>
      <c r="N2378">
        <v>202239.11</v>
      </c>
      <c r="O2378" t="s">
        <v>22</v>
      </c>
    </row>
    <row r="2379" spans="1:15" x14ac:dyDescent="0.3">
      <c r="A2379" t="s">
        <v>2447</v>
      </c>
      <c r="B2379" s="2">
        <v>47669</v>
      </c>
      <c r="C2379" t="s">
        <v>49</v>
      </c>
      <c r="D2379" t="str">
        <f t="shared" si="37"/>
        <v>July</v>
      </c>
      <c r="E2379" t="s">
        <v>100</v>
      </c>
      <c r="F2379" t="s">
        <v>40</v>
      </c>
      <c r="G2379" t="s">
        <v>75</v>
      </c>
      <c r="H2379" t="s">
        <v>45</v>
      </c>
      <c r="I2379" t="s">
        <v>34</v>
      </c>
      <c r="J2379" t="s">
        <v>35</v>
      </c>
      <c r="K2379">
        <v>3</v>
      </c>
      <c r="L2379">
        <v>8075.83</v>
      </c>
      <c r="M2379">
        <v>10</v>
      </c>
      <c r="N2379">
        <v>21804.74</v>
      </c>
      <c r="O2379" t="s">
        <v>47</v>
      </c>
    </row>
    <row r="2380" spans="1:15" x14ac:dyDescent="0.3">
      <c r="A2380" t="s">
        <v>2448</v>
      </c>
      <c r="B2380" s="2">
        <v>47670</v>
      </c>
      <c r="C2380" t="s">
        <v>15</v>
      </c>
      <c r="D2380" t="str">
        <f t="shared" si="37"/>
        <v>July</v>
      </c>
      <c r="E2380" t="s">
        <v>77</v>
      </c>
      <c r="F2380" t="s">
        <v>53</v>
      </c>
      <c r="G2380" t="s">
        <v>129</v>
      </c>
      <c r="H2380" t="s">
        <v>33</v>
      </c>
      <c r="I2380" t="s">
        <v>20</v>
      </c>
      <c r="J2380" t="s">
        <v>35</v>
      </c>
      <c r="K2380">
        <v>1</v>
      </c>
      <c r="L2380">
        <v>30485.23</v>
      </c>
      <c r="M2380">
        <v>0</v>
      </c>
      <c r="N2380">
        <v>30485.23</v>
      </c>
      <c r="O2380" t="s">
        <v>29</v>
      </c>
    </row>
    <row r="2381" spans="1:15" x14ac:dyDescent="0.3">
      <c r="A2381" t="s">
        <v>2449</v>
      </c>
      <c r="B2381" s="2">
        <v>47671</v>
      </c>
      <c r="C2381" t="s">
        <v>58</v>
      </c>
      <c r="D2381" t="str">
        <f t="shared" si="37"/>
        <v>July</v>
      </c>
      <c r="E2381" t="s">
        <v>72</v>
      </c>
      <c r="F2381" t="s">
        <v>25</v>
      </c>
      <c r="G2381" t="s">
        <v>26</v>
      </c>
      <c r="H2381" t="s">
        <v>27</v>
      </c>
      <c r="I2381" t="s">
        <v>34</v>
      </c>
      <c r="J2381" t="s">
        <v>43</v>
      </c>
      <c r="K2381">
        <v>3</v>
      </c>
      <c r="L2381">
        <v>2409.0300000000002</v>
      </c>
      <c r="M2381">
        <v>15</v>
      </c>
      <c r="N2381">
        <v>6143.03</v>
      </c>
      <c r="O2381" t="s">
        <v>47</v>
      </c>
    </row>
    <row r="2382" spans="1:15" x14ac:dyDescent="0.3">
      <c r="A2382" t="s">
        <v>2450</v>
      </c>
      <c r="B2382" s="2">
        <v>47672</v>
      </c>
      <c r="C2382" t="s">
        <v>15</v>
      </c>
      <c r="D2382" t="str">
        <f t="shared" si="37"/>
        <v>July</v>
      </c>
      <c r="E2382" t="s">
        <v>24</v>
      </c>
      <c r="F2382" t="s">
        <v>40</v>
      </c>
      <c r="G2382" t="s">
        <v>115</v>
      </c>
      <c r="H2382" t="s">
        <v>45</v>
      </c>
      <c r="I2382" t="s">
        <v>34</v>
      </c>
      <c r="J2382" t="s">
        <v>35</v>
      </c>
      <c r="K2382">
        <v>3</v>
      </c>
      <c r="L2382">
        <v>5274.06</v>
      </c>
      <c r="M2382">
        <v>0</v>
      </c>
      <c r="N2382">
        <v>15822.19</v>
      </c>
      <c r="O2382" t="s">
        <v>47</v>
      </c>
    </row>
    <row r="2383" spans="1:15" x14ac:dyDescent="0.3">
      <c r="A2383" t="s">
        <v>2451</v>
      </c>
      <c r="B2383" s="2">
        <v>47673</v>
      </c>
      <c r="C2383" t="s">
        <v>58</v>
      </c>
      <c r="D2383" t="str">
        <f t="shared" si="37"/>
        <v>July</v>
      </c>
      <c r="E2383" t="s">
        <v>50</v>
      </c>
      <c r="F2383" t="s">
        <v>25</v>
      </c>
      <c r="G2383" t="s">
        <v>81</v>
      </c>
      <c r="H2383" t="s">
        <v>33</v>
      </c>
      <c r="I2383" t="s">
        <v>20</v>
      </c>
      <c r="J2383" t="s">
        <v>46</v>
      </c>
      <c r="K2383">
        <v>2</v>
      </c>
      <c r="L2383">
        <v>2887.91</v>
      </c>
      <c r="M2383">
        <v>0</v>
      </c>
      <c r="N2383">
        <v>5775.83</v>
      </c>
      <c r="O2383" t="s">
        <v>47</v>
      </c>
    </row>
    <row r="2384" spans="1:15" x14ac:dyDescent="0.3">
      <c r="A2384" t="s">
        <v>2452</v>
      </c>
      <c r="B2384" s="2">
        <v>47674</v>
      </c>
      <c r="C2384" t="s">
        <v>31</v>
      </c>
      <c r="D2384" t="str">
        <f t="shared" si="37"/>
        <v>July</v>
      </c>
      <c r="E2384" t="s">
        <v>16</v>
      </c>
      <c r="F2384" t="s">
        <v>53</v>
      </c>
      <c r="G2384" t="s">
        <v>105</v>
      </c>
      <c r="H2384" t="s">
        <v>33</v>
      </c>
      <c r="I2384" t="s">
        <v>20</v>
      </c>
      <c r="J2384" t="s">
        <v>43</v>
      </c>
      <c r="K2384">
        <v>4</v>
      </c>
      <c r="L2384">
        <v>31202.25</v>
      </c>
      <c r="M2384">
        <v>15</v>
      </c>
      <c r="N2384">
        <v>106087.64</v>
      </c>
      <c r="O2384" t="s">
        <v>47</v>
      </c>
    </row>
    <row r="2385" spans="1:15" x14ac:dyDescent="0.3">
      <c r="A2385" t="s">
        <v>2453</v>
      </c>
      <c r="B2385" s="2">
        <v>47675</v>
      </c>
      <c r="C2385" t="s">
        <v>49</v>
      </c>
      <c r="D2385" t="str">
        <f t="shared" si="37"/>
        <v>July</v>
      </c>
      <c r="E2385" t="s">
        <v>100</v>
      </c>
      <c r="F2385" t="s">
        <v>17</v>
      </c>
      <c r="G2385" t="s">
        <v>123</v>
      </c>
      <c r="H2385" t="s">
        <v>45</v>
      </c>
      <c r="I2385" t="s">
        <v>20</v>
      </c>
      <c r="J2385" t="s">
        <v>35</v>
      </c>
      <c r="K2385">
        <v>3</v>
      </c>
      <c r="L2385">
        <v>67204.17</v>
      </c>
      <c r="M2385">
        <v>0</v>
      </c>
      <c r="N2385">
        <v>201612.51</v>
      </c>
      <c r="O2385" t="s">
        <v>29</v>
      </c>
    </row>
    <row r="2386" spans="1:15" x14ac:dyDescent="0.3">
      <c r="A2386" t="s">
        <v>2454</v>
      </c>
      <c r="B2386" s="2">
        <v>47676</v>
      </c>
      <c r="C2386" t="s">
        <v>15</v>
      </c>
      <c r="D2386" t="str">
        <f t="shared" si="37"/>
        <v>July</v>
      </c>
      <c r="E2386" t="s">
        <v>39</v>
      </c>
      <c r="F2386" t="s">
        <v>40</v>
      </c>
      <c r="G2386" t="s">
        <v>75</v>
      </c>
      <c r="H2386" t="s">
        <v>19</v>
      </c>
      <c r="I2386" t="s">
        <v>20</v>
      </c>
      <c r="J2386" t="s">
        <v>21</v>
      </c>
      <c r="K2386">
        <v>4</v>
      </c>
      <c r="L2386">
        <v>8026.52</v>
      </c>
      <c r="M2386">
        <v>10</v>
      </c>
      <c r="N2386">
        <v>28895.49</v>
      </c>
      <c r="O2386" t="s">
        <v>29</v>
      </c>
    </row>
    <row r="2387" spans="1:15" x14ac:dyDescent="0.3">
      <c r="A2387" t="s">
        <v>2455</v>
      </c>
      <c r="B2387" s="2">
        <v>47677</v>
      </c>
      <c r="C2387" t="s">
        <v>15</v>
      </c>
      <c r="D2387" t="str">
        <f t="shared" si="37"/>
        <v>July</v>
      </c>
      <c r="E2387" t="s">
        <v>77</v>
      </c>
      <c r="F2387" t="s">
        <v>25</v>
      </c>
      <c r="G2387" t="s">
        <v>81</v>
      </c>
      <c r="H2387" t="s">
        <v>27</v>
      </c>
      <c r="I2387" t="s">
        <v>20</v>
      </c>
      <c r="J2387" t="s">
        <v>28</v>
      </c>
      <c r="K2387">
        <v>2</v>
      </c>
      <c r="L2387">
        <v>2042.49</v>
      </c>
      <c r="M2387">
        <v>0</v>
      </c>
      <c r="N2387">
        <v>4084.97</v>
      </c>
      <c r="O2387" t="s">
        <v>29</v>
      </c>
    </row>
    <row r="2388" spans="1:15" x14ac:dyDescent="0.3">
      <c r="A2388" t="s">
        <v>2456</v>
      </c>
      <c r="B2388" s="2">
        <v>47678</v>
      </c>
      <c r="C2388" t="s">
        <v>15</v>
      </c>
      <c r="D2388" t="str">
        <f t="shared" si="37"/>
        <v>July</v>
      </c>
      <c r="E2388" t="s">
        <v>24</v>
      </c>
      <c r="F2388" t="s">
        <v>53</v>
      </c>
      <c r="G2388" t="s">
        <v>129</v>
      </c>
      <c r="H2388" t="s">
        <v>45</v>
      </c>
      <c r="I2388" t="s">
        <v>34</v>
      </c>
      <c r="J2388" t="s">
        <v>21</v>
      </c>
      <c r="K2388">
        <v>5</v>
      </c>
      <c r="L2388">
        <v>28118.27</v>
      </c>
      <c r="M2388">
        <v>20</v>
      </c>
      <c r="N2388">
        <v>112473.07</v>
      </c>
      <c r="O2388" t="s">
        <v>29</v>
      </c>
    </row>
    <row r="2389" spans="1:15" x14ac:dyDescent="0.3">
      <c r="A2389" t="s">
        <v>2457</v>
      </c>
      <c r="B2389" s="2">
        <v>47679</v>
      </c>
      <c r="C2389" t="s">
        <v>31</v>
      </c>
      <c r="D2389" t="str">
        <f t="shared" si="37"/>
        <v>July</v>
      </c>
      <c r="E2389" t="s">
        <v>100</v>
      </c>
      <c r="F2389" t="s">
        <v>17</v>
      </c>
      <c r="G2389" t="s">
        <v>67</v>
      </c>
      <c r="H2389" t="s">
        <v>19</v>
      </c>
      <c r="I2389" t="s">
        <v>34</v>
      </c>
      <c r="J2389" t="s">
        <v>28</v>
      </c>
      <c r="K2389">
        <v>2</v>
      </c>
      <c r="L2389">
        <v>45789.14</v>
      </c>
      <c r="M2389">
        <v>10</v>
      </c>
      <c r="N2389">
        <v>82420.460000000006</v>
      </c>
      <c r="O2389" t="s">
        <v>47</v>
      </c>
    </row>
    <row r="2390" spans="1:15" x14ac:dyDescent="0.3">
      <c r="A2390" t="s">
        <v>2458</v>
      </c>
      <c r="B2390" s="2">
        <v>47680</v>
      </c>
      <c r="C2390" t="s">
        <v>58</v>
      </c>
      <c r="D2390" t="str">
        <f t="shared" si="37"/>
        <v>July</v>
      </c>
      <c r="E2390" t="s">
        <v>69</v>
      </c>
      <c r="F2390" t="s">
        <v>60</v>
      </c>
      <c r="G2390" t="s">
        <v>73</v>
      </c>
      <c r="H2390" t="s">
        <v>45</v>
      </c>
      <c r="I2390" t="s">
        <v>20</v>
      </c>
      <c r="J2390" t="s">
        <v>21</v>
      </c>
      <c r="K2390">
        <v>1</v>
      </c>
      <c r="L2390">
        <v>31818.2</v>
      </c>
      <c r="M2390">
        <v>0</v>
      </c>
      <c r="N2390">
        <v>31818.2</v>
      </c>
      <c r="O2390" t="s">
        <v>47</v>
      </c>
    </row>
    <row r="2391" spans="1:15" x14ac:dyDescent="0.3">
      <c r="A2391" t="s">
        <v>2459</v>
      </c>
      <c r="B2391" s="2">
        <v>47681</v>
      </c>
      <c r="C2391" t="s">
        <v>38</v>
      </c>
      <c r="D2391" t="str">
        <f t="shared" si="37"/>
        <v>July</v>
      </c>
      <c r="E2391" t="s">
        <v>100</v>
      </c>
      <c r="F2391" t="s">
        <v>25</v>
      </c>
      <c r="G2391" t="s">
        <v>56</v>
      </c>
      <c r="H2391" t="s">
        <v>45</v>
      </c>
      <c r="I2391" t="s">
        <v>20</v>
      </c>
      <c r="J2391" t="s">
        <v>28</v>
      </c>
      <c r="K2391">
        <v>3</v>
      </c>
      <c r="L2391">
        <v>2649.34</v>
      </c>
      <c r="M2391">
        <v>0</v>
      </c>
      <c r="N2391">
        <v>7948.03</v>
      </c>
      <c r="O2391" t="s">
        <v>22</v>
      </c>
    </row>
    <row r="2392" spans="1:15" x14ac:dyDescent="0.3">
      <c r="A2392" t="s">
        <v>2460</v>
      </c>
      <c r="B2392" s="2">
        <v>47682</v>
      </c>
      <c r="C2392" t="s">
        <v>49</v>
      </c>
      <c r="D2392" t="str">
        <f t="shared" si="37"/>
        <v>July</v>
      </c>
      <c r="E2392" t="s">
        <v>32</v>
      </c>
      <c r="F2392" t="s">
        <v>60</v>
      </c>
      <c r="G2392" t="s">
        <v>70</v>
      </c>
      <c r="H2392" t="s">
        <v>19</v>
      </c>
      <c r="I2392" t="s">
        <v>20</v>
      </c>
      <c r="J2392" t="s">
        <v>43</v>
      </c>
      <c r="K2392">
        <v>3</v>
      </c>
      <c r="L2392">
        <v>34043.07</v>
      </c>
      <c r="M2392">
        <v>0</v>
      </c>
      <c r="N2392">
        <v>102129.21</v>
      </c>
      <c r="O2392" t="s">
        <v>47</v>
      </c>
    </row>
    <row r="2393" spans="1:15" x14ac:dyDescent="0.3">
      <c r="A2393" t="s">
        <v>2461</v>
      </c>
      <c r="B2393" s="2">
        <v>47683</v>
      </c>
      <c r="C2393" t="s">
        <v>38</v>
      </c>
      <c r="D2393" t="str">
        <f t="shared" si="37"/>
        <v>July</v>
      </c>
      <c r="E2393" t="s">
        <v>32</v>
      </c>
      <c r="F2393" t="s">
        <v>53</v>
      </c>
      <c r="G2393" t="s">
        <v>65</v>
      </c>
      <c r="H2393" t="s">
        <v>33</v>
      </c>
      <c r="I2393" t="s">
        <v>34</v>
      </c>
      <c r="J2393" t="s">
        <v>21</v>
      </c>
      <c r="K2393">
        <v>5</v>
      </c>
      <c r="L2393">
        <v>25090.7</v>
      </c>
      <c r="M2393">
        <v>10</v>
      </c>
      <c r="N2393">
        <v>112908.16</v>
      </c>
      <c r="O2393" t="s">
        <v>29</v>
      </c>
    </row>
    <row r="2394" spans="1:15" x14ac:dyDescent="0.3">
      <c r="A2394" t="s">
        <v>2462</v>
      </c>
      <c r="B2394" s="2">
        <v>47684</v>
      </c>
      <c r="C2394" t="s">
        <v>38</v>
      </c>
      <c r="D2394" t="str">
        <f t="shared" si="37"/>
        <v>July</v>
      </c>
      <c r="E2394" t="s">
        <v>52</v>
      </c>
      <c r="F2394" t="s">
        <v>60</v>
      </c>
      <c r="G2394" t="s">
        <v>78</v>
      </c>
      <c r="H2394" t="s">
        <v>27</v>
      </c>
      <c r="I2394" t="s">
        <v>20</v>
      </c>
      <c r="J2394" t="s">
        <v>21</v>
      </c>
      <c r="K2394">
        <v>4</v>
      </c>
      <c r="L2394">
        <v>34783.949999999997</v>
      </c>
      <c r="M2394">
        <v>10</v>
      </c>
      <c r="N2394">
        <v>125222.22</v>
      </c>
      <c r="O2394" t="s">
        <v>36</v>
      </c>
    </row>
    <row r="2395" spans="1:15" x14ac:dyDescent="0.3">
      <c r="A2395" t="s">
        <v>2463</v>
      </c>
      <c r="B2395" s="2">
        <v>47685</v>
      </c>
      <c r="C2395" t="s">
        <v>49</v>
      </c>
      <c r="D2395" t="str">
        <f t="shared" si="37"/>
        <v>July</v>
      </c>
      <c r="E2395" t="s">
        <v>77</v>
      </c>
      <c r="F2395" t="s">
        <v>40</v>
      </c>
      <c r="G2395" t="s">
        <v>75</v>
      </c>
      <c r="H2395" t="s">
        <v>33</v>
      </c>
      <c r="I2395" t="s">
        <v>42</v>
      </c>
      <c r="J2395" t="s">
        <v>35</v>
      </c>
      <c r="K2395">
        <v>2</v>
      </c>
      <c r="L2395">
        <v>7398.43</v>
      </c>
      <c r="M2395">
        <v>0</v>
      </c>
      <c r="N2395">
        <v>14796.85</v>
      </c>
      <c r="O2395" t="s">
        <v>22</v>
      </c>
    </row>
    <row r="2396" spans="1:15" x14ac:dyDescent="0.3">
      <c r="A2396" t="s">
        <v>2464</v>
      </c>
      <c r="B2396" s="2">
        <v>47686</v>
      </c>
      <c r="C2396" t="s">
        <v>38</v>
      </c>
      <c r="D2396" t="str">
        <f t="shared" si="37"/>
        <v>July</v>
      </c>
      <c r="E2396" t="s">
        <v>50</v>
      </c>
      <c r="F2396" t="s">
        <v>40</v>
      </c>
      <c r="G2396" t="s">
        <v>75</v>
      </c>
      <c r="H2396" t="s">
        <v>33</v>
      </c>
      <c r="I2396" t="s">
        <v>20</v>
      </c>
      <c r="J2396" t="s">
        <v>35</v>
      </c>
      <c r="K2396">
        <v>1</v>
      </c>
      <c r="L2396">
        <v>5140.2700000000004</v>
      </c>
      <c r="M2396">
        <v>5</v>
      </c>
      <c r="N2396">
        <v>4883.25</v>
      </c>
      <c r="O2396" t="s">
        <v>29</v>
      </c>
    </row>
    <row r="2397" spans="1:15" x14ac:dyDescent="0.3">
      <c r="A2397" t="s">
        <v>2465</v>
      </c>
      <c r="B2397" s="2">
        <v>47687</v>
      </c>
      <c r="C2397" t="s">
        <v>49</v>
      </c>
      <c r="D2397" t="str">
        <f t="shared" si="37"/>
        <v>July</v>
      </c>
      <c r="E2397" t="s">
        <v>24</v>
      </c>
      <c r="F2397" t="s">
        <v>17</v>
      </c>
      <c r="G2397" t="s">
        <v>67</v>
      </c>
      <c r="H2397" t="s">
        <v>45</v>
      </c>
      <c r="I2397" t="s">
        <v>34</v>
      </c>
      <c r="J2397" t="s">
        <v>28</v>
      </c>
      <c r="K2397">
        <v>2</v>
      </c>
      <c r="L2397">
        <v>67852.66</v>
      </c>
      <c r="M2397">
        <v>10</v>
      </c>
      <c r="N2397">
        <v>122134.79</v>
      </c>
      <c r="O2397" t="s">
        <v>29</v>
      </c>
    </row>
    <row r="2398" spans="1:15" x14ac:dyDescent="0.3">
      <c r="A2398" t="s">
        <v>2466</v>
      </c>
      <c r="B2398" s="2">
        <v>47688</v>
      </c>
      <c r="C2398" t="s">
        <v>15</v>
      </c>
      <c r="D2398" t="str">
        <f t="shared" si="37"/>
        <v>July</v>
      </c>
      <c r="E2398" t="s">
        <v>77</v>
      </c>
      <c r="F2398" t="s">
        <v>25</v>
      </c>
      <c r="G2398" t="s">
        <v>56</v>
      </c>
      <c r="H2398" t="s">
        <v>45</v>
      </c>
      <c r="I2398" t="s">
        <v>20</v>
      </c>
      <c r="J2398" t="s">
        <v>35</v>
      </c>
      <c r="K2398">
        <v>3</v>
      </c>
      <c r="L2398">
        <v>2513.5300000000002</v>
      </c>
      <c r="M2398">
        <v>10</v>
      </c>
      <c r="N2398">
        <v>6786.54</v>
      </c>
      <c r="O2398" t="s">
        <v>47</v>
      </c>
    </row>
    <row r="2399" spans="1:15" x14ac:dyDescent="0.3">
      <c r="A2399" t="s">
        <v>2467</v>
      </c>
      <c r="B2399" s="2">
        <v>47689</v>
      </c>
      <c r="C2399" t="s">
        <v>49</v>
      </c>
      <c r="D2399" t="str">
        <f t="shared" si="37"/>
        <v>July</v>
      </c>
      <c r="E2399" t="s">
        <v>16</v>
      </c>
      <c r="F2399" t="s">
        <v>60</v>
      </c>
      <c r="G2399" t="s">
        <v>73</v>
      </c>
      <c r="H2399" t="s">
        <v>19</v>
      </c>
      <c r="I2399" t="s">
        <v>20</v>
      </c>
      <c r="J2399" t="s">
        <v>35</v>
      </c>
      <c r="K2399">
        <v>3</v>
      </c>
      <c r="L2399">
        <v>43303.98</v>
      </c>
      <c r="M2399">
        <v>0</v>
      </c>
      <c r="N2399">
        <v>129911.94</v>
      </c>
      <c r="O2399" t="s">
        <v>47</v>
      </c>
    </row>
    <row r="2400" spans="1:15" x14ac:dyDescent="0.3">
      <c r="A2400" t="s">
        <v>2468</v>
      </c>
      <c r="B2400" s="2">
        <v>47690</v>
      </c>
      <c r="C2400" t="s">
        <v>38</v>
      </c>
      <c r="D2400" t="str">
        <f t="shared" si="37"/>
        <v>July</v>
      </c>
      <c r="E2400" t="s">
        <v>39</v>
      </c>
      <c r="F2400" t="s">
        <v>40</v>
      </c>
      <c r="G2400" t="s">
        <v>75</v>
      </c>
      <c r="H2400" t="s">
        <v>45</v>
      </c>
      <c r="I2400" t="s">
        <v>34</v>
      </c>
      <c r="J2400" t="s">
        <v>46</v>
      </c>
      <c r="K2400">
        <v>3</v>
      </c>
      <c r="L2400">
        <v>7264.52</v>
      </c>
      <c r="M2400">
        <v>5</v>
      </c>
      <c r="N2400">
        <v>20703.89</v>
      </c>
      <c r="O2400" t="s">
        <v>36</v>
      </c>
    </row>
    <row r="2401" spans="1:15" x14ac:dyDescent="0.3">
      <c r="A2401" t="s">
        <v>2469</v>
      </c>
      <c r="B2401" s="2">
        <v>47691</v>
      </c>
      <c r="C2401" t="s">
        <v>31</v>
      </c>
      <c r="D2401" t="str">
        <f t="shared" si="37"/>
        <v>July</v>
      </c>
      <c r="E2401" t="s">
        <v>72</v>
      </c>
      <c r="F2401" t="s">
        <v>40</v>
      </c>
      <c r="G2401" t="s">
        <v>115</v>
      </c>
      <c r="H2401" t="s">
        <v>33</v>
      </c>
      <c r="I2401" t="s">
        <v>42</v>
      </c>
      <c r="J2401" t="s">
        <v>35</v>
      </c>
      <c r="K2401">
        <v>4</v>
      </c>
      <c r="L2401">
        <v>6767.92</v>
      </c>
      <c r="M2401">
        <v>0</v>
      </c>
      <c r="N2401">
        <v>27071.7</v>
      </c>
      <c r="O2401" t="s">
        <v>22</v>
      </c>
    </row>
    <row r="2402" spans="1:15" x14ac:dyDescent="0.3">
      <c r="A2402" t="s">
        <v>2470</v>
      </c>
      <c r="B2402" s="2">
        <v>47692</v>
      </c>
      <c r="C2402" t="s">
        <v>31</v>
      </c>
      <c r="D2402" t="str">
        <f t="shared" si="37"/>
        <v>July</v>
      </c>
      <c r="E2402" t="s">
        <v>32</v>
      </c>
      <c r="F2402" t="s">
        <v>40</v>
      </c>
      <c r="G2402" t="s">
        <v>115</v>
      </c>
      <c r="H2402" t="s">
        <v>19</v>
      </c>
      <c r="I2402" t="s">
        <v>34</v>
      </c>
      <c r="J2402" t="s">
        <v>35</v>
      </c>
      <c r="K2402">
        <v>2</v>
      </c>
      <c r="L2402">
        <v>6053.2</v>
      </c>
      <c r="M2402">
        <v>0</v>
      </c>
      <c r="N2402">
        <v>12106.41</v>
      </c>
      <c r="O2402" t="s">
        <v>36</v>
      </c>
    </row>
    <row r="2403" spans="1:15" x14ac:dyDescent="0.3">
      <c r="A2403" t="s">
        <v>2471</v>
      </c>
      <c r="B2403" s="2">
        <v>47693</v>
      </c>
      <c r="C2403" t="s">
        <v>15</v>
      </c>
      <c r="D2403" t="str">
        <f t="shared" si="37"/>
        <v>July</v>
      </c>
      <c r="E2403" t="s">
        <v>69</v>
      </c>
      <c r="F2403" t="s">
        <v>25</v>
      </c>
      <c r="G2403" t="s">
        <v>56</v>
      </c>
      <c r="H2403" t="s">
        <v>19</v>
      </c>
      <c r="I2403" t="s">
        <v>20</v>
      </c>
      <c r="J2403" t="s">
        <v>35</v>
      </c>
      <c r="K2403">
        <v>1</v>
      </c>
      <c r="L2403">
        <v>2243.54</v>
      </c>
      <c r="M2403">
        <v>15</v>
      </c>
      <c r="N2403">
        <v>1907.01</v>
      </c>
      <c r="O2403" t="s">
        <v>22</v>
      </c>
    </row>
    <row r="2404" spans="1:15" x14ac:dyDescent="0.3">
      <c r="A2404" t="s">
        <v>2472</v>
      </c>
      <c r="B2404" s="2">
        <v>47694</v>
      </c>
      <c r="C2404" t="s">
        <v>31</v>
      </c>
      <c r="D2404" t="str">
        <f t="shared" si="37"/>
        <v>July</v>
      </c>
      <c r="E2404" t="s">
        <v>24</v>
      </c>
      <c r="F2404" t="s">
        <v>60</v>
      </c>
      <c r="G2404" t="s">
        <v>78</v>
      </c>
      <c r="H2404" t="s">
        <v>33</v>
      </c>
      <c r="I2404" t="s">
        <v>34</v>
      </c>
      <c r="J2404" t="s">
        <v>46</v>
      </c>
      <c r="K2404">
        <v>3</v>
      </c>
      <c r="L2404">
        <v>40617.72</v>
      </c>
      <c r="M2404">
        <v>15</v>
      </c>
      <c r="N2404">
        <v>103575.18</v>
      </c>
      <c r="O2404" t="s">
        <v>22</v>
      </c>
    </row>
    <row r="2405" spans="1:15" x14ac:dyDescent="0.3">
      <c r="A2405" t="s">
        <v>2473</v>
      </c>
      <c r="B2405" s="2">
        <v>47695</v>
      </c>
      <c r="C2405" t="s">
        <v>15</v>
      </c>
      <c r="D2405" t="str">
        <f t="shared" si="37"/>
        <v>July</v>
      </c>
      <c r="E2405" t="s">
        <v>69</v>
      </c>
      <c r="F2405" t="s">
        <v>40</v>
      </c>
      <c r="G2405" t="s">
        <v>41</v>
      </c>
      <c r="H2405" t="s">
        <v>27</v>
      </c>
      <c r="I2405" t="s">
        <v>34</v>
      </c>
      <c r="J2405" t="s">
        <v>35</v>
      </c>
      <c r="K2405">
        <v>5</v>
      </c>
      <c r="L2405">
        <v>5368.57</v>
      </c>
      <c r="M2405">
        <v>15</v>
      </c>
      <c r="N2405">
        <v>22816.43</v>
      </c>
      <c r="O2405" t="s">
        <v>22</v>
      </c>
    </row>
    <row r="2406" spans="1:15" x14ac:dyDescent="0.3">
      <c r="A2406" t="s">
        <v>2474</v>
      </c>
      <c r="B2406" s="2">
        <v>47696</v>
      </c>
      <c r="C2406" t="s">
        <v>15</v>
      </c>
      <c r="D2406" t="str">
        <f t="shared" si="37"/>
        <v>August</v>
      </c>
      <c r="E2406" t="s">
        <v>50</v>
      </c>
      <c r="F2406" t="s">
        <v>53</v>
      </c>
      <c r="G2406" t="s">
        <v>54</v>
      </c>
      <c r="H2406" t="s">
        <v>45</v>
      </c>
      <c r="I2406" t="s">
        <v>42</v>
      </c>
      <c r="J2406" t="s">
        <v>28</v>
      </c>
      <c r="K2406">
        <v>3</v>
      </c>
      <c r="L2406">
        <v>27041.34</v>
      </c>
      <c r="M2406">
        <v>10</v>
      </c>
      <c r="N2406">
        <v>73011.61</v>
      </c>
      <c r="O2406" t="s">
        <v>47</v>
      </c>
    </row>
    <row r="2407" spans="1:15" x14ac:dyDescent="0.3">
      <c r="A2407" t="s">
        <v>2475</v>
      </c>
      <c r="B2407" s="2">
        <v>47697</v>
      </c>
      <c r="C2407" t="s">
        <v>31</v>
      </c>
      <c r="D2407" t="str">
        <f t="shared" si="37"/>
        <v>August</v>
      </c>
      <c r="E2407" t="s">
        <v>69</v>
      </c>
      <c r="F2407" t="s">
        <v>53</v>
      </c>
      <c r="G2407" t="s">
        <v>54</v>
      </c>
      <c r="H2407" t="s">
        <v>33</v>
      </c>
      <c r="I2407" t="s">
        <v>20</v>
      </c>
      <c r="J2407" t="s">
        <v>28</v>
      </c>
      <c r="K2407">
        <v>3</v>
      </c>
      <c r="L2407">
        <v>35115.4</v>
      </c>
      <c r="M2407">
        <v>15</v>
      </c>
      <c r="N2407">
        <v>89544.28</v>
      </c>
      <c r="O2407" t="s">
        <v>47</v>
      </c>
    </row>
    <row r="2408" spans="1:15" x14ac:dyDescent="0.3">
      <c r="A2408" t="s">
        <v>2476</v>
      </c>
      <c r="B2408" s="2">
        <v>47698</v>
      </c>
      <c r="C2408" t="s">
        <v>49</v>
      </c>
      <c r="D2408" t="str">
        <f t="shared" si="37"/>
        <v>August</v>
      </c>
      <c r="E2408" t="s">
        <v>16</v>
      </c>
      <c r="F2408" t="s">
        <v>40</v>
      </c>
      <c r="G2408" t="s">
        <v>41</v>
      </c>
      <c r="H2408" t="s">
        <v>19</v>
      </c>
      <c r="I2408" t="s">
        <v>34</v>
      </c>
      <c r="J2408" t="s">
        <v>35</v>
      </c>
      <c r="K2408">
        <v>3</v>
      </c>
      <c r="L2408">
        <v>6268.83</v>
      </c>
      <c r="M2408">
        <v>15</v>
      </c>
      <c r="N2408">
        <v>15985.51</v>
      </c>
      <c r="O2408" t="s">
        <v>22</v>
      </c>
    </row>
    <row r="2409" spans="1:15" x14ac:dyDescent="0.3">
      <c r="A2409" t="s">
        <v>2477</v>
      </c>
      <c r="B2409" s="2">
        <v>47699</v>
      </c>
      <c r="C2409" t="s">
        <v>15</v>
      </c>
      <c r="D2409" t="str">
        <f t="shared" si="37"/>
        <v>August</v>
      </c>
      <c r="E2409" t="s">
        <v>24</v>
      </c>
      <c r="F2409" t="s">
        <v>53</v>
      </c>
      <c r="G2409" t="s">
        <v>65</v>
      </c>
      <c r="H2409" t="s">
        <v>33</v>
      </c>
      <c r="I2409" t="s">
        <v>42</v>
      </c>
      <c r="J2409" t="s">
        <v>46</v>
      </c>
      <c r="K2409">
        <v>2</v>
      </c>
      <c r="L2409">
        <v>25952.14</v>
      </c>
      <c r="M2409">
        <v>5</v>
      </c>
      <c r="N2409">
        <v>49309.08</v>
      </c>
      <c r="O2409" t="s">
        <v>29</v>
      </c>
    </row>
    <row r="2410" spans="1:15" x14ac:dyDescent="0.3">
      <c r="A2410" t="s">
        <v>2478</v>
      </c>
      <c r="B2410" s="2">
        <v>47700</v>
      </c>
      <c r="C2410" t="s">
        <v>38</v>
      </c>
      <c r="D2410" t="str">
        <f t="shared" si="37"/>
        <v>August</v>
      </c>
      <c r="E2410" t="s">
        <v>24</v>
      </c>
      <c r="F2410" t="s">
        <v>53</v>
      </c>
      <c r="G2410" t="s">
        <v>105</v>
      </c>
      <c r="H2410" t="s">
        <v>19</v>
      </c>
      <c r="I2410" t="s">
        <v>34</v>
      </c>
      <c r="J2410" t="s">
        <v>35</v>
      </c>
      <c r="K2410">
        <v>5</v>
      </c>
      <c r="L2410">
        <v>38191.440000000002</v>
      </c>
      <c r="M2410">
        <v>20</v>
      </c>
      <c r="N2410">
        <v>152765.76000000001</v>
      </c>
      <c r="O2410" t="s">
        <v>29</v>
      </c>
    </row>
    <row r="2411" spans="1:15" x14ac:dyDescent="0.3">
      <c r="A2411" t="s">
        <v>2479</v>
      </c>
      <c r="B2411" s="2">
        <v>47701</v>
      </c>
      <c r="C2411" t="s">
        <v>31</v>
      </c>
      <c r="D2411" t="str">
        <f t="shared" si="37"/>
        <v>August</v>
      </c>
      <c r="E2411" t="s">
        <v>32</v>
      </c>
      <c r="F2411" t="s">
        <v>53</v>
      </c>
      <c r="G2411" t="s">
        <v>129</v>
      </c>
      <c r="H2411" t="s">
        <v>27</v>
      </c>
      <c r="I2411" t="s">
        <v>20</v>
      </c>
      <c r="J2411" t="s">
        <v>43</v>
      </c>
      <c r="K2411">
        <v>4</v>
      </c>
      <c r="L2411">
        <v>31060.560000000001</v>
      </c>
      <c r="M2411">
        <v>20</v>
      </c>
      <c r="N2411">
        <v>99393.8</v>
      </c>
      <c r="O2411" t="s">
        <v>36</v>
      </c>
    </row>
    <row r="2412" spans="1:15" x14ac:dyDescent="0.3">
      <c r="A2412" t="s">
        <v>2480</v>
      </c>
      <c r="B2412" s="2">
        <v>47702</v>
      </c>
      <c r="C2412" t="s">
        <v>31</v>
      </c>
      <c r="D2412" t="str">
        <f t="shared" si="37"/>
        <v>August</v>
      </c>
      <c r="E2412" t="s">
        <v>32</v>
      </c>
      <c r="F2412" t="s">
        <v>53</v>
      </c>
      <c r="G2412" t="s">
        <v>54</v>
      </c>
      <c r="H2412" t="s">
        <v>27</v>
      </c>
      <c r="I2412" t="s">
        <v>20</v>
      </c>
      <c r="J2412" t="s">
        <v>28</v>
      </c>
      <c r="K2412">
        <v>2</v>
      </c>
      <c r="L2412">
        <v>24433.75</v>
      </c>
      <c r="M2412">
        <v>5</v>
      </c>
      <c r="N2412">
        <v>46424.12</v>
      </c>
      <c r="O2412" t="s">
        <v>47</v>
      </c>
    </row>
    <row r="2413" spans="1:15" x14ac:dyDescent="0.3">
      <c r="A2413" t="s">
        <v>2481</v>
      </c>
      <c r="B2413" s="2">
        <v>47703</v>
      </c>
      <c r="C2413" t="s">
        <v>15</v>
      </c>
      <c r="D2413" t="str">
        <f t="shared" si="37"/>
        <v>August</v>
      </c>
      <c r="E2413" t="s">
        <v>50</v>
      </c>
      <c r="F2413" t="s">
        <v>53</v>
      </c>
      <c r="G2413" t="s">
        <v>65</v>
      </c>
      <c r="H2413" t="s">
        <v>19</v>
      </c>
      <c r="I2413" t="s">
        <v>34</v>
      </c>
      <c r="J2413" t="s">
        <v>35</v>
      </c>
      <c r="K2413">
        <v>3</v>
      </c>
      <c r="L2413">
        <v>39033.82</v>
      </c>
      <c r="M2413">
        <v>5</v>
      </c>
      <c r="N2413">
        <v>111246.38</v>
      </c>
      <c r="O2413" t="s">
        <v>36</v>
      </c>
    </row>
    <row r="2414" spans="1:15" x14ac:dyDescent="0.3">
      <c r="A2414" t="s">
        <v>2482</v>
      </c>
      <c r="B2414" s="2">
        <v>47704</v>
      </c>
      <c r="C2414" t="s">
        <v>49</v>
      </c>
      <c r="D2414" t="str">
        <f t="shared" si="37"/>
        <v>August</v>
      </c>
      <c r="E2414" t="s">
        <v>16</v>
      </c>
      <c r="F2414" t="s">
        <v>53</v>
      </c>
      <c r="G2414" t="s">
        <v>54</v>
      </c>
      <c r="H2414" t="s">
        <v>27</v>
      </c>
      <c r="I2414" t="s">
        <v>34</v>
      </c>
      <c r="J2414" t="s">
        <v>46</v>
      </c>
      <c r="K2414">
        <v>1</v>
      </c>
      <c r="L2414">
        <v>30912.53</v>
      </c>
      <c r="M2414">
        <v>0</v>
      </c>
      <c r="N2414">
        <v>30912.53</v>
      </c>
      <c r="O2414" t="s">
        <v>47</v>
      </c>
    </row>
    <row r="2415" spans="1:15" x14ac:dyDescent="0.3">
      <c r="A2415" t="s">
        <v>2483</v>
      </c>
      <c r="B2415" s="2">
        <v>47705</v>
      </c>
      <c r="C2415" t="s">
        <v>49</v>
      </c>
      <c r="D2415" t="str">
        <f t="shared" si="37"/>
        <v>August</v>
      </c>
      <c r="E2415" t="s">
        <v>50</v>
      </c>
      <c r="F2415" t="s">
        <v>60</v>
      </c>
      <c r="G2415" t="s">
        <v>61</v>
      </c>
      <c r="H2415" t="s">
        <v>45</v>
      </c>
      <c r="I2415" t="s">
        <v>42</v>
      </c>
      <c r="J2415" t="s">
        <v>21</v>
      </c>
      <c r="K2415">
        <v>5</v>
      </c>
      <c r="L2415">
        <v>40563.53</v>
      </c>
      <c r="M2415">
        <v>5</v>
      </c>
      <c r="N2415">
        <v>192676.78</v>
      </c>
      <c r="O2415" t="s">
        <v>36</v>
      </c>
    </row>
    <row r="2416" spans="1:15" x14ac:dyDescent="0.3">
      <c r="A2416" t="s">
        <v>2484</v>
      </c>
      <c r="B2416" s="2">
        <v>47706</v>
      </c>
      <c r="C2416" t="s">
        <v>49</v>
      </c>
      <c r="D2416" t="str">
        <f t="shared" si="37"/>
        <v>August</v>
      </c>
      <c r="E2416" t="s">
        <v>69</v>
      </c>
      <c r="F2416" t="s">
        <v>25</v>
      </c>
      <c r="G2416" t="s">
        <v>92</v>
      </c>
      <c r="H2416" t="s">
        <v>45</v>
      </c>
      <c r="I2416" t="s">
        <v>34</v>
      </c>
      <c r="J2416" t="s">
        <v>21</v>
      </c>
      <c r="K2416">
        <v>4</v>
      </c>
      <c r="L2416">
        <v>2197.81</v>
      </c>
      <c r="M2416">
        <v>0</v>
      </c>
      <c r="N2416">
        <v>8791.24</v>
      </c>
      <c r="O2416" t="s">
        <v>36</v>
      </c>
    </row>
    <row r="2417" spans="1:15" x14ac:dyDescent="0.3">
      <c r="A2417" t="s">
        <v>2485</v>
      </c>
      <c r="B2417" s="2">
        <v>47707</v>
      </c>
      <c r="C2417" t="s">
        <v>49</v>
      </c>
      <c r="D2417" t="str">
        <f t="shared" si="37"/>
        <v>August</v>
      </c>
      <c r="E2417" t="s">
        <v>52</v>
      </c>
      <c r="F2417" t="s">
        <v>25</v>
      </c>
      <c r="G2417" t="s">
        <v>26</v>
      </c>
      <c r="H2417" t="s">
        <v>33</v>
      </c>
      <c r="I2417" t="s">
        <v>42</v>
      </c>
      <c r="J2417" t="s">
        <v>21</v>
      </c>
      <c r="K2417">
        <v>3</v>
      </c>
      <c r="L2417">
        <v>2365.91</v>
      </c>
      <c r="M2417">
        <v>10</v>
      </c>
      <c r="N2417">
        <v>6387.95</v>
      </c>
      <c r="O2417" t="s">
        <v>47</v>
      </c>
    </row>
    <row r="2418" spans="1:15" x14ac:dyDescent="0.3">
      <c r="A2418" t="s">
        <v>2486</v>
      </c>
      <c r="B2418" s="2">
        <v>47708</v>
      </c>
      <c r="C2418" t="s">
        <v>15</v>
      </c>
      <c r="D2418" t="str">
        <f t="shared" si="37"/>
        <v>August</v>
      </c>
      <c r="E2418" t="s">
        <v>32</v>
      </c>
      <c r="F2418" t="s">
        <v>25</v>
      </c>
      <c r="G2418" t="s">
        <v>56</v>
      </c>
      <c r="H2418" t="s">
        <v>33</v>
      </c>
      <c r="I2418" t="s">
        <v>20</v>
      </c>
      <c r="J2418" t="s">
        <v>28</v>
      </c>
      <c r="K2418">
        <v>5</v>
      </c>
      <c r="L2418">
        <v>2328.6</v>
      </c>
      <c r="M2418">
        <v>10</v>
      </c>
      <c r="N2418">
        <v>10478.709999999999</v>
      </c>
      <c r="O2418" t="s">
        <v>22</v>
      </c>
    </row>
    <row r="2419" spans="1:15" x14ac:dyDescent="0.3">
      <c r="A2419" t="s">
        <v>2487</v>
      </c>
      <c r="B2419" s="2">
        <v>47709</v>
      </c>
      <c r="C2419" t="s">
        <v>31</v>
      </c>
      <c r="D2419" t="str">
        <f t="shared" si="37"/>
        <v>August</v>
      </c>
      <c r="E2419" t="s">
        <v>100</v>
      </c>
      <c r="F2419" t="s">
        <v>25</v>
      </c>
      <c r="G2419" t="s">
        <v>92</v>
      </c>
      <c r="H2419" t="s">
        <v>45</v>
      </c>
      <c r="I2419" t="s">
        <v>34</v>
      </c>
      <c r="J2419" t="s">
        <v>43</v>
      </c>
      <c r="K2419">
        <v>5</v>
      </c>
      <c r="L2419">
        <v>2486.58</v>
      </c>
      <c r="M2419">
        <v>10</v>
      </c>
      <c r="N2419">
        <v>11189.62</v>
      </c>
      <c r="O2419" t="s">
        <v>36</v>
      </c>
    </row>
    <row r="2420" spans="1:15" x14ac:dyDescent="0.3">
      <c r="A2420" t="s">
        <v>2488</v>
      </c>
      <c r="B2420" s="2">
        <v>47710</v>
      </c>
      <c r="C2420" t="s">
        <v>49</v>
      </c>
      <c r="D2420" t="str">
        <f t="shared" si="37"/>
        <v>August</v>
      </c>
      <c r="E2420" t="s">
        <v>32</v>
      </c>
      <c r="F2420" t="s">
        <v>17</v>
      </c>
      <c r="G2420" t="s">
        <v>123</v>
      </c>
      <c r="H2420" t="s">
        <v>45</v>
      </c>
      <c r="I2420" t="s">
        <v>20</v>
      </c>
      <c r="J2420" t="s">
        <v>21</v>
      </c>
      <c r="K2420">
        <v>3</v>
      </c>
      <c r="L2420">
        <v>43581.43</v>
      </c>
      <c r="M2420">
        <v>10</v>
      </c>
      <c r="N2420">
        <v>117669.85</v>
      </c>
      <c r="O2420" t="s">
        <v>47</v>
      </c>
    </row>
    <row r="2421" spans="1:15" x14ac:dyDescent="0.3">
      <c r="A2421" t="s">
        <v>2489</v>
      </c>
      <c r="B2421" s="2">
        <v>47711</v>
      </c>
      <c r="C2421" t="s">
        <v>49</v>
      </c>
      <c r="D2421" t="str">
        <f t="shared" si="37"/>
        <v>August</v>
      </c>
      <c r="E2421" t="s">
        <v>24</v>
      </c>
      <c r="F2421" t="s">
        <v>17</v>
      </c>
      <c r="G2421" t="s">
        <v>63</v>
      </c>
      <c r="H2421" t="s">
        <v>45</v>
      </c>
      <c r="I2421" t="s">
        <v>20</v>
      </c>
      <c r="J2421" t="s">
        <v>21</v>
      </c>
      <c r="K2421">
        <v>5</v>
      </c>
      <c r="L2421">
        <v>59054.91</v>
      </c>
      <c r="M2421">
        <v>15</v>
      </c>
      <c r="N2421">
        <v>250983.35</v>
      </c>
      <c r="O2421" t="s">
        <v>22</v>
      </c>
    </row>
    <row r="2422" spans="1:15" x14ac:dyDescent="0.3">
      <c r="A2422" t="s">
        <v>2490</v>
      </c>
      <c r="B2422" s="2">
        <v>47712</v>
      </c>
      <c r="C2422" t="s">
        <v>38</v>
      </c>
      <c r="D2422" t="str">
        <f t="shared" si="37"/>
        <v>August</v>
      </c>
      <c r="E2422" t="s">
        <v>50</v>
      </c>
      <c r="F2422" t="s">
        <v>40</v>
      </c>
      <c r="G2422" t="s">
        <v>75</v>
      </c>
      <c r="H2422" t="s">
        <v>33</v>
      </c>
      <c r="I2422" t="s">
        <v>34</v>
      </c>
      <c r="J2422" t="s">
        <v>21</v>
      </c>
      <c r="K2422">
        <v>5</v>
      </c>
      <c r="L2422">
        <v>6775.65</v>
      </c>
      <c r="M2422">
        <v>5</v>
      </c>
      <c r="N2422">
        <v>32184.35</v>
      </c>
      <c r="O2422" t="s">
        <v>36</v>
      </c>
    </row>
    <row r="2423" spans="1:15" x14ac:dyDescent="0.3">
      <c r="A2423" t="s">
        <v>2491</v>
      </c>
      <c r="B2423" s="2">
        <v>47713</v>
      </c>
      <c r="C2423" t="s">
        <v>58</v>
      </c>
      <c r="D2423" t="str">
        <f t="shared" si="37"/>
        <v>August</v>
      </c>
      <c r="E2423" t="s">
        <v>100</v>
      </c>
      <c r="F2423" t="s">
        <v>17</v>
      </c>
      <c r="G2423" t="s">
        <v>67</v>
      </c>
      <c r="H2423" t="s">
        <v>45</v>
      </c>
      <c r="I2423" t="s">
        <v>42</v>
      </c>
      <c r="J2423" t="s">
        <v>43</v>
      </c>
      <c r="K2423">
        <v>4</v>
      </c>
      <c r="L2423">
        <v>66243.520000000004</v>
      </c>
      <c r="M2423">
        <v>5</v>
      </c>
      <c r="N2423">
        <v>251725.37</v>
      </c>
      <c r="O2423" t="s">
        <v>47</v>
      </c>
    </row>
    <row r="2424" spans="1:15" x14ac:dyDescent="0.3">
      <c r="A2424" t="s">
        <v>2492</v>
      </c>
      <c r="B2424" s="2">
        <v>47714</v>
      </c>
      <c r="C2424" t="s">
        <v>38</v>
      </c>
      <c r="D2424" t="str">
        <f t="shared" si="37"/>
        <v>August</v>
      </c>
      <c r="E2424" t="s">
        <v>32</v>
      </c>
      <c r="F2424" t="s">
        <v>17</v>
      </c>
      <c r="G2424" t="s">
        <v>67</v>
      </c>
      <c r="H2424" t="s">
        <v>27</v>
      </c>
      <c r="I2424" t="s">
        <v>34</v>
      </c>
      <c r="J2424" t="s">
        <v>21</v>
      </c>
      <c r="K2424">
        <v>2</v>
      </c>
      <c r="L2424">
        <v>54637.38</v>
      </c>
      <c r="M2424">
        <v>5</v>
      </c>
      <c r="N2424">
        <v>103811.02</v>
      </c>
      <c r="O2424" t="s">
        <v>22</v>
      </c>
    </row>
    <row r="2425" spans="1:15" x14ac:dyDescent="0.3">
      <c r="A2425" t="s">
        <v>2493</v>
      </c>
      <c r="B2425" s="2">
        <v>47715</v>
      </c>
      <c r="C2425" t="s">
        <v>31</v>
      </c>
      <c r="D2425" t="str">
        <f t="shared" si="37"/>
        <v>August</v>
      </c>
      <c r="E2425" t="s">
        <v>16</v>
      </c>
      <c r="F2425" t="s">
        <v>53</v>
      </c>
      <c r="G2425" t="s">
        <v>65</v>
      </c>
      <c r="H2425" t="s">
        <v>19</v>
      </c>
      <c r="I2425" t="s">
        <v>34</v>
      </c>
      <c r="J2425" t="s">
        <v>35</v>
      </c>
      <c r="K2425">
        <v>3</v>
      </c>
      <c r="L2425">
        <v>33412.21</v>
      </c>
      <c r="M2425">
        <v>10</v>
      </c>
      <c r="N2425">
        <v>90212.96</v>
      </c>
      <c r="O2425" t="s">
        <v>47</v>
      </c>
    </row>
    <row r="2426" spans="1:15" x14ac:dyDescent="0.3">
      <c r="A2426" t="s">
        <v>2494</v>
      </c>
      <c r="B2426" s="2">
        <v>47716</v>
      </c>
      <c r="C2426" t="s">
        <v>49</v>
      </c>
      <c r="D2426" t="str">
        <f t="shared" si="37"/>
        <v>August</v>
      </c>
      <c r="E2426" t="s">
        <v>100</v>
      </c>
      <c r="F2426" t="s">
        <v>60</v>
      </c>
      <c r="G2426" t="s">
        <v>70</v>
      </c>
      <c r="H2426" t="s">
        <v>27</v>
      </c>
      <c r="I2426" t="s">
        <v>42</v>
      </c>
      <c r="J2426" t="s">
        <v>21</v>
      </c>
      <c r="K2426">
        <v>1</v>
      </c>
      <c r="L2426">
        <v>51380.36</v>
      </c>
      <c r="M2426">
        <v>0</v>
      </c>
      <c r="N2426">
        <v>51380.36</v>
      </c>
      <c r="O2426" t="s">
        <v>47</v>
      </c>
    </row>
    <row r="2427" spans="1:15" x14ac:dyDescent="0.3">
      <c r="A2427" t="s">
        <v>2495</v>
      </c>
      <c r="B2427" s="2">
        <v>47717</v>
      </c>
      <c r="C2427" t="s">
        <v>49</v>
      </c>
      <c r="D2427" t="str">
        <f t="shared" si="37"/>
        <v>August</v>
      </c>
      <c r="E2427" t="s">
        <v>77</v>
      </c>
      <c r="F2427" t="s">
        <v>17</v>
      </c>
      <c r="G2427" t="s">
        <v>18</v>
      </c>
      <c r="H2427" t="s">
        <v>45</v>
      </c>
      <c r="I2427" t="s">
        <v>34</v>
      </c>
      <c r="J2427" t="s">
        <v>46</v>
      </c>
      <c r="K2427">
        <v>3</v>
      </c>
      <c r="L2427">
        <v>48754.38</v>
      </c>
      <c r="M2427">
        <v>0</v>
      </c>
      <c r="N2427">
        <v>146263.13</v>
      </c>
      <c r="O2427" t="s">
        <v>29</v>
      </c>
    </row>
    <row r="2428" spans="1:15" x14ac:dyDescent="0.3">
      <c r="A2428" t="s">
        <v>2496</v>
      </c>
      <c r="B2428" s="2">
        <v>47718</v>
      </c>
      <c r="C2428" t="s">
        <v>49</v>
      </c>
      <c r="D2428" t="str">
        <f t="shared" si="37"/>
        <v>August</v>
      </c>
      <c r="E2428" t="s">
        <v>50</v>
      </c>
      <c r="F2428" t="s">
        <v>25</v>
      </c>
      <c r="G2428" t="s">
        <v>26</v>
      </c>
      <c r="H2428" t="s">
        <v>27</v>
      </c>
      <c r="I2428" t="s">
        <v>42</v>
      </c>
      <c r="J2428" t="s">
        <v>46</v>
      </c>
      <c r="K2428">
        <v>2</v>
      </c>
      <c r="L2428">
        <v>2944.78</v>
      </c>
      <c r="M2428">
        <v>10</v>
      </c>
      <c r="N2428">
        <v>5300.61</v>
      </c>
      <c r="O2428" t="s">
        <v>47</v>
      </c>
    </row>
    <row r="2429" spans="1:15" x14ac:dyDescent="0.3">
      <c r="A2429" t="s">
        <v>2497</v>
      </c>
      <c r="B2429" s="2">
        <v>47719</v>
      </c>
      <c r="C2429" t="s">
        <v>49</v>
      </c>
      <c r="D2429" t="str">
        <f t="shared" si="37"/>
        <v>August</v>
      </c>
      <c r="E2429" t="s">
        <v>77</v>
      </c>
      <c r="F2429" t="s">
        <v>40</v>
      </c>
      <c r="G2429" t="s">
        <v>115</v>
      </c>
      <c r="H2429" t="s">
        <v>27</v>
      </c>
      <c r="I2429" t="s">
        <v>42</v>
      </c>
      <c r="J2429" t="s">
        <v>21</v>
      </c>
      <c r="K2429">
        <v>1</v>
      </c>
      <c r="L2429">
        <v>6467.59</v>
      </c>
      <c r="M2429">
        <v>0</v>
      </c>
      <c r="N2429">
        <v>6467.59</v>
      </c>
      <c r="O2429" t="s">
        <v>36</v>
      </c>
    </row>
    <row r="2430" spans="1:15" x14ac:dyDescent="0.3">
      <c r="A2430" t="s">
        <v>2498</v>
      </c>
      <c r="B2430" s="2">
        <v>47720</v>
      </c>
      <c r="C2430" t="s">
        <v>58</v>
      </c>
      <c r="D2430" t="str">
        <f t="shared" si="37"/>
        <v>August</v>
      </c>
      <c r="E2430" t="s">
        <v>100</v>
      </c>
      <c r="F2430" t="s">
        <v>40</v>
      </c>
      <c r="G2430" t="s">
        <v>118</v>
      </c>
      <c r="H2430" t="s">
        <v>45</v>
      </c>
      <c r="I2430" t="s">
        <v>20</v>
      </c>
      <c r="J2430" t="s">
        <v>46</v>
      </c>
      <c r="K2430">
        <v>1</v>
      </c>
      <c r="L2430">
        <v>6405.94</v>
      </c>
      <c r="M2430">
        <v>5</v>
      </c>
      <c r="N2430">
        <v>6085.64</v>
      </c>
      <c r="O2430" t="s">
        <v>47</v>
      </c>
    </row>
    <row r="2431" spans="1:15" x14ac:dyDescent="0.3">
      <c r="A2431" t="s">
        <v>2499</v>
      </c>
      <c r="B2431" s="2">
        <v>47721</v>
      </c>
      <c r="C2431" t="s">
        <v>38</v>
      </c>
      <c r="D2431" t="str">
        <f t="shared" si="37"/>
        <v>August</v>
      </c>
      <c r="E2431" t="s">
        <v>72</v>
      </c>
      <c r="F2431" t="s">
        <v>60</v>
      </c>
      <c r="G2431" t="s">
        <v>70</v>
      </c>
      <c r="H2431" t="s">
        <v>45</v>
      </c>
      <c r="I2431" t="s">
        <v>34</v>
      </c>
      <c r="J2431" t="s">
        <v>46</v>
      </c>
      <c r="K2431">
        <v>1</v>
      </c>
      <c r="L2431">
        <v>34660.68</v>
      </c>
      <c r="M2431">
        <v>0</v>
      </c>
      <c r="N2431">
        <v>34660.68</v>
      </c>
      <c r="O2431" t="s">
        <v>29</v>
      </c>
    </row>
    <row r="2432" spans="1:15" x14ac:dyDescent="0.3">
      <c r="A2432" t="s">
        <v>2500</v>
      </c>
      <c r="B2432" s="2">
        <v>47722</v>
      </c>
      <c r="C2432" t="s">
        <v>15</v>
      </c>
      <c r="D2432" t="str">
        <f t="shared" si="37"/>
        <v>August</v>
      </c>
      <c r="E2432" t="s">
        <v>50</v>
      </c>
      <c r="F2432" t="s">
        <v>17</v>
      </c>
      <c r="G2432" t="s">
        <v>63</v>
      </c>
      <c r="H2432" t="s">
        <v>19</v>
      </c>
      <c r="I2432" t="s">
        <v>20</v>
      </c>
      <c r="J2432" t="s">
        <v>46</v>
      </c>
      <c r="K2432">
        <v>5</v>
      </c>
      <c r="L2432">
        <v>55727.46</v>
      </c>
      <c r="M2432">
        <v>0</v>
      </c>
      <c r="N2432">
        <v>278637.28000000003</v>
      </c>
      <c r="O2432" t="s">
        <v>47</v>
      </c>
    </row>
    <row r="2433" spans="1:15" x14ac:dyDescent="0.3">
      <c r="A2433" t="s">
        <v>2501</v>
      </c>
      <c r="B2433" s="2">
        <v>47723</v>
      </c>
      <c r="C2433" t="s">
        <v>15</v>
      </c>
      <c r="D2433" t="str">
        <f t="shared" si="37"/>
        <v>August</v>
      </c>
      <c r="E2433" t="s">
        <v>16</v>
      </c>
      <c r="F2433" t="s">
        <v>60</v>
      </c>
      <c r="G2433" t="s">
        <v>70</v>
      </c>
      <c r="H2433" t="s">
        <v>19</v>
      </c>
      <c r="I2433" t="s">
        <v>34</v>
      </c>
      <c r="J2433" t="s">
        <v>21</v>
      </c>
      <c r="K2433">
        <v>1</v>
      </c>
      <c r="L2433">
        <v>44101.279999999999</v>
      </c>
      <c r="M2433">
        <v>10</v>
      </c>
      <c r="N2433">
        <v>39691.15</v>
      </c>
      <c r="O2433" t="s">
        <v>47</v>
      </c>
    </row>
    <row r="2434" spans="1:15" x14ac:dyDescent="0.3">
      <c r="A2434" t="s">
        <v>2502</v>
      </c>
      <c r="B2434" s="2">
        <v>47724</v>
      </c>
      <c r="C2434" t="s">
        <v>31</v>
      </c>
      <c r="D2434" t="str">
        <f t="shared" si="37"/>
        <v>August</v>
      </c>
      <c r="E2434" t="s">
        <v>52</v>
      </c>
      <c r="F2434" t="s">
        <v>60</v>
      </c>
      <c r="G2434" t="s">
        <v>61</v>
      </c>
      <c r="H2434" t="s">
        <v>19</v>
      </c>
      <c r="I2434" t="s">
        <v>20</v>
      </c>
      <c r="J2434" t="s">
        <v>46</v>
      </c>
      <c r="K2434">
        <v>5</v>
      </c>
      <c r="L2434">
        <v>32511.31</v>
      </c>
      <c r="M2434">
        <v>0</v>
      </c>
      <c r="N2434">
        <v>162556.54</v>
      </c>
      <c r="O2434" t="s">
        <v>29</v>
      </c>
    </row>
    <row r="2435" spans="1:15" x14ac:dyDescent="0.3">
      <c r="A2435" t="s">
        <v>2503</v>
      </c>
      <c r="B2435" s="2">
        <v>47725</v>
      </c>
      <c r="C2435" t="s">
        <v>58</v>
      </c>
      <c r="D2435" t="str">
        <f t="shared" ref="D2435:D2498" si="38">TEXT(B2435,"mmmm")</f>
        <v>August</v>
      </c>
      <c r="E2435" t="s">
        <v>100</v>
      </c>
      <c r="F2435" t="s">
        <v>53</v>
      </c>
      <c r="G2435" t="s">
        <v>105</v>
      </c>
      <c r="H2435" t="s">
        <v>45</v>
      </c>
      <c r="I2435" t="s">
        <v>20</v>
      </c>
      <c r="J2435" t="s">
        <v>43</v>
      </c>
      <c r="K2435">
        <v>1</v>
      </c>
      <c r="L2435">
        <v>37062.35</v>
      </c>
      <c r="M2435">
        <v>0</v>
      </c>
      <c r="N2435">
        <v>37062.35</v>
      </c>
      <c r="O2435" t="s">
        <v>47</v>
      </c>
    </row>
    <row r="2436" spans="1:15" x14ac:dyDescent="0.3">
      <c r="A2436" t="s">
        <v>2504</v>
      </c>
      <c r="B2436" s="2">
        <v>47726</v>
      </c>
      <c r="C2436" t="s">
        <v>31</v>
      </c>
      <c r="D2436" t="str">
        <f t="shared" si="38"/>
        <v>August</v>
      </c>
      <c r="E2436" t="s">
        <v>52</v>
      </c>
      <c r="F2436" t="s">
        <v>25</v>
      </c>
      <c r="G2436" t="s">
        <v>81</v>
      </c>
      <c r="H2436" t="s">
        <v>45</v>
      </c>
      <c r="I2436" t="s">
        <v>42</v>
      </c>
      <c r="J2436" t="s">
        <v>35</v>
      </c>
      <c r="K2436">
        <v>2</v>
      </c>
      <c r="L2436">
        <v>2816.61</v>
      </c>
      <c r="M2436">
        <v>20</v>
      </c>
      <c r="N2436">
        <v>4506.58</v>
      </c>
      <c r="O2436" t="s">
        <v>36</v>
      </c>
    </row>
    <row r="2437" spans="1:15" x14ac:dyDescent="0.3">
      <c r="A2437" t="s">
        <v>2505</v>
      </c>
      <c r="B2437" s="2">
        <v>47727</v>
      </c>
      <c r="C2437" t="s">
        <v>38</v>
      </c>
      <c r="D2437" t="str">
        <f t="shared" si="38"/>
        <v>September</v>
      </c>
      <c r="E2437" t="s">
        <v>32</v>
      </c>
      <c r="F2437" t="s">
        <v>53</v>
      </c>
      <c r="G2437" t="s">
        <v>129</v>
      </c>
      <c r="H2437" t="s">
        <v>45</v>
      </c>
      <c r="I2437" t="s">
        <v>20</v>
      </c>
      <c r="J2437" t="s">
        <v>43</v>
      </c>
      <c r="K2437">
        <v>5</v>
      </c>
      <c r="L2437">
        <v>36877.599999999999</v>
      </c>
      <c r="M2437">
        <v>5</v>
      </c>
      <c r="N2437">
        <v>175168.58</v>
      </c>
      <c r="O2437" t="s">
        <v>36</v>
      </c>
    </row>
    <row r="2438" spans="1:15" x14ac:dyDescent="0.3">
      <c r="A2438" t="s">
        <v>2506</v>
      </c>
      <c r="B2438" s="2">
        <v>47728</v>
      </c>
      <c r="C2438" t="s">
        <v>31</v>
      </c>
      <c r="D2438" t="str">
        <f t="shared" si="38"/>
        <v>September</v>
      </c>
      <c r="E2438" t="s">
        <v>50</v>
      </c>
      <c r="F2438" t="s">
        <v>40</v>
      </c>
      <c r="G2438" t="s">
        <v>75</v>
      </c>
      <c r="H2438" t="s">
        <v>19</v>
      </c>
      <c r="I2438" t="s">
        <v>34</v>
      </c>
      <c r="J2438" t="s">
        <v>21</v>
      </c>
      <c r="K2438">
        <v>4</v>
      </c>
      <c r="L2438">
        <v>5361.78</v>
      </c>
      <c r="M2438">
        <v>0</v>
      </c>
      <c r="N2438">
        <v>21447.11</v>
      </c>
      <c r="O2438" t="s">
        <v>47</v>
      </c>
    </row>
    <row r="2439" spans="1:15" x14ac:dyDescent="0.3">
      <c r="A2439" t="s">
        <v>2507</v>
      </c>
      <c r="B2439" s="2">
        <v>47729</v>
      </c>
      <c r="C2439" t="s">
        <v>38</v>
      </c>
      <c r="D2439" t="str">
        <f t="shared" si="38"/>
        <v>September</v>
      </c>
      <c r="E2439" t="s">
        <v>52</v>
      </c>
      <c r="F2439" t="s">
        <v>17</v>
      </c>
      <c r="G2439" t="s">
        <v>63</v>
      </c>
      <c r="H2439" t="s">
        <v>27</v>
      </c>
      <c r="I2439" t="s">
        <v>20</v>
      </c>
      <c r="J2439" t="s">
        <v>21</v>
      </c>
      <c r="K2439">
        <v>2</v>
      </c>
      <c r="L2439">
        <v>55900.69</v>
      </c>
      <c r="M2439">
        <v>5</v>
      </c>
      <c r="N2439">
        <v>106211.31</v>
      </c>
      <c r="O2439" t="s">
        <v>47</v>
      </c>
    </row>
    <row r="2440" spans="1:15" x14ac:dyDescent="0.3">
      <c r="A2440" t="s">
        <v>2508</v>
      </c>
      <c r="B2440" s="2">
        <v>47730</v>
      </c>
      <c r="C2440" t="s">
        <v>49</v>
      </c>
      <c r="D2440" t="str">
        <f t="shared" si="38"/>
        <v>September</v>
      </c>
      <c r="E2440" t="s">
        <v>72</v>
      </c>
      <c r="F2440" t="s">
        <v>40</v>
      </c>
      <c r="G2440" t="s">
        <v>41</v>
      </c>
      <c r="H2440" t="s">
        <v>27</v>
      </c>
      <c r="I2440" t="s">
        <v>20</v>
      </c>
      <c r="J2440" t="s">
        <v>28</v>
      </c>
      <c r="K2440">
        <v>4</v>
      </c>
      <c r="L2440">
        <v>4912.47</v>
      </c>
      <c r="M2440">
        <v>0</v>
      </c>
      <c r="N2440">
        <v>19649.900000000001</v>
      </c>
      <c r="O2440" t="s">
        <v>36</v>
      </c>
    </row>
    <row r="2441" spans="1:15" x14ac:dyDescent="0.3">
      <c r="A2441" t="s">
        <v>2509</v>
      </c>
      <c r="B2441" s="2">
        <v>47731</v>
      </c>
      <c r="C2441" t="s">
        <v>58</v>
      </c>
      <c r="D2441" t="str">
        <f t="shared" si="38"/>
        <v>September</v>
      </c>
      <c r="E2441" t="s">
        <v>50</v>
      </c>
      <c r="F2441" t="s">
        <v>53</v>
      </c>
      <c r="G2441" t="s">
        <v>129</v>
      </c>
      <c r="H2441" t="s">
        <v>33</v>
      </c>
      <c r="I2441" t="s">
        <v>42</v>
      </c>
      <c r="J2441" t="s">
        <v>21</v>
      </c>
      <c r="K2441">
        <v>1</v>
      </c>
      <c r="L2441">
        <v>28705.54</v>
      </c>
      <c r="M2441">
        <v>5</v>
      </c>
      <c r="N2441">
        <v>27270.27</v>
      </c>
      <c r="O2441" t="s">
        <v>22</v>
      </c>
    </row>
    <row r="2442" spans="1:15" x14ac:dyDescent="0.3">
      <c r="A2442" t="s">
        <v>2510</v>
      </c>
      <c r="B2442" s="2">
        <v>47732</v>
      </c>
      <c r="C2442" t="s">
        <v>15</v>
      </c>
      <c r="D2442" t="str">
        <f t="shared" si="38"/>
        <v>September</v>
      </c>
      <c r="E2442" t="s">
        <v>16</v>
      </c>
      <c r="F2442" t="s">
        <v>25</v>
      </c>
      <c r="G2442" t="s">
        <v>56</v>
      </c>
      <c r="H2442" t="s">
        <v>45</v>
      </c>
      <c r="I2442" t="s">
        <v>34</v>
      </c>
      <c r="J2442" t="s">
        <v>43</v>
      </c>
      <c r="K2442">
        <v>3</v>
      </c>
      <c r="L2442">
        <v>2797.13</v>
      </c>
      <c r="M2442">
        <v>0</v>
      </c>
      <c r="N2442">
        <v>8391.3799999999992</v>
      </c>
      <c r="O2442" t="s">
        <v>22</v>
      </c>
    </row>
    <row r="2443" spans="1:15" x14ac:dyDescent="0.3">
      <c r="A2443" t="s">
        <v>2511</v>
      </c>
      <c r="B2443" s="2">
        <v>47733</v>
      </c>
      <c r="C2443" t="s">
        <v>38</v>
      </c>
      <c r="D2443" t="str">
        <f t="shared" si="38"/>
        <v>September</v>
      </c>
      <c r="E2443" t="s">
        <v>69</v>
      </c>
      <c r="F2443" t="s">
        <v>60</v>
      </c>
      <c r="G2443" t="s">
        <v>70</v>
      </c>
      <c r="H2443" t="s">
        <v>33</v>
      </c>
      <c r="I2443" t="s">
        <v>42</v>
      </c>
      <c r="J2443" t="s">
        <v>43</v>
      </c>
      <c r="K2443">
        <v>5</v>
      </c>
      <c r="L2443">
        <v>46159.01</v>
      </c>
      <c r="M2443">
        <v>10</v>
      </c>
      <c r="N2443">
        <v>207715.53</v>
      </c>
      <c r="O2443" t="s">
        <v>36</v>
      </c>
    </row>
    <row r="2444" spans="1:15" x14ac:dyDescent="0.3">
      <c r="A2444" t="s">
        <v>2512</v>
      </c>
      <c r="B2444" s="2">
        <v>47734</v>
      </c>
      <c r="C2444" t="s">
        <v>31</v>
      </c>
      <c r="D2444" t="str">
        <f t="shared" si="38"/>
        <v>September</v>
      </c>
      <c r="E2444" t="s">
        <v>100</v>
      </c>
      <c r="F2444" t="s">
        <v>53</v>
      </c>
      <c r="G2444" t="s">
        <v>129</v>
      </c>
      <c r="H2444" t="s">
        <v>45</v>
      </c>
      <c r="I2444" t="s">
        <v>20</v>
      </c>
      <c r="J2444" t="s">
        <v>21</v>
      </c>
      <c r="K2444">
        <v>1</v>
      </c>
      <c r="L2444">
        <v>39927.39</v>
      </c>
      <c r="M2444">
        <v>5</v>
      </c>
      <c r="N2444">
        <v>37931.03</v>
      </c>
      <c r="O2444" t="s">
        <v>36</v>
      </c>
    </row>
    <row r="2445" spans="1:15" x14ac:dyDescent="0.3">
      <c r="A2445" t="s">
        <v>2513</v>
      </c>
      <c r="B2445" s="2">
        <v>47735</v>
      </c>
      <c r="C2445" t="s">
        <v>15</v>
      </c>
      <c r="D2445" t="str">
        <f t="shared" si="38"/>
        <v>September</v>
      </c>
      <c r="E2445" t="s">
        <v>24</v>
      </c>
      <c r="F2445" t="s">
        <v>25</v>
      </c>
      <c r="G2445" t="s">
        <v>56</v>
      </c>
      <c r="H2445" t="s">
        <v>19</v>
      </c>
      <c r="I2445" t="s">
        <v>42</v>
      </c>
      <c r="J2445" t="s">
        <v>28</v>
      </c>
      <c r="K2445">
        <v>4</v>
      </c>
      <c r="L2445">
        <v>2430.5700000000002</v>
      </c>
      <c r="M2445">
        <v>10</v>
      </c>
      <c r="N2445">
        <v>8750.0400000000009</v>
      </c>
      <c r="O2445" t="s">
        <v>29</v>
      </c>
    </row>
    <row r="2446" spans="1:15" x14ac:dyDescent="0.3">
      <c r="A2446" t="s">
        <v>2514</v>
      </c>
      <c r="B2446" s="2">
        <v>47736</v>
      </c>
      <c r="C2446" t="s">
        <v>31</v>
      </c>
      <c r="D2446" t="str">
        <f t="shared" si="38"/>
        <v>September</v>
      </c>
      <c r="E2446" t="s">
        <v>32</v>
      </c>
      <c r="F2446" t="s">
        <v>60</v>
      </c>
      <c r="G2446" t="s">
        <v>78</v>
      </c>
      <c r="H2446" t="s">
        <v>27</v>
      </c>
      <c r="I2446" t="s">
        <v>34</v>
      </c>
      <c r="J2446" t="s">
        <v>46</v>
      </c>
      <c r="K2446">
        <v>2</v>
      </c>
      <c r="L2446">
        <v>33530.839999999997</v>
      </c>
      <c r="M2446">
        <v>15</v>
      </c>
      <c r="N2446">
        <v>57002.43</v>
      </c>
      <c r="O2446" t="s">
        <v>29</v>
      </c>
    </row>
    <row r="2447" spans="1:15" x14ac:dyDescent="0.3">
      <c r="A2447" t="s">
        <v>2515</v>
      </c>
      <c r="B2447" s="2">
        <v>47737</v>
      </c>
      <c r="C2447" t="s">
        <v>31</v>
      </c>
      <c r="D2447" t="str">
        <f t="shared" si="38"/>
        <v>September</v>
      </c>
      <c r="E2447" t="s">
        <v>24</v>
      </c>
      <c r="F2447" t="s">
        <v>60</v>
      </c>
      <c r="G2447" t="s">
        <v>70</v>
      </c>
      <c r="H2447" t="s">
        <v>45</v>
      </c>
      <c r="I2447" t="s">
        <v>42</v>
      </c>
      <c r="J2447" t="s">
        <v>28</v>
      </c>
      <c r="K2447">
        <v>1</v>
      </c>
      <c r="L2447">
        <v>33711.01</v>
      </c>
      <c r="M2447">
        <v>0</v>
      </c>
      <c r="N2447">
        <v>33711.01</v>
      </c>
      <c r="O2447" t="s">
        <v>29</v>
      </c>
    </row>
    <row r="2448" spans="1:15" x14ac:dyDescent="0.3">
      <c r="A2448" t="s">
        <v>2516</v>
      </c>
      <c r="B2448" s="2">
        <v>47738</v>
      </c>
      <c r="C2448" t="s">
        <v>31</v>
      </c>
      <c r="D2448" t="str">
        <f t="shared" si="38"/>
        <v>September</v>
      </c>
      <c r="E2448" t="s">
        <v>72</v>
      </c>
      <c r="F2448" t="s">
        <v>60</v>
      </c>
      <c r="G2448" t="s">
        <v>61</v>
      </c>
      <c r="H2448" t="s">
        <v>19</v>
      </c>
      <c r="I2448" t="s">
        <v>34</v>
      </c>
      <c r="J2448" t="s">
        <v>43</v>
      </c>
      <c r="K2448">
        <v>4</v>
      </c>
      <c r="L2448">
        <v>43976.3</v>
      </c>
      <c r="M2448">
        <v>5</v>
      </c>
      <c r="N2448">
        <v>167109.95000000001</v>
      </c>
      <c r="O2448" t="s">
        <v>47</v>
      </c>
    </row>
    <row r="2449" spans="1:15" x14ac:dyDescent="0.3">
      <c r="A2449" t="s">
        <v>2517</v>
      </c>
      <c r="B2449" s="2">
        <v>47739</v>
      </c>
      <c r="C2449" t="s">
        <v>58</v>
      </c>
      <c r="D2449" t="str">
        <f t="shared" si="38"/>
        <v>September</v>
      </c>
      <c r="E2449" t="s">
        <v>72</v>
      </c>
      <c r="F2449" t="s">
        <v>53</v>
      </c>
      <c r="G2449" t="s">
        <v>65</v>
      </c>
      <c r="H2449" t="s">
        <v>19</v>
      </c>
      <c r="I2449" t="s">
        <v>34</v>
      </c>
      <c r="J2449" t="s">
        <v>46</v>
      </c>
      <c r="K2449">
        <v>1</v>
      </c>
      <c r="L2449">
        <v>35683.360000000001</v>
      </c>
      <c r="M2449">
        <v>15</v>
      </c>
      <c r="N2449">
        <v>30330.86</v>
      </c>
      <c r="O2449" t="s">
        <v>22</v>
      </c>
    </row>
    <row r="2450" spans="1:15" x14ac:dyDescent="0.3">
      <c r="A2450" t="s">
        <v>2518</v>
      </c>
      <c r="B2450" s="2">
        <v>47740</v>
      </c>
      <c r="C2450" t="s">
        <v>31</v>
      </c>
      <c r="D2450" t="str">
        <f t="shared" si="38"/>
        <v>September</v>
      </c>
      <c r="E2450" t="s">
        <v>72</v>
      </c>
      <c r="F2450" t="s">
        <v>17</v>
      </c>
      <c r="G2450" t="s">
        <v>18</v>
      </c>
      <c r="H2450" t="s">
        <v>33</v>
      </c>
      <c r="I2450" t="s">
        <v>42</v>
      </c>
      <c r="J2450" t="s">
        <v>28</v>
      </c>
      <c r="K2450">
        <v>3</v>
      </c>
      <c r="L2450">
        <v>53213.11</v>
      </c>
      <c r="M2450">
        <v>0</v>
      </c>
      <c r="N2450">
        <v>159639.34</v>
      </c>
      <c r="O2450" t="s">
        <v>36</v>
      </c>
    </row>
    <row r="2451" spans="1:15" x14ac:dyDescent="0.3">
      <c r="A2451" t="s">
        <v>2519</v>
      </c>
      <c r="B2451" s="2">
        <v>47741</v>
      </c>
      <c r="C2451" t="s">
        <v>31</v>
      </c>
      <c r="D2451" t="str">
        <f t="shared" si="38"/>
        <v>September</v>
      </c>
      <c r="E2451" t="s">
        <v>24</v>
      </c>
      <c r="F2451" t="s">
        <v>40</v>
      </c>
      <c r="G2451" t="s">
        <v>115</v>
      </c>
      <c r="H2451" t="s">
        <v>27</v>
      </c>
      <c r="I2451" t="s">
        <v>42</v>
      </c>
      <c r="J2451" t="s">
        <v>46</v>
      </c>
      <c r="K2451">
        <v>1</v>
      </c>
      <c r="L2451">
        <v>4893.47</v>
      </c>
      <c r="M2451">
        <v>20</v>
      </c>
      <c r="N2451">
        <v>3914.78</v>
      </c>
      <c r="O2451" t="s">
        <v>36</v>
      </c>
    </row>
    <row r="2452" spans="1:15" x14ac:dyDescent="0.3">
      <c r="A2452" t="s">
        <v>2520</v>
      </c>
      <c r="B2452" s="2">
        <v>47742</v>
      </c>
      <c r="C2452" t="s">
        <v>15</v>
      </c>
      <c r="D2452" t="str">
        <f t="shared" si="38"/>
        <v>September</v>
      </c>
      <c r="E2452" t="s">
        <v>100</v>
      </c>
      <c r="F2452" t="s">
        <v>17</v>
      </c>
      <c r="G2452" t="s">
        <v>123</v>
      </c>
      <c r="H2452" t="s">
        <v>45</v>
      </c>
      <c r="I2452" t="s">
        <v>20</v>
      </c>
      <c r="J2452" t="s">
        <v>35</v>
      </c>
      <c r="K2452">
        <v>4</v>
      </c>
      <c r="L2452">
        <v>51239.25</v>
      </c>
      <c r="M2452">
        <v>20</v>
      </c>
      <c r="N2452">
        <v>163965.6</v>
      </c>
      <c r="O2452" t="s">
        <v>47</v>
      </c>
    </row>
    <row r="2453" spans="1:15" x14ac:dyDescent="0.3">
      <c r="A2453" t="s">
        <v>2521</v>
      </c>
      <c r="B2453" s="2">
        <v>47743</v>
      </c>
      <c r="C2453" t="s">
        <v>38</v>
      </c>
      <c r="D2453" t="str">
        <f t="shared" si="38"/>
        <v>September</v>
      </c>
      <c r="E2453" t="s">
        <v>39</v>
      </c>
      <c r="F2453" t="s">
        <v>53</v>
      </c>
      <c r="G2453" t="s">
        <v>65</v>
      </c>
      <c r="H2453" t="s">
        <v>45</v>
      </c>
      <c r="I2453" t="s">
        <v>20</v>
      </c>
      <c r="J2453" t="s">
        <v>35</v>
      </c>
      <c r="K2453">
        <v>4</v>
      </c>
      <c r="L2453">
        <v>33588.199999999997</v>
      </c>
      <c r="M2453">
        <v>5</v>
      </c>
      <c r="N2453">
        <v>127635.16</v>
      </c>
      <c r="O2453" t="s">
        <v>47</v>
      </c>
    </row>
    <row r="2454" spans="1:15" x14ac:dyDescent="0.3">
      <c r="A2454" t="s">
        <v>2522</v>
      </c>
      <c r="B2454" s="2">
        <v>47744</v>
      </c>
      <c r="C2454" t="s">
        <v>58</v>
      </c>
      <c r="D2454" t="str">
        <f t="shared" si="38"/>
        <v>September</v>
      </c>
      <c r="E2454" t="s">
        <v>39</v>
      </c>
      <c r="F2454" t="s">
        <v>17</v>
      </c>
      <c r="G2454" t="s">
        <v>18</v>
      </c>
      <c r="H2454" t="s">
        <v>27</v>
      </c>
      <c r="I2454" t="s">
        <v>42</v>
      </c>
      <c r="J2454" t="s">
        <v>35</v>
      </c>
      <c r="K2454">
        <v>5</v>
      </c>
      <c r="L2454">
        <v>43676.14</v>
      </c>
      <c r="M2454">
        <v>0</v>
      </c>
      <c r="N2454">
        <v>218380.72</v>
      </c>
      <c r="O2454" t="s">
        <v>47</v>
      </c>
    </row>
    <row r="2455" spans="1:15" x14ac:dyDescent="0.3">
      <c r="A2455" t="s">
        <v>2523</v>
      </c>
      <c r="B2455" s="2">
        <v>47745</v>
      </c>
      <c r="C2455" t="s">
        <v>15</v>
      </c>
      <c r="D2455" t="str">
        <f t="shared" si="38"/>
        <v>September</v>
      </c>
      <c r="E2455" t="s">
        <v>24</v>
      </c>
      <c r="F2455" t="s">
        <v>60</v>
      </c>
      <c r="G2455" t="s">
        <v>61</v>
      </c>
      <c r="H2455" t="s">
        <v>45</v>
      </c>
      <c r="I2455" t="s">
        <v>20</v>
      </c>
      <c r="J2455" t="s">
        <v>43</v>
      </c>
      <c r="K2455">
        <v>2</v>
      </c>
      <c r="L2455">
        <v>50156.11</v>
      </c>
      <c r="M2455">
        <v>15</v>
      </c>
      <c r="N2455">
        <v>85265.38</v>
      </c>
      <c r="O2455" t="s">
        <v>47</v>
      </c>
    </row>
    <row r="2456" spans="1:15" x14ac:dyDescent="0.3">
      <c r="A2456" t="s">
        <v>2524</v>
      </c>
      <c r="B2456" s="2">
        <v>47746</v>
      </c>
      <c r="C2456" t="s">
        <v>49</v>
      </c>
      <c r="D2456" t="str">
        <f t="shared" si="38"/>
        <v>September</v>
      </c>
      <c r="E2456" t="s">
        <v>50</v>
      </c>
      <c r="F2456" t="s">
        <v>60</v>
      </c>
      <c r="G2456" t="s">
        <v>70</v>
      </c>
      <c r="H2456" t="s">
        <v>33</v>
      </c>
      <c r="I2456" t="s">
        <v>20</v>
      </c>
      <c r="J2456" t="s">
        <v>35</v>
      </c>
      <c r="K2456">
        <v>4</v>
      </c>
      <c r="L2456">
        <v>41548.239999999998</v>
      </c>
      <c r="M2456">
        <v>5</v>
      </c>
      <c r="N2456">
        <v>157883.32999999999</v>
      </c>
      <c r="O2456" t="s">
        <v>22</v>
      </c>
    </row>
    <row r="2457" spans="1:15" x14ac:dyDescent="0.3">
      <c r="A2457" t="s">
        <v>2525</v>
      </c>
      <c r="B2457" s="2">
        <v>47747</v>
      </c>
      <c r="C2457" t="s">
        <v>15</v>
      </c>
      <c r="D2457" t="str">
        <f t="shared" si="38"/>
        <v>September</v>
      </c>
      <c r="E2457" t="s">
        <v>52</v>
      </c>
      <c r="F2457" t="s">
        <v>53</v>
      </c>
      <c r="G2457" t="s">
        <v>65</v>
      </c>
      <c r="H2457" t="s">
        <v>19</v>
      </c>
      <c r="I2457" t="s">
        <v>20</v>
      </c>
      <c r="J2457" t="s">
        <v>21</v>
      </c>
      <c r="K2457">
        <v>1</v>
      </c>
      <c r="L2457">
        <v>27839.09</v>
      </c>
      <c r="M2457">
        <v>0</v>
      </c>
      <c r="N2457">
        <v>27839.09</v>
      </c>
      <c r="O2457" t="s">
        <v>29</v>
      </c>
    </row>
    <row r="2458" spans="1:15" x14ac:dyDescent="0.3">
      <c r="A2458" t="s">
        <v>2526</v>
      </c>
      <c r="B2458" s="2">
        <v>47748</v>
      </c>
      <c r="C2458" t="s">
        <v>49</v>
      </c>
      <c r="D2458" t="str">
        <f t="shared" si="38"/>
        <v>September</v>
      </c>
      <c r="E2458" t="s">
        <v>50</v>
      </c>
      <c r="F2458" t="s">
        <v>53</v>
      </c>
      <c r="G2458" t="s">
        <v>65</v>
      </c>
      <c r="H2458" t="s">
        <v>19</v>
      </c>
      <c r="I2458" t="s">
        <v>20</v>
      </c>
      <c r="J2458" t="s">
        <v>46</v>
      </c>
      <c r="K2458">
        <v>1</v>
      </c>
      <c r="L2458">
        <v>30569.18</v>
      </c>
      <c r="M2458">
        <v>0</v>
      </c>
      <c r="N2458">
        <v>30569.18</v>
      </c>
      <c r="O2458" t="s">
        <v>36</v>
      </c>
    </row>
    <row r="2459" spans="1:15" x14ac:dyDescent="0.3">
      <c r="A2459" t="s">
        <v>2527</v>
      </c>
      <c r="B2459" s="2">
        <v>47749</v>
      </c>
      <c r="C2459" t="s">
        <v>49</v>
      </c>
      <c r="D2459" t="str">
        <f t="shared" si="38"/>
        <v>September</v>
      </c>
      <c r="E2459" t="s">
        <v>69</v>
      </c>
      <c r="F2459" t="s">
        <v>40</v>
      </c>
      <c r="G2459" t="s">
        <v>75</v>
      </c>
      <c r="H2459" t="s">
        <v>27</v>
      </c>
      <c r="I2459" t="s">
        <v>34</v>
      </c>
      <c r="J2459" t="s">
        <v>28</v>
      </c>
      <c r="K2459">
        <v>2</v>
      </c>
      <c r="L2459">
        <v>8016.74</v>
      </c>
      <c r="M2459">
        <v>5</v>
      </c>
      <c r="N2459">
        <v>15231.8</v>
      </c>
      <c r="O2459" t="s">
        <v>47</v>
      </c>
    </row>
    <row r="2460" spans="1:15" x14ac:dyDescent="0.3">
      <c r="A2460" t="s">
        <v>2528</v>
      </c>
      <c r="B2460" s="2">
        <v>47750</v>
      </c>
      <c r="C2460" t="s">
        <v>38</v>
      </c>
      <c r="D2460" t="str">
        <f t="shared" si="38"/>
        <v>September</v>
      </c>
      <c r="E2460" t="s">
        <v>69</v>
      </c>
      <c r="F2460" t="s">
        <v>17</v>
      </c>
      <c r="G2460" t="s">
        <v>67</v>
      </c>
      <c r="H2460" t="s">
        <v>45</v>
      </c>
      <c r="I2460" t="s">
        <v>20</v>
      </c>
      <c r="J2460" t="s">
        <v>35</v>
      </c>
      <c r="K2460">
        <v>5</v>
      </c>
      <c r="L2460">
        <v>54961.72</v>
      </c>
      <c r="M2460">
        <v>5</v>
      </c>
      <c r="N2460">
        <v>261068.18</v>
      </c>
      <c r="O2460" t="s">
        <v>47</v>
      </c>
    </row>
    <row r="2461" spans="1:15" x14ac:dyDescent="0.3">
      <c r="A2461" t="s">
        <v>2529</v>
      </c>
      <c r="B2461" s="2">
        <v>47751</v>
      </c>
      <c r="C2461" t="s">
        <v>15</v>
      </c>
      <c r="D2461" t="str">
        <f t="shared" si="38"/>
        <v>September</v>
      </c>
      <c r="E2461" t="s">
        <v>24</v>
      </c>
      <c r="F2461" t="s">
        <v>40</v>
      </c>
      <c r="G2461" t="s">
        <v>41</v>
      </c>
      <c r="H2461" t="s">
        <v>45</v>
      </c>
      <c r="I2461" t="s">
        <v>34</v>
      </c>
      <c r="J2461" t="s">
        <v>35</v>
      </c>
      <c r="K2461">
        <v>5</v>
      </c>
      <c r="L2461">
        <v>5413.57</v>
      </c>
      <c r="M2461">
        <v>5</v>
      </c>
      <c r="N2461">
        <v>25714.48</v>
      </c>
      <c r="O2461" t="s">
        <v>47</v>
      </c>
    </row>
    <row r="2462" spans="1:15" x14ac:dyDescent="0.3">
      <c r="A2462" t="s">
        <v>2530</v>
      </c>
      <c r="B2462" s="2">
        <v>47752</v>
      </c>
      <c r="C2462" t="s">
        <v>38</v>
      </c>
      <c r="D2462" t="str">
        <f t="shared" si="38"/>
        <v>September</v>
      </c>
      <c r="E2462" t="s">
        <v>72</v>
      </c>
      <c r="F2462" t="s">
        <v>60</v>
      </c>
      <c r="G2462" t="s">
        <v>70</v>
      </c>
      <c r="H2462" t="s">
        <v>45</v>
      </c>
      <c r="I2462" t="s">
        <v>34</v>
      </c>
      <c r="J2462" t="s">
        <v>46</v>
      </c>
      <c r="K2462">
        <v>1</v>
      </c>
      <c r="L2462">
        <v>40849.129999999997</v>
      </c>
      <c r="M2462">
        <v>5</v>
      </c>
      <c r="N2462">
        <v>38806.67</v>
      </c>
      <c r="O2462" t="s">
        <v>47</v>
      </c>
    </row>
    <row r="2463" spans="1:15" x14ac:dyDescent="0.3">
      <c r="A2463" t="s">
        <v>2531</v>
      </c>
      <c r="B2463" s="2">
        <v>47753</v>
      </c>
      <c r="C2463" t="s">
        <v>49</v>
      </c>
      <c r="D2463" t="str">
        <f t="shared" si="38"/>
        <v>September</v>
      </c>
      <c r="E2463" t="s">
        <v>32</v>
      </c>
      <c r="F2463" t="s">
        <v>53</v>
      </c>
      <c r="G2463" t="s">
        <v>54</v>
      </c>
      <c r="H2463" t="s">
        <v>33</v>
      </c>
      <c r="I2463" t="s">
        <v>42</v>
      </c>
      <c r="J2463" t="s">
        <v>46</v>
      </c>
      <c r="K2463">
        <v>2</v>
      </c>
      <c r="L2463">
        <v>38172.519999999997</v>
      </c>
      <c r="M2463">
        <v>15</v>
      </c>
      <c r="N2463">
        <v>64893.279999999999</v>
      </c>
      <c r="O2463" t="s">
        <v>29</v>
      </c>
    </row>
    <row r="2464" spans="1:15" x14ac:dyDescent="0.3">
      <c r="A2464" t="s">
        <v>2532</v>
      </c>
      <c r="B2464" s="2">
        <v>47754</v>
      </c>
      <c r="C2464" t="s">
        <v>15</v>
      </c>
      <c r="D2464" t="str">
        <f t="shared" si="38"/>
        <v>September</v>
      </c>
      <c r="E2464" t="s">
        <v>24</v>
      </c>
      <c r="F2464" t="s">
        <v>25</v>
      </c>
      <c r="G2464" t="s">
        <v>56</v>
      </c>
      <c r="H2464" t="s">
        <v>19</v>
      </c>
      <c r="I2464" t="s">
        <v>34</v>
      </c>
      <c r="J2464" t="s">
        <v>35</v>
      </c>
      <c r="K2464">
        <v>1</v>
      </c>
      <c r="L2464">
        <v>2997.96</v>
      </c>
      <c r="M2464">
        <v>5</v>
      </c>
      <c r="N2464">
        <v>2848.06</v>
      </c>
      <c r="O2464" t="s">
        <v>47</v>
      </c>
    </row>
    <row r="2465" spans="1:15" x14ac:dyDescent="0.3">
      <c r="A2465" t="s">
        <v>2533</v>
      </c>
      <c r="B2465" s="2">
        <v>47755</v>
      </c>
      <c r="C2465" t="s">
        <v>49</v>
      </c>
      <c r="D2465" t="str">
        <f t="shared" si="38"/>
        <v>September</v>
      </c>
      <c r="E2465" t="s">
        <v>77</v>
      </c>
      <c r="F2465" t="s">
        <v>40</v>
      </c>
      <c r="G2465" t="s">
        <v>75</v>
      </c>
      <c r="H2465" t="s">
        <v>33</v>
      </c>
      <c r="I2465" t="s">
        <v>34</v>
      </c>
      <c r="J2465" t="s">
        <v>35</v>
      </c>
      <c r="K2465">
        <v>5</v>
      </c>
      <c r="L2465">
        <v>5896.09</v>
      </c>
      <c r="M2465">
        <v>5</v>
      </c>
      <c r="N2465">
        <v>28006.41</v>
      </c>
      <c r="O2465" t="s">
        <v>29</v>
      </c>
    </row>
    <row r="2466" spans="1:15" x14ac:dyDescent="0.3">
      <c r="A2466" t="s">
        <v>2534</v>
      </c>
      <c r="B2466" s="2">
        <v>47756</v>
      </c>
      <c r="C2466" t="s">
        <v>58</v>
      </c>
      <c r="D2466" t="str">
        <f t="shared" si="38"/>
        <v>September</v>
      </c>
      <c r="E2466" t="s">
        <v>39</v>
      </c>
      <c r="F2466" t="s">
        <v>17</v>
      </c>
      <c r="G2466" t="s">
        <v>18</v>
      </c>
      <c r="H2466" t="s">
        <v>27</v>
      </c>
      <c r="I2466" t="s">
        <v>34</v>
      </c>
      <c r="J2466" t="s">
        <v>35</v>
      </c>
      <c r="K2466">
        <v>3</v>
      </c>
      <c r="L2466">
        <v>45433.440000000002</v>
      </c>
      <c r="M2466">
        <v>15</v>
      </c>
      <c r="N2466">
        <v>115855.28</v>
      </c>
      <c r="O2466" t="s">
        <v>36</v>
      </c>
    </row>
    <row r="2467" spans="1:15" x14ac:dyDescent="0.3">
      <c r="A2467" t="s">
        <v>2535</v>
      </c>
      <c r="B2467" s="2">
        <v>47757</v>
      </c>
      <c r="C2467" t="s">
        <v>31</v>
      </c>
      <c r="D2467" t="str">
        <f t="shared" si="38"/>
        <v>October</v>
      </c>
      <c r="E2467" t="s">
        <v>16</v>
      </c>
      <c r="F2467" t="s">
        <v>17</v>
      </c>
      <c r="G2467" t="s">
        <v>67</v>
      </c>
      <c r="H2467" t="s">
        <v>33</v>
      </c>
      <c r="I2467" t="s">
        <v>42</v>
      </c>
      <c r="J2467" t="s">
        <v>46</v>
      </c>
      <c r="K2467">
        <v>2</v>
      </c>
      <c r="L2467">
        <v>46585.46</v>
      </c>
      <c r="M2467">
        <v>15</v>
      </c>
      <c r="N2467">
        <v>79195.289999999994</v>
      </c>
      <c r="O2467" t="s">
        <v>47</v>
      </c>
    </row>
    <row r="2468" spans="1:15" x14ac:dyDescent="0.3">
      <c r="A2468" t="s">
        <v>2536</v>
      </c>
      <c r="B2468" s="2">
        <v>47758</v>
      </c>
      <c r="C2468" t="s">
        <v>58</v>
      </c>
      <c r="D2468" t="str">
        <f t="shared" si="38"/>
        <v>October</v>
      </c>
      <c r="E2468" t="s">
        <v>77</v>
      </c>
      <c r="F2468" t="s">
        <v>40</v>
      </c>
      <c r="G2468" t="s">
        <v>115</v>
      </c>
      <c r="H2468" t="s">
        <v>27</v>
      </c>
      <c r="I2468" t="s">
        <v>34</v>
      </c>
      <c r="J2468" t="s">
        <v>28</v>
      </c>
      <c r="K2468">
        <v>3</v>
      </c>
      <c r="L2468">
        <v>6231.73</v>
      </c>
      <c r="M2468">
        <v>5</v>
      </c>
      <c r="N2468">
        <v>17760.43</v>
      </c>
      <c r="O2468" t="s">
        <v>36</v>
      </c>
    </row>
    <row r="2469" spans="1:15" x14ac:dyDescent="0.3">
      <c r="A2469" t="s">
        <v>2537</v>
      </c>
      <c r="B2469" s="2">
        <v>47759</v>
      </c>
      <c r="C2469" t="s">
        <v>38</v>
      </c>
      <c r="D2469" t="str">
        <f t="shared" si="38"/>
        <v>October</v>
      </c>
      <c r="E2469" t="s">
        <v>52</v>
      </c>
      <c r="F2469" t="s">
        <v>25</v>
      </c>
      <c r="G2469" t="s">
        <v>92</v>
      </c>
      <c r="H2469" t="s">
        <v>33</v>
      </c>
      <c r="I2469" t="s">
        <v>42</v>
      </c>
      <c r="J2469" t="s">
        <v>46</v>
      </c>
      <c r="K2469">
        <v>1</v>
      </c>
      <c r="L2469">
        <v>3071.31</v>
      </c>
      <c r="M2469">
        <v>5</v>
      </c>
      <c r="N2469">
        <v>2917.75</v>
      </c>
      <c r="O2469" t="s">
        <v>47</v>
      </c>
    </row>
    <row r="2470" spans="1:15" x14ac:dyDescent="0.3">
      <c r="A2470" t="s">
        <v>2538</v>
      </c>
      <c r="B2470" s="2">
        <v>47760</v>
      </c>
      <c r="C2470" t="s">
        <v>38</v>
      </c>
      <c r="D2470" t="str">
        <f t="shared" si="38"/>
        <v>October</v>
      </c>
      <c r="E2470" t="s">
        <v>32</v>
      </c>
      <c r="F2470" t="s">
        <v>25</v>
      </c>
      <c r="G2470" t="s">
        <v>26</v>
      </c>
      <c r="H2470" t="s">
        <v>45</v>
      </c>
      <c r="I2470" t="s">
        <v>34</v>
      </c>
      <c r="J2470" t="s">
        <v>21</v>
      </c>
      <c r="K2470">
        <v>3</v>
      </c>
      <c r="L2470">
        <v>2553.33</v>
      </c>
      <c r="M2470">
        <v>20</v>
      </c>
      <c r="N2470">
        <v>6128</v>
      </c>
      <c r="O2470" t="s">
        <v>47</v>
      </c>
    </row>
    <row r="2471" spans="1:15" x14ac:dyDescent="0.3">
      <c r="A2471" t="s">
        <v>2539</v>
      </c>
      <c r="B2471" s="2">
        <v>47761</v>
      </c>
      <c r="C2471" t="s">
        <v>31</v>
      </c>
      <c r="D2471" t="str">
        <f t="shared" si="38"/>
        <v>October</v>
      </c>
      <c r="E2471" t="s">
        <v>39</v>
      </c>
      <c r="F2471" t="s">
        <v>60</v>
      </c>
      <c r="G2471" t="s">
        <v>78</v>
      </c>
      <c r="H2471" t="s">
        <v>45</v>
      </c>
      <c r="I2471" t="s">
        <v>42</v>
      </c>
      <c r="J2471" t="s">
        <v>35</v>
      </c>
      <c r="K2471">
        <v>5</v>
      </c>
      <c r="L2471">
        <v>43567.93</v>
      </c>
      <c r="M2471">
        <v>20</v>
      </c>
      <c r="N2471">
        <v>174271.73</v>
      </c>
      <c r="O2471" t="s">
        <v>47</v>
      </c>
    </row>
    <row r="2472" spans="1:15" x14ac:dyDescent="0.3">
      <c r="A2472" t="s">
        <v>2540</v>
      </c>
      <c r="B2472" s="2">
        <v>47762</v>
      </c>
      <c r="C2472" t="s">
        <v>31</v>
      </c>
      <c r="D2472" t="str">
        <f t="shared" si="38"/>
        <v>October</v>
      </c>
      <c r="E2472" t="s">
        <v>39</v>
      </c>
      <c r="F2472" t="s">
        <v>53</v>
      </c>
      <c r="G2472" t="s">
        <v>54</v>
      </c>
      <c r="H2472" t="s">
        <v>27</v>
      </c>
      <c r="I2472" t="s">
        <v>20</v>
      </c>
      <c r="J2472" t="s">
        <v>46</v>
      </c>
      <c r="K2472">
        <v>5</v>
      </c>
      <c r="L2472">
        <v>39204.44</v>
      </c>
      <c r="M2472">
        <v>15</v>
      </c>
      <c r="N2472">
        <v>166618.85</v>
      </c>
      <c r="O2472" t="s">
        <v>47</v>
      </c>
    </row>
    <row r="2473" spans="1:15" x14ac:dyDescent="0.3">
      <c r="A2473" t="s">
        <v>2541</v>
      </c>
      <c r="B2473" s="2">
        <v>47763</v>
      </c>
      <c r="C2473" t="s">
        <v>49</v>
      </c>
      <c r="D2473" t="str">
        <f t="shared" si="38"/>
        <v>October</v>
      </c>
      <c r="E2473" t="s">
        <v>24</v>
      </c>
      <c r="F2473" t="s">
        <v>40</v>
      </c>
      <c r="G2473" t="s">
        <v>115</v>
      </c>
      <c r="H2473" t="s">
        <v>27</v>
      </c>
      <c r="I2473" t="s">
        <v>42</v>
      </c>
      <c r="J2473" t="s">
        <v>28</v>
      </c>
      <c r="K2473">
        <v>4</v>
      </c>
      <c r="L2473">
        <v>5202.6099999999997</v>
      </c>
      <c r="M2473">
        <v>20</v>
      </c>
      <c r="N2473">
        <v>16648.34</v>
      </c>
      <c r="O2473" t="s">
        <v>47</v>
      </c>
    </row>
    <row r="2474" spans="1:15" x14ac:dyDescent="0.3">
      <c r="A2474" t="s">
        <v>2542</v>
      </c>
      <c r="B2474" s="2">
        <v>47764</v>
      </c>
      <c r="C2474" t="s">
        <v>31</v>
      </c>
      <c r="D2474" t="str">
        <f t="shared" si="38"/>
        <v>October</v>
      </c>
      <c r="E2474" t="s">
        <v>69</v>
      </c>
      <c r="F2474" t="s">
        <v>17</v>
      </c>
      <c r="G2474" t="s">
        <v>63</v>
      </c>
      <c r="H2474" t="s">
        <v>33</v>
      </c>
      <c r="I2474" t="s">
        <v>34</v>
      </c>
      <c r="J2474" t="s">
        <v>43</v>
      </c>
      <c r="K2474">
        <v>2</v>
      </c>
      <c r="L2474">
        <v>55427.73</v>
      </c>
      <c r="M2474">
        <v>5</v>
      </c>
      <c r="N2474">
        <v>105312.68</v>
      </c>
      <c r="O2474" t="s">
        <v>47</v>
      </c>
    </row>
    <row r="2475" spans="1:15" x14ac:dyDescent="0.3">
      <c r="A2475" t="s">
        <v>2543</v>
      </c>
      <c r="B2475" s="2">
        <v>47765</v>
      </c>
      <c r="C2475" t="s">
        <v>15</v>
      </c>
      <c r="D2475" t="str">
        <f t="shared" si="38"/>
        <v>October</v>
      </c>
      <c r="E2475" t="s">
        <v>50</v>
      </c>
      <c r="F2475" t="s">
        <v>53</v>
      </c>
      <c r="G2475" t="s">
        <v>105</v>
      </c>
      <c r="H2475" t="s">
        <v>19</v>
      </c>
      <c r="I2475" t="s">
        <v>42</v>
      </c>
      <c r="J2475" t="s">
        <v>43</v>
      </c>
      <c r="K2475">
        <v>1</v>
      </c>
      <c r="L2475">
        <v>28110.11</v>
      </c>
      <c r="M2475">
        <v>0</v>
      </c>
      <c r="N2475">
        <v>28110.11</v>
      </c>
      <c r="O2475" t="s">
        <v>47</v>
      </c>
    </row>
    <row r="2476" spans="1:15" x14ac:dyDescent="0.3">
      <c r="A2476" t="s">
        <v>2544</v>
      </c>
      <c r="B2476" s="2">
        <v>47766</v>
      </c>
      <c r="C2476" t="s">
        <v>31</v>
      </c>
      <c r="D2476" t="str">
        <f t="shared" si="38"/>
        <v>October</v>
      </c>
      <c r="E2476" t="s">
        <v>50</v>
      </c>
      <c r="F2476" t="s">
        <v>25</v>
      </c>
      <c r="G2476" t="s">
        <v>56</v>
      </c>
      <c r="H2476" t="s">
        <v>45</v>
      </c>
      <c r="I2476" t="s">
        <v>42</v>
      </c>
      <c r="J2476" t="s">
        <v>35</v>
      </c>
      <c r="K2476">
        <v>4</v>
      </c>
      <c r="L2476">
        <v>2635.34</v>
      </c>
      <c r="M2476">
        <v>20</v>
      </c>
      <c r="N2476">
        <v>8433.09</v>
      </c>
      <c r="O2476" t="s">
        <v>47</v>
      </c>
    </row>
    <row r="2477" spans="1:15" x14ac:dyDescent="0.3">
      <c r="A2477" t="s">
        <v>2545</v>
      </c>
      <c r="B2477" s="2">
        <v>47767</v>
      </c>
      <c r="C2477" t="s">
        <v>49</v>
      </c>
      <c r="D2477" t="str">
        <f t="shared" si="38"/>
        <v>October</v>
      </c>
      <c r="E2477" t="s">
        <v>16</v>
      </c>
      <c r="F2477" t="s">
        <v>40</v>
      </c>
      <c r="G2477" t="s">
        <v>115</v>
      </c>
      <c r="H2477" t="s">
        <v>19</v>
      </c>
      <c r="I2477" t="s">
        <v>34</v>
      </c>
      <c r="J2477" t="s">
        <v>46</v>
      </c>
      <c r="K2477">
        <v>3</v>
      </c>
      <c r="L2477">
        <v>5696</v>
      </c>
      <c r="M2477">
        <v>0</v>
      </c>
      <c r="N2477">
        <v>17088.009999999998</v>
      </c>
      <c r="O2477" t="s">
        <v>47</v>
      </c>
    </row>
    <row r="2478" spans="1:15" x14ac:dyDescent="0.3">
      <c r="A2478" t="s">
        <v>2546</v>
      </c>
      <c r="B2478" s="2">
        <v>47768</v>
      </c>
      <c r="C2478" t="s">
        <v>58</v>
      </c>
      <c r="D2478" t="str">
        <f t="shared" si="38"/>
        <v>October</v>
      </c>
      <c r="E2478" t="s">
        <v>39</v>
      </c>
      <c r="F2478" t="s">
        <v>60</v>
      </c>
      <c r="G2478" t="s">
        <v>73</v>
      </c>
      <c r="H2478" t="s">
        <v>45</v>
      </c>
      <c r="I2478" t="s">
        <v>34</v>
      </c>
      <c r="J2478" t="s">
        <v>43</v>
      </c>
      <c r="K2478">
        <v>4</v>
      </c>
      <c r="L2478">
        <v>49853.43</v>
      </c>
      <c r="M2478">
        <v>0</v>
      </c>
      <c r="N2478">
        <v>199413.71</v>
      </c>
      <c r="O2478" t="s">
        <v>29</v>
      </c>
    </row>
    <row r="2479" spans="1:15" x14ac:dyDescent="0.3">
      <c r="A2479" t="s">
        <v>2547</v>
      </c>
      <c r="B2479" s="2">
        <v>47769</v>
      </c>
      <c r="C2479" t="s">
        <v>58</v>
      </c>
      <c r="D2479" t="str">
        <f t="shared" si="38"/>
        <v>October</v>
      </c>
      <c r="E2479" t="s">
        <v>52</v>
      </c>
      <c r="F2479" t="s">
        <v>53</v>
      </c>
      <c r="G2479" t="s">
        <v>105</v>
      </c>
      <c r="H2479" t="s">
        <v>27</v>
      </c>
      <c r="I2479" t="s">
        <v>42</v>
      </c>
      <c r="J2479" t="s">
        <v>35</v>
      </c>
      <c r="K2479">
        <v>1</v>
      </c>
      <c r="L2479">
        <v>39766.379999999997</v>
      </c>
      <c r="M2479">
        <v>10</v>
      </c>
      <c r="N2479">
        <v>35789.74</v>
      </c>
      <c r="O2479" t="s">
        <v>47</v>
      </c>
    </row>
    <row r="2480" spans="1:15" x14ac:dyDescent="0.3">
      <c r="A2480" t="s">
        <v>2548</v>
      </c>
      <c r="B2480" s="2">
        <v>47770</v>
      </c>
      <c r="C2480" t="s">
        <v>58</v>
      </c>
      <c r="D2480" t="str">
        <f t="shared" si="38"/>
        <v>October</v>
      </c>
      <c r="E2480" t="s">
        <v>32</v>
      </c>
      <c r="F2480" t="s">
        <v>40</v>
      </c>
      <c r="G2480" t="s">
        <v>118</v>
      </c>
      <c r="H2480" t="s">
        <v>19</v>
      </c>
      <c r="I2480" t="s">
        <v>20</v>
      </c>
      <c r="J2480" t="s">
        <v>46</v>
      </c>
      <c r="K2480">
        <v>5</v>
      </c>
      <c r="L2480">
        <v>6664.44</v>
      </c>
      <c r="M2480">
        <v>5</v>
      </c>
      <c r="N2480">
        <v>31656.07</v>
      </c>
      <c r="O2480" t="s">
        <v>47</v>
      </c>
    </row>
    <row r="2481" spans="1:15" x14ac:dyDescent="0.3">
      <c r="A2481" t="s">
        <v>2549</v>
      </c>
      <c r="B2481" s="2">
        <v>47771</v>
      </c>
      <c r="C2481" t="s">
        <v>58</v>
      </c>
      <c r="D2481" t="str">
        <f t="shared" si="38"/>
        <v>October</v>
      </c>
      <c r="E2481" t="s">
        <v>69</v>
      </c>
      <c r="F2481" t="s">
        <v>40</v>
      </c>
      <c r="G2481" t="s">
        <v>41</v>
      </c>
      <c r="H2481" t="s">
        <v>33</v>
      </c>
      <c r="I2481" t="s">
        <v>34</v>
      </c>
      <c r="J2481" t="s">
        <v>43</v>
      </c>
      <c r="K2481">
        <v>3</v>
      </c>
      <c r="L2481">
        <v>7886.22</v>
      </c>
      <c r="M2481">
        <v>0</v>
      </c>
      <c r="N2481">
        <v>23658.65</v>
      </c>
      <c r="O2481" t="s">
        <v>47</v>
      </c>
    </row>
    <row r="2482" spans="1:15" x14ac:dyDescent="0.3">
      <c r="A2482" t="s">
        <v>2550</v>
      </c>
      <c r="B2482" s="2">
        <v>47772</v>
      </c>
      <c r="C2482" t="s">
        <v>15</v>
      </c>
      <c r="D2482" t="str">
        <f t="shared" si="38"/>
        <v>October</v>
      </c>
      <c r="E2482" t="s">
        <v>24</v>
      </c>
      <c r="F2482" t="s">
        <v>53</v>
      </c>
      <c r="G2482" t="s">
        <v>65</v>
      </c>
      <c r="H2482" t="s">
        <v>45</v>
      </c>
      <c r="I2482" t="s">
        <v>20</v>
      </c>
      <c r="J2482" t="s">
        <v>21</v>
      </c>
      <c r="K2482">
        <v>5</v>
      </c>
      <c r="L2482">
        <v>35642.99</v>
      </c>
      <c r="M2482">
        <v>20</v>
      </c>
      <c r="N2482">
        <v>142571.94</v>
      </c>
      <c r="O2482" t="s">
        <v>36</v>
      </c>
    </row>
    <row r="2483" spans="1:15" x14ac:dyDescent="0.3">
      <c r="A2483" t="s">
        <v>2551</v>
      </c>
      <c r="B2483" s="2">
        <v>47773</v>
      </c>
      <c r="C2483" t="s">
        <v>31</v>
      </c>
      <c r="D2483" t="str">
        <f t="shared" si="38"/>
        <v>October</v>
      </c>
      <c r="E2483" t="s">
        <v>72</v>
      </c>
      <c r="F2483" t="s">
        <v>40</v>
      </c>
      <c r="G2483" t="s">
        <v>118</v>
      </c>
      <c r="H2483" t="s">
        <v>27</v>
      </c>
      <c r="I2483" t="s">
        <v>34</v>
      </c>
      <c r="J2483" t="s">
        <v>35</v>
      </c>
      <c r="K2483">
        <v>5</v>
      </c>
      <c r="L2483">
        <v>5507.43</v>
      </c>
      <c r="M2483">
        <v>0</v>
      </c>
      <c r="N2483">
        <v>27537.15</v>
      </c>
      <c r="O2483" t="s">
        <v>22</v>
      </c>
    </row>
    <row r="2484" spans="1:15" x14ac:dyDescent="0.3">
      <c r="A2484" t="s">
        <v>2552</v>
      </c>
      <c r="B2484" s="2">
        <v>47774</v>
      </c>
      <c r="C2484" t="s">
        <v>31</v>
      </c>
      <c r="D2484" t="str">
        <f t="shared" si="38"/>
        <v>October</v>
      </c>
      <c r="E2484" t="s">
        <v>50</v>
      </c>
      <c r="F2484" t="s">
        <v>17</v>
      </c>
      <c r="G2484" t="s">
        <v>123</v>
      </c>
      <c r="H2484" t="s">
        <v>45</v>
      </c>
      <c r="I2484" t="s">
        <v>42</v>
      </c>
      <c r="J2484" t="s">
        <v>43</v>
      </c>
      <c r="K2484">
        <v>5</v>
      </c>
      <c r="L2484">
        <v>58801.74</v>
      </c>
      <c r="M2484">
        <v>10</v>
      </c>
      <c r="N2484">
        <v>264607.82</v>
      </c>
      <c r="O2484" t="s">
        <v>47</v>
      </c>
    </row>
    <row r="2485" spans="1:15" x14ac:dyDescent="0.3">
      <c r="A2485" t="s">
        <v>2553</v>
      </c>
      <c r="B2485" s="2">
        <v>47775</v>
      </c>
      <c r="C2485" t="s">
        <v>49</v>
      </c>
      <c r="D2485" t="str">
        <f t="shared" si="38"/>
        <v>October</v>
      </c>
      <c r="E2485" t="s">
        <v>32</v>
      </c>
      <c r="F2485" t="s">
        <v>53</v>
      </c>
      <c r="G2485" t="s">
        <v>65</v>
      </c>
      <c r="H2485" t="s">
        <v>27</v>
      </c>
      <c r="I2485" t="s">
        <v>42</v>
      </c>
      <c r="J2485" t="s">
        <v>35</v>
      </c>
      <c r="K2485">
        <v>5</v>
      </c>
      <c r="L2485">
        <v>25806.84</v>
      </c>
      <c r="M2485">
        <v>15</v>
      </c>
      <c r="N2485">
        <v>109679.05</v>
      </c>
      <c r="O2485" t="s">
        <v>47</v>
      </c>
    </row>
    <row r="2486" spans="1:15" x14ac:dyDescent="0.3">
      <c r="A2486" t="s">
        <v>2554</v>
      </c>
      <c r="B2486" s="2">
        <v>47776</v>
      </c>
      <c r="C2486" t="s">
        <v>38</v>
      </c>
      <c r="D2486" t="str">
        <f t="shared" si="38"/>
        <v>October</v>
      </c>
      <c r="E2486" t="s">
        <v>77</v>
      </c>
      <c r="F2486" t="s">
        <v>60</v>
      </c>
      <c r="G2486" t="s">
        <v>78</v>
      </c>
      <c r="H2486" t="s">
        <v>27</v>
      </c>
      <c r="I2486" t="s">
        <v>42</v>
      </c>
      <c r="J2486" t="s">
        <v>35</v>
      </c>
      <c r="K2486">
        <v>5</v>
      </c>
      <c r="L2486">
        <v>34296.22</v>
      </c>
      <c r="M2486">
        <v>20</v>
      </c>
      <c r="N2486">
        <v>137184.87</v>
      </c>
      <c r="O2486" t="s">
        <v>29</v>
      </c>
    </row>
    <row r="2487" spans="1:15" x14ac:dyDescent="0.3">
      <c r="A2487" t="s">
        <v>2555</v>
      </c>
      <c r="B2487" s="2">
        <v>47777</v>
      </c>
      <c r="C2487" t="s">
        <v>31</v>
      </c>
      <c r="D2487" t="str">
        <f t="shared" si="38"/>
        <v>October</v>
      </c>
      <c r="E2487" t="s">
        <v>69</v>
      </c>
      <c r="F2487" t="s">
        <v>40</v>
      </c>
      <c r="G2487" t="s">
        <v>41</v>
      </c>
      <c r="H2487" t="s">
        <v>27</v>
      </c>
      <c r="I2487" t="s">
        <v>34</v>
      </c>
      <c r="J2487" t="s">
        <v>46</v>
      </c>
      <c r="K2487">
        <v>1</v>
      </c>
      <c r="L2487">
        <v>5764.3</v>
      </c>
      <c r="M2487">
        <v>5</v>
      </c>
      <c r="N2487">
        <v>5476.09</v>
      </c>
      <c r="O2487" t="s">
        <v>29</v>
      </c>
    </row>
    <row r="2488" spans="1:15" x14ac:dyDescent="0.3">
      <c r="A2488" t="s">
        <v>2556</v>
      </c>
      <c r="B2488" s="2">
        <v>47778</v>
      </c>
      <c r="C2488" t="s">
        <v>58</v>
      </c>
      <c r="D2488" t="str">
        <f t="shared" si="38"/>
        <v>October</v>
      </c>
      <c r="E2488" t="s">
        <v>100</v>
      </c>
      <c r="F2488" t="s">
        <v>60</v>
      </c>
      <c r="G2488" t="s">
        <v>73</v>
      </c>
      <c r="H2488" t="s">
        <v>19</v>
      </c>
      <c r="I2488" t="s">
        <v>34</v>
      </c>
      <c r="J2488" t="s">
        <v>35</v>
      </c>
      <c r="K2488">
        <v>1</v>
      </c>
      <c r="L2488">
        <v>35681.46</v>
      </c>
      <c r="M2488">
        <v>10</v>
      </c>
      <c r="N2488">
        <v>32113.31</v>
      </c>
      <c r="O2488" t="s">
        <v>47</v>
      </c>
    </row>
    <row r="2489" spans="1:15" x14ac:dyDescent="0.3">
      <c r="A2489" t="s">
        <v>2557</v>
      </c>
      <c r="B2489" s="2">
        <v>47779</v>
      </c>
      <c r="C2489" t="s">
        <v>15</v>
      </c>
      <c r="D2489" t="str">
        <f t="shared" si="38"/>
        <v>October</v>
      </c>
      <c r="E2489" t="s">
        <v>69</v>
      </c>
      <c r="F2489" t="s">
        <v>40</v>
      </c>
      <c r="G2489" t="s">
        <v>118</v>
      </c>
      <c r="H2489" t="s">
        <v>33</v>
      </c>
      <c r="I2489" t="s">
        <v>42</v>
      </c>
      <c r="J2489" t="s">
        <v>21</v>
      </c>
      <c r="K2489">
        <v>1</v>
      </c>
      <c r="L2489">
        <v>5657.81</v>
      </c>
      <c r="M2489">
        <v>5</v>
      </c>
      <c r="N2489">
        <v>5374.92</v>
      </c>
      <c r="O2489" t="s">
        <v>47</v>
      </c>
    </row>
    <row r="2490" spans="1:15" x14ac:dyDescent="0.3">
      <c r="A2490" t="s">
        <v>2558</v>
      </c>
      <c r="B2490" s="2">
        <v>47780</v>
      </c>
      <c r="C2490" t="s">
        <v>38</v>
      </c>
      <c r="D2490" t="str">
        <f t="shared" si="38"/>
        <v>October</v>
      </c>
      <c r="E2490" t="s">
        <v>24</v>
      </c>
      <c r="F2490" t="s">
        <v>25</v>
      </c>
      <c r="G2490" t="s">
        <v>26</v>
      </c>
      <c r="H2490" t="s">
        <v>33</v>
      </c>
      <c r="I2490" t="s">
        <v>20</v>
      </c>
      <c r="J2490" t="s">
        <v>28</v>
      </c>
      <c r="K2490">
        <v>5</v>
      </c>
      <c r="L2490">
        <v>2795.43</v>
      </c>
      <c r="M2490">
        <v>0</v>
      </c>
      <c r="N2490">
        <v>13977.15</v>
      </c>
      <c r="O2490" t="s">
        <v>36</v>
      </c>
    </row>
    <row r="2491" spans="1:15" x14ac:dyDescent="0.3">
      <c r="A2491" t="s">
        <v>2559</v>
      </c>
      <c r="B2491" s="2">
        <v>47781</v>
      </c>
      <c r="C2491" t="s">
        <v>58</v>
      </c>
      <c r="D2491" t="str">
        <f t="shared" si="38"/>
        <v>October</v>
      </c>
      <c r="E2491" t="s">
        <v>72</v>
      </c>
      <c r="F2491" t="s">
        <v>17</v>
      </c>
      <c r="G2491" t="s">
        <v>18</v>
      </c>
      <c r="H2491" t="s">
        <v>45</v>
      </c>
      <c r="I2491" t="s">
        <v>42</v>
      </c>
      <c r="J2491" t="s">
        <v>43</v>
      </c>
      <c r="K2491">
        <v>3</v>
      </c>
      <c r="L2491">
        <v>54277.86</v>
      </c>
      <c r="M2491">
        <v>0</v>
      </c>
      <c r="N2491">
        <v>162833.59</v>
      </c>
      <c r="O2491" t="s">
        <v>47</v>
      </c>
    </row>
    <row r="2492" spans="1:15" x14ac:dyDescent="0.3">
      <c r="A2492" t="s">
        <v>2560</v>
      </c>
      <c r="B2492" s="2">
        <v>47782</v>
      </c>
      <c r="C2492" t="s">
        <v>58</v>
      </c>
      <c r="D2492" t="str">
        <f t="shared" si="38"/>
        <v>October</v>
      </c>
      <c r="E2492" t="s">
        <v>24</v>
      </c>
      <c r="F2492" t="s">
        <v>40</v>
      </c>
      <c r="G2492" t="s">
        <v>41</v>
      </c>
      <c r="H2492" t="s">
        <v>19</v>
      </c>
      <c r="I2492" t="s">
        <v>42</v>
      </c>
      <c r="J2492" t="s">
        <v>21</v>
      </c>
      <c r="K2492">
        <v>4</v>
      </c>
      <c r="L2492">
        <v>5109.1499999999996</v>
      </c>
      <c r="M2492">
        <v>5</v>
      </c>
      <c r="N2492">
        <v>19414.759999999998</v>
      </c>
      <c r="O2492" t="s">
        <v>29</v>
      </c>
    </row>
    <row r="2493" spans="1:15" x14ac:dyDescent="0.3">
      <c r="A2493" t="s">
        <v>2561</v>
      </c>
      <c r="B2493" s="2">
        <v>47783</v>
      </c>
      <c r="C2493" t="s">
        <v>49</v>
      </c>
      <c r="D2493" t="str">
        <f t="shared" si="38"/>
        <v>October</v>
      </c>
      <c r="E2493" t="s">
        <v>52</v>
      </c>
      <c r="F2493" t="s">
        <v>53</v>
      </c>
      <c r="G2493" t="s">
        <v>65</v>
      </c>
      <c r="H2493" t="s">
        <v>33</v>
      </c>
      <c r="I2493" t="s">
        <v>20</v>
      </c>
      <c r="J2493" t="s">
        <v>35</v>
      </c>
      <c r="K2493">
        <v>2</v>
      </c>
      <c r="L2493">
        <v>35502.68</v>
      </c>
      <c r="M2493">
        <v>0</v>
      </c>
      <c r="N2493">
        <v>71005.37</v>
      </c>
      <c r="O2493" t="s">
        <v>22</v>
      </c>
    </row>
    <row r="2494" spans="1:15" x14ac:dyDescent="0.3">
      <c r="A2494" t="s">
        <v>2562</v>
      </c>
      <c r="B2494" s="2">
        <v>47784</v>
      </c>
      <c r="C2494" t="s">
        <v>58</v>
      </c>
      <c r="D2494" t="str">
        <f t="shared" si="38"/>
        <v>October</v>
      </c>
      <c r="E2494" t="s">
        <v>39</v>
      </c>
      <c r="F2494" t="s">
        <v>40</v>
      </c>
      <c r="G2494" t="s">
        <v>41</v>
      </c>
      <c r="H2494" t="s">
        <v>33</v>
      </c>
      <c r="I2494" t="s">
        <v>42</v>
      </c>
      <c r="J2494" t="s">
        <v>43</v>
      </c>
      <c r="K2494">
        <v>4</v>
      </c>
      <c r="L2494">
        <v>5506.46</v>
      </c>
      <c r="M2494">
        <v>0</v>
      </c>
      <c r="N2494">
        <v>22025.83</v>
      </c>
      <c r="O2494" t="s">
        <v>29</v>
      </c>
    </row>
    <row r="2495" spans="1:15" x14ac:dyDescent="0.3">
      <c r="A2495" t="s">
        <v>2563</v>
      </c>
      <c r="B2495" s="2">
        <v>47785</v>
      </c>
      <c r="C2495" t="s">
        <v>58</v>
      </c>
      <c r="D2495" t="str">
        <f t="shared" si="38"/>
        <v>October</v>
      </c>
      <c r="E2495" t="s">
        <v>50</v>
      </c>
      <c r="F2495" t="s">
        <v>17</v>
      </c>
      <c r="G2495" t="s">
        <v>123</v>
      </c>
      <c r="H2495" t="s">
        <v>45</v>
      </c>
      <c r="I2495" t="s">
        <v>42</v>
      </c>
      <c r="J2495" t="s">
        <v>21</v>
      </c>
      <c r="K2495">
        <v>5</v>
      </c>
      <c r="L2495">
        <v>49786.67</v>
      </c>
      <c r="M2495">
        <v>0</v>
      </c>
      <c r="N2495">
        <v>248933.33</v>
      </c>
      <c r="O2495" t="s">
        <v>22</v>
      </c>
    </row>
    <row r="2496" spans="1:15" x14ac:dyDescent="0.3">
      <c r="A2496" t="s">
        <v>2564</v>
      </c>
      <c r="B2496" s="2">
        <v>47786</v>
      </c>
      <c r="C2496" t="s">
        <v>58</v>
      </c>
      <c r="D2496" t="str">
        <f t="shared" si="38"/>
        <v>October</v>
      </c>
      <c r="E2496" t="s">
        <v>39</v>
      </c>
      <c r="F2496" t="s">
        <v>60</v>
      </c>
      <c r="G2496" t="s">
        <v>61</v>
      </c>
      <c r="H2496" t="s">
        <v>45</v>
      </c>
      <c r="I2496" t="s">
        <v>42</v>
      </c>
      <c r="J2496" t="s">
        <v>21</v>
      </c>
      <c r="K2496">
        <v>3</v>
      </c>
      <c r="L2496">
        <v>41151.120000000003</v>
      </c>
      <c r="M2496">
        <v>15</v>
      </c>
      <c r="N2496">
        <v>104935.36</v>
      </c>
      <c r="O2496" t="s">
        <v>47</v>
      </c>
    </row>
    <row r="2497" spans="1:15" x14ac:dyDescent="0.3">
      <c r="A2497" t="s">
        <v>2565</v>
      </c>
      <c r="B2497" s="2">
        <v>47787</v>
      </c>
      <c r="C2497" t="s">
        <v>38</v>
      </c>
      <c r="D2497" t="str">
        <f t="shared" si="38"/>
        <v>October</v>
      </c>
      <c r="E2497" t="s">
        <v>100</v>
      </c>
      <c r="F2497" t="s">
        <v>25</v>
      </c>
      <c r="G2497" t="s">
        <v>56</v>
      </c>
      <c r="H2497" t="s">
        <v>27</v>
      </c>
      <c r="I2497" t="s">
        <v>42</v>
      </c>
      <c r="J2497" t="s">
        <v>28</v>
      </c>
      <c r="K2497">
        <v>3</v>
      </c>
      <c r="L2497">
        <v>1976.2</v>
      </c>
      <c r="M2497">
        <v>5</v>
      </c>
      <c r="N2497">
        <v>5632.16</v>
      </c>
      <c r="O2497" t="s">
        <v>47</v>
      </c>
    </row>
    <row r="2498" spans="1:15" x14ac:dyDescent="0.3">
      <c r="A2498" t="s">
        <v>2566</v>
      </c>
      <c r="B2498" s="2">
        <v>47788</v>
      </c>
      <c r="C2498" t="s">
        <v>49</v>
      </c>
      <c r="D2498" t="str">
        <f t="shared" si="38"/>
        <v>November</v>
      </c>
      <c r="E2498" t="s">
        <v>69</v>
      </c>
      <c r="F2498" t="s">
        <v>60</v>
      </c>
      <c r="G2498" t="s">
        <v>61</v>
      </c>
      <c r="H2498" t="s">
        <v>45</v>
      </c>
      <c r="I2498" t="s">
        <v>42</v>
      </c>
      <c r="J2498" t="s">
        <v>46</v>
      </c>
      <c r="K2498">
        <v>4</v>
      </c>
      <c r="L2498">
        <v>31912.53</v>
      </c>
      <c r="M2498">
        <v>10</v>
      </c>
      <c r="N2498">
        <v>114885.1</v>
      </c>
      <c r="O2498" t="s">
        <v>47</v>
      </c>
    </row>
    <row r="2499" spans="1:15" x14ac:dyDescent="0.3">
      <c r="A2499" t="s">
        <v>2567</v>
      </c>
      <c r="B2499" s="2">
        <v>47789</v>
      </c>
      <c r="C2499" t="s">
        <v>49</v>
      </c>
      <c r="D2499" t="str">
        <f t="shared" ref="D2499:D2501" si="39">TEXT(B2499,"mmmm")</f>
        <v>November</v>
      </c>
      <c r="E2499" t="s">
        <v>77</v>
      </c>
      <c r="F2499" t="s">
        <v>25</v>
      </c>
      <c r="G2499" t="s">
        <v>26</v>
      </c>
      <c r="H2499" t="s">
        <v>33</v>
      </c>
      <c r="I2499" t="s">
        <v>42</v>
      </c>
      <c r="J2499" t="s">
        <v>35</v>
      </c>
      <c r="K2499">
        <v>1</v>
      </c>
      <c r="L2499">
        <v>2330.37</v>
      </c>
      <c r="M2499">
        <v>10</v>
      </c>
      <c r="N2499">
        <v>2097.34</v>
      </c>
      <c r="O2499" t="s">
        <v>22</v>
      </c>
    </row>
    <row r="2500" spans="1:15" x14ac:dyDescent="0.3">
      <c r="A2500" t="s">
        <v>2568</v>
      </c>
      <c r="B2500" s="2">
        <v>47790</v>
      </c>
      <c r="C2500" t="s">
        <v>49</v>
      </c>
      <c r="D2500" t="str">
        <f t="shared" si="39"/>
        <v>November</v>
      </c>
      <c r="E2500" t="s">
        <v>100</v>
      </c>
      <c r="F2500" t="s">
        <v>40</v>
      </c>
      <c r="G2500" t="s">
        <v>41</v>
      </c>
      <c r="H2500" t="s">
        <v>27</v>
      </c>
      <c r="I2500" t="s">
        <v>34</v>
      </c>
      <c r="J2500" t="s">
        <v>21</v>
      </c>
      <c r="K2500">
        <v>3</v>
      </c>
      <c r="L2500">
        <v>7167.34</v>
      </c>
      <c r="M2500">
        <v>10</v>
      </c>
      <c r="N2500">
        <v>19351.82</v>
      </c>
      <c r="O2500" t="s">
        <v>47</v>
      </c>
    </row>
    <row r="2501" spans="1:15" x14ac:dyDescent="0.3">
      <c r="A2501" t="s">
        <v>2569</v>
      </c>
      <c r="B2501" s="2">
        <v>47791</v>
      </c>
      <c r="C2501" t="s">
        <v>49</v>
      </c>
      <c r="D2501" t="str">
        <f t="shared" si="39"/>
        <v>November</v>
      </c>
      <c r="E2501" t="s">
        <v>39</v>
      </c>
      <c r="F2501" t="s">
        <v>17</v>
      </c>
      <c r="G2501" t="s">
        <v>123</v>
      </c>
      <c r="H2501" t="s">
        <v>33</v>
      </c>
      <c r="I2501" t="s">
        <v>34</v>
      </c>
      <c r="J2501" t="s">
        <v>28</v>
      </c>
      <c r="K2501">
        <v>1</v>
      </c>
      <c r="L2501">
        <v>64527.59</v>
      </c>
      <c r="M2501">
        <v>5</v>
      </c>
      <c r="N2501">
        <v>61301.21</v>
      </c>
      <c r="O2501" t="s">
        <v>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42784-CDB6-408E-9117-A9C8F4454216}">
  <dimension ref="A3:B13"/>
  <sheetViews>
    <sheetView workbookViewId="0">
      <selection activeCell="O15" sqref="O15"/>
    </sheetView>
  </sheetViews>
  <sheetFormatPr defaultRowHeight="14.4" x14ac:dyDescent="0.3"/>
  <cols>
    <col min="1" max="1" width="12.5546875" bestFit="1" customWidth="1"/>
    <col min="2" max="2" width="11.5546875" bestFit="1" customWidth="1"/>
  </cols>
  <sheetData>
    <row r="3" spans="1:2" x14ac:dyDescent="0.3">
      <c r="A3" s="4" t="s">
        <v>2570</v>
      </c>
      <c r="B3" t="s">
        <v>2572</v>
      </c>
    </row>
    <row r="4" spans="1:2" x14ac:dyDescent="0.3">
      <c r="A4" s="5" t="s">
        <v>69</v>
      </c>
      <c r="B4" s="3">
        <v>315246.23</v>
      </c>
    </row>
    <row r="5" spans="1:2" x14ac:dyDescent="0.3">
      <c r="A5" s="5" t="s">
        <v>100</v>
      </c>
      <c r="B5" s="3">
        <v>327583.88</v>
      </c>
    </row>
    <row r="6" spans="1:2" x14ac:dyDescent="0.3">
      <c r="A6" s="5" t="s">
        <v>77</v>
      </c>
      <c r="B6" s="3">
        <v>333900.28000000003</v>
      </c>
    </row>
    <row r="7" spans="1:2" x14ac:dyDescent="0.3">
      <c r="A7" s="5" t="s">
        <v>32</v>
      </c>
      <c r="B7" s="3">
        <v>326492.55</v>
      </c>
    </row>
    <row r="8" spans="1:2" x14ac:dyDescent="0.3">
      <c r="A8" s="5" t="s">
        <v>39</v>
      </c>
      <c r="B8" s="3">
        <v>358906.45</v>
      </c>
    </row>
    <row r="9" spans="1:2" x14ac:dyDescent="0.3">
      <c r="A9" s="5" t="s">
        <v>24</v>
      </c>
      <c r="B9" s="3">
        <v>357225.36</v>
      </c>
    </row>
    <row r="10" spans="1:2" x14ac:dyDescent="0.3">
      <c r="A10" s="5" t="s">
        <v>16</v>
      </c>
      <c r="B10" s="3">
        <v>327445.76000000001</v>
      </c>
    </row>
    <row r="11" spans="1:2" x14ac:dyDescent="0.3">
      <c r="A11" s="5" t="s">
        <v>52</v>
      </c>
      <c r="B11" s="3">
        <v>352989.68</v>
      </c>
    </row>
    <row r="12" spans="1:2" x14ac:dyDescent="0.3">
      <c r="A12" s="5" t="s">
        <v>72</v>
      </c>
      <c r="B12" s="3">
        <v>254066.92</v>
      </c>
    </row>
    <row r="13" spans="1:2" x14ac:dyDescent="0.3">
      <c r="A13" s="5" t="s">
        <v>50</v>
      </c>
      <c r="B13" s="3">
        <v>358717.58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44197-85A5-4026-BC63-17A307C309BA}">
  <dimension ref="A3:B8"/>
  <sheetViews>
    <sheetView workbookViewId="0">
      <selection activeCell="O23" sqref="O23"/>
    </sheetView>
  </sheetViews>
  <sheetFormatPr defaultRowHeight="14.4" x14ac:dyDescent="0.3"/>
  <cols>
    <col min="1" max="1" width="12.5546875" bestFit="1" customWidth="1"/>
    <col min="2" max="2" width="18.6640625" bestFit="1" customWidth="1"/>
  </cols>
  <sheetData>
    <row r="3" spans="1:2" x14ac:dyDescent="0.3">
      <c r="A3" s="4" t="s">
        <v>2570</v>
      </c>
      <c r="B3" t="s">
        <v>2573</v>
      </c>
    </row>
    <row r="4" spans="1:2" x14ac:dyDescent="0.3">
      <c r="A4" s="5" t="s">
        <v>25</v>
      </c>
      <c r="B4" s="3">
        <v>15605.88</v>
      </c>
    </row>
    <row r="5" spans="1:2" x14ac:dyDescent="0.3">
      <c r="A5" s="5" t="s">
        <v>40</v>
      </c>
      <c r="B5" s="3">
        <v>39618.47</v>
      </c>
    </row>
    <row r="6" spans="1:2" x14ac:dyDescent="0.3">
      <c r="A6" s="5" t="s">
        <v>17</v>
      </c>
      <c r="B6" s="3">
        <v>358906.45</v>
      </c>
    </row>
    <row r="7" spans="1:2" x14ac:dyDescent="0.3">
      <c r="A7" s="5" t="s">
        <v>60</v>
      </c>
      <c r="B7" s="3">
        <v>261804.86</v>
      </c>
    </row>
    <row r="8" spans="1:2" x14ac:dyDescent="0.3">
      <c r="A8" s="5" t="s">
        <v>53</v>
      </c>
      <c r="B8" s="3">
        <v>196890.26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5BA64-E461-4D6B-957F-35C0AF3B0AA6}">
  <dimension ref="A3:B8"/>
  <sheetViews>
    <sheetView workbookViewId="0">
      <selection activeCell="K25" sqref="K25"/>
    </sheetView>
  </sheetViews>
  <sheetFormatPr defaultRowHeight="14.4" x14ac:dyDescent="0.3"/>
  <cols>
    <col min="1" max="1" width="12.5546875" bestFit="1" customWidth="1"/>
    <col min="2" max="2" width="11.5546875" bestFit="1" customWidth="1"/>
  </cols>
  <sheetData>
    <row r="3" spans="1:2" x14ac:dyDescent="0.3">
      <c r="A3" s="4" t="s">
        <v>2570</v>
      </c>
      <c r="B3" t="s">
        <v>2572</v>
      </c>
    </row>
    <row r="4" spans="1:2" x14ac:dyDescent="0.3">
      <c r="A4" s="5" t="s">
        <v>58</v>
      </c>
      <c r="B4" s="3">
        <v>327588.21000000002</v>
      </c>
    </row>
    <row r="5" spans="1:2" x14ac:dyDescent="0.3">
      <c r="A5" s="5" t="s">
        <v>38</v>
      </c>
      <c r="B5" s="3">
        <v>358906.45</v>
      </c>
    </row>
    <row r="6" spans="1:2" x14ac:dyDescent="0.3">
      <c r="A6" s="5" t="s">
        <v>31</v>
      </c>
      <c r="B6" s="3">
        <v>358717.58</v>
      </c>
    </row>
    <row r="7" spans="1:2" x14ac:dyDescent="0.3">
      <c r="A7" s="5" t="s">
        <v>49</v>
      </c>
      <c r="B7" s="3">
        <v>333900.28000000003</v>
      </c>
    </row>
    <row r="8" spans="1:2" x14ac:dyDescent="0.3">
      <c r="A8" s="5" t="s">
        <v>15</v>
      </c>
      <c r="B8" s="3">
        <v>347940.29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47CBD-1AFD-46D3-B226-4234ACD03731}">
  <dimension ref="A3:B13"/>
  <sheetViews>
    <sheetView workbookViewId="0">
      <selection activeCell="P21" sqref="P21"/>
    </sheetView>
  </sheetViews>
  <sheetFormatPr defaultRowHeight="14.4" x14ac:dyDescent="0.3"/>
  <cols>
    <col min="1" max="1" width="10.6640625" bestFit="1" customWidth="1"/>
    <col min="2" max="2" width="14.88671875" bestFit="1" customWidth="1"/>
    <col min="3" max="3" width="11.6640625" bestFit="1" customWidth="1"/>
  </cols>
  <sheetData>
    <row r="3" spans="1:2" x14ac:dyDescent="0.3">
      <c r="A3" s="4" t="s">
        <v>3</v>
      </c>
      <c r="B3" t="s">
        <v>2575</v>
      </c>
    </row>
    <row r="4" spans="1:2" x14ac:dyDescent="0.3">
      <c r="A4" t="s">
        <v>69</v>
      </c>
      <c r="B4" s="3">
        <v>72203.0866976744</v>
      </c>
    </row>
    <row r="5" spans="1:2" x14ac:dyDescent="0.3">
      <c r="A5" t="s">
        <v>100</v>
      </c>
      <c r="B5" s="3">
        <v>74931.925333333333</v>
      </c>
    </row>
    <row r="6" spans="1:2" x14ac:dyDescent="0.3">
      <c r="A6" t="s">
        <v>77</v>
      </c>
      <c r="B6" s="3">
        <v>74763.719923664132</v>
      </c>
    </row>
    <row r="7" spans="1:2" x14ac:dyDescent="0.3">
      <c r="A7" t="s">
        <v>32</v>
      </c>
      <c r="B7" s="3">
        <v>83864.994664031634</v>
      </c>
    </row>
    <row r="8" spans="1:2" x14ac:dyDescent="0.3">
      <c r="A8" t="s">
        <v>39</v>
      </c>
      <c r="B8" s="3">
        <v>86672.333960784294</v>
      </c>
    </row>
    <row r="9" spans="1:2" x14ac:dyDescent="0.3">
      <c r="A9" t="s">
        <v>24</v>
      </c>
      <c r="B9" s="3">
        <v>77401.566679687501</v>
      </c>
    </row>
    <row r="10" spans="1:2" x14ac:dyDescent="0.3">
      <c r="A10" t="s">
        <v>16</v>
      </c>
      <c r="B10" s="3">
        <v>84801.960301886851</v>
      </c>
    </row>
    <row r="11" spans="1:2" x14ac:dyDescent="0.3">
      <c r="A11" t="s">
        <v>52</v>
      </c>
      <c r="B11" s="3">
        <v>76259.127349397575</v>
      </c>
    </row>
    <row r="12" spans="1:2" x14ac:dyDescent="0.3">
      <c r="A12" t="s">
        <v>72</v>
      </c>
      <c r="B12" s="3">
        <v>74965.148798076931</v>
      </c>
    </row>
    <row r="13" spans="1:2" x14ac:dyDescent="0.3">
      <c r="A13" t="s">
        <v>50</v>
      </c>
      <c r="B13" s="3">
        <v>81238.678164793979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product-quantity-sold</vt:lpstr>
      <vt:lpstr>payment-distribution</vt:lpstr>
      <vt:lpstr>Electronics_Sales</vt:lpstr>
      <vt:lpstr>top-5-cities</vt:lpstr>
      <vt:lpstr>category-sales</vt:lpstr>
      <vt:lpstr>region-max-sales</vt:lpstr>
      <vt:lpstr>city-avg-sale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Sarthak Tyagi</cp:lastModifiedBy>
  <dcterms:created xsi:type="dcterms:W3CDTF">2026-09-05T17:41:51Z</dcterms:created>
  <dcterms:modified xsi:type="dcterms:W3CDTF">2026-09-05T21:09:22Z</dcterms:modified>
</cp:coreProperties>
</file>